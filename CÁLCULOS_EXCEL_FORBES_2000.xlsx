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5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blo Galaron\OneDrive - Universidad Complutense de Madrid (UCM)\Escritorio\"/>
    </mc:Choice>
  </mc:AlternateContent>
  <xr:revisionPtr revIDLastSave="0" documentId="8_{3247F06D-EC2C-49F8-B802-03EB6964BA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BES 2000" sheetId="1" r:id="rId1"/>
    <sheet name="PROFITS" sheetId="2" r:id="rId2"/>
    <sheet name="MARKET VALUE" sheetId="3" r:id="rId3"/>
    <sheet name="NOMINALES" sheetId="4" r:id="rId4"/>
  </sheets>
  <definedNames>
    <definedName name="_xlchart.v1.0" hidden="1">PROFITS!$M$70:$M$83</definedName>
    <definedName name="_xlchart.v1.1" hidden="1">'MARKET VALUE'!$O$3:$O$28</definedName>
    <definedName name="_xlchart.v1.2" hidden="1">NOMINALES!$E$6:$E$32</definedName>
    <definedName name="_xlchart.v1.3" hidden="1">NOMINALES!$D$43:$D$67</definedName>
    <definedName name="_xlchart.v1.4" hidden="1">NOMINALES!$AY$4:$AY$64</definedName>
  </definedNam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9" i="3" l="1"/>
  <c r="M78" i="3"/>
  <c r="L73" i="3"/>
  <c r="M77" i="3"/>
  <c r="N71" i="3"/>
  <c r="J71" i="3"/>
  <c r="Z40" i="3"/>
  <c r="K65" i="3"/>
  <c r="AA30" i="3"/>
  <c r="K64" i="3"/>
  <c r="K62" i="3"/>
  <c r="K61" i="3"/>
  <c r="K63" i="3"/>
  <c r="K59" i="3"/>
  <c r="K60" i="3" s="1"/>
  <c r="K58" i="3"/>
  <c r="J53" i="3"/>
  <c r="J52" i="3"/>
  <c r="J51" i="3"/>
  <c r="J50" i="3"/>
  <c r="J49" i="3"/>
  <c r="J48" i="3"/>
  <c r="J42" i="3"/>
  <c r="J40" i="3"/>
  <c r="J38" i="3"/>
  <c r="AG31" i="3"/>
  <c r="AH29" i="3"/>
  <c r="AL29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3" i="3"/>
  <c r="AJ5" i="3"/>
  <c r="AJ6" i="3" s="1"/>
  <c r="AJ7" i="3" s="1"/>
  <c r="AJ8" i="3" s="1"/>
  <c r="AJ9" i="3" s="1"/>
  <c r="AJ10" i="3" s="1"/>
  <c r="AJ11" i="3" s="1"/>
  <c r="AJ12" i="3" s="1"/>
  <c r="AJ13" i="3" s="1"/>
  <c r="AJ14" i="3" s="1"/>
  <c r="AJ15" i="3" s="1"/>
  <c r="AJ16" i="3" s="1"/>
  <c r="AJ17" i="3" s="1"/>
  <c r="AJ18" i="3" s="1"/>
  <c r="AJ19" i="3" s="1"/>
  <c r="AJ20" i="3" s="1"/>
  <c r="AJ21" i="3" s="1"/>
  <c r="AJ22" i="3" s="1"/>
  <c r="AJ23" i="3" s="1"/>
  <c r="AJ24" i="3" s="1"/>
  <c r="AJ25" i="3" s="1"/>
  <c r="AJ26" i="3" s="1"/>
  <c r="AJ27" i="3" s="1"/>
  <c r="AJ28" i="3" s="1"/>
  <c r="AJ4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3" i="3"/>
  <c r="AA44" i="4"/>
  <c r="AA43" i="4"/>
  <c r="AA42" i="4"/>
  <c r="AA41" i="4"/>
  <c r="AA40" i="4"/>
  <c r="D41" i="4"/>
  <c r="D40" i="4"/>
  <c r="D39" i="4"/>
  <c r="D38" i="4"/>
  <c r="H37" i="4"/>
  <c r="G87" i="4"/>
  <c r="G86" i="4"/>
  <c r="G85" i="4"/>
  <c r="AR30" i="4"/>
  <c r="AR31" i="4" s="1"/>
  <c r="AR27" i="4"/>
  <c r="AR28" i="4"/>
  <c r="AQ30" i="4"/>
  <c r="AQ31" i="4" s="1"/>
  <c r="AQ28" i="4"/>
  <c r="AQ27" i="4"/>
  <c r="BB6" i="4"/>
  <c r="BB7" i="4" s="1"/>
  <c r="BB5" i="4"/>
  <c r="BB4" i="4"/>
  <c r="BA6" i="4"/>
  <c r="BA7" i="4"/>
  <c r="BA8" i="4"/>
  <c r="BA9" i="4"/>
  <c r="BA10" i="4" s="1"/>
  <c r="BA11" i="4" s="1"/>
  <c r="BA12" i="4" s="1"/>
  <c r="BA13" i="4" s="1"/>
  <c r="BA14" i="4" s="1"/>
  <c r="BA15" i="4" s="1"/>
  <c r="BA16" i="4" s="1"/>
  <c r="BA17" i="4" s="1"/>
  <c r="BA18" i="4" s="1"/>
  <c r="BA19" i="4" s="1"/>
  <c r="BA20" i="4" s="1"/>
  <c r="BA21" i="4" s="1"/>
  <c r="BA22" i="4" s="1"/>
  <c r="BA23" i="4" s="1"/>
  <c r="BA24" i="4" s="1"/>
  <c r="BA25" i="4" s="1"/>
  <c r="BA26" i="4" s="1"/>
  <c r="BA27" i="4" s="1"/>
  <c r="BA28" i="4" s="1"/>
  <c r="BA29" i="4" s="1"/>
  <c r="BA30" i="4" s="1"/>
  <c r="BA31" i="4" s="1"/>
  <c r="BA32" i="4" s="1"/>
  <c r="BA33" i="4" s="1"/>
  <c r="BA34" i="4" s="1"/>
  <c r="BA35" i="4" s="1"/>
  <c r="BA36" i="4" s="1"/>
  <c r="BA37" i="4" s="1"/>
  <c r="BA38" i="4" s="1"/>
  <c r="BA39" i="4" s="1"/>
  <c r="BA40" i="4" s="1"/>
  <c r="BA41" i="4" s="1"/>
  <c r="BA42" i="4" s="1"/>
  <c r="BA43" i="4" s="1"/>
  <c r="BA44" i="4" s="1"/>
  <c r="BA45" i="4" s="1"/>
  <c r="BA46" i="4" s="1"/>
  <c r="BA47" i="4" s="1"/>
  <c r="BA48" i="4" s="1"/>
  <c r="BA49" i="4" s="1"/>
  <c r="BA50" i="4" s="1"/>
  <c r="BA51" i="4" s="1"/>
  <c r="BA52" i="4" s="1"/>
  <c r="BA53" i="4" s="1"/>
  <c r="BA54" i="4" s="1"/>
  <c r="BA55" i="4" s="1"/>
  <c r="BA56" i="4" s="1"/>
  <c r="BA57" i="4" s="1"/>
  <c r="BA58" i="4" s="1"/>
  <c r="BA59" i="4" s="1"/>
  <c r="BA60" i="4" s="1"/>
  <c r="BA61" i="4" s="1"/>
  <c r="BA62" i="4" s="1"/>
  <c r="BA63" i="4" s="1"/>
  <c r="BA64" i="4" s="1"/>
  <c r="BA5" i="4"/>
  <c r="BA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4" i="4"/>
  <c r="Z41" i="4"/>
  <c r="N57" i="4"/>
  <c r="N58" i="4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56" i="4"/>
  <c r="N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55" i="4"/>
  <c r="L9" i="4"/>
  <c r="L15" i="4"/>
  <c r="L16" i="4"/>
  <c r="L20" i="4"/>
  <c r="L21" i="4"/>
  <c r="L25" i="4"/>
  <c r="L26" i="4"/>
  <c r="L29" i="4"/>
  <c r="L31" i="4"/>
  <c r="L32" i="4"/>
  <c r="K41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54" i="4"/>
  <c r="H55" i="4"/>
  <c r="I55" i="4" s="1"/>
  <c r="I81" i="4" s="1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54" i="4"/>
  <c r="M16" i="4"/>
  <c r="M20" i="4"/>
  <c r="M21" i="4"/>
  <c r="M25" i="4"/>
  <c r="M26" i="4"/>
  <c r="M31" i="4"/>
  <c r="M32" i="4"/>
  <c r="M36" i="4"/>
  <c r="M37" i="4"/>
  <c r="M40" i="4"/>
  <c r="M41" i="4"/>
  <c r="K45" i="4"/>
  <c r="L14" i="4" s="1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8" i="4"/>
  <c r="F7" i="4"/>
  <c r="F6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S61" i="3"/>
  <c r="S53" i="3"/>
  <c r="R61" i="3"/>
  <c r="R60" i="3"/>
  <c r="S60" i="3" s="1"/>
  <c r="R57" i="3"/>
  <c r="R56" i="3"/>
  <c r="R54" i="3"/>
  <c r="R53" i="3"/>
  <c r="R50" i="3"/>
  <c r="S50" i="3" s="1"/>
  <c r="R48" i="3"/>
  <c r="R47" i="3"/>
  <c r="R45" i="3"/>
  <c r="R44" i="3"/>
  <c r="R43" i="3"/>
  <c r="R42" i="3"/>
  <c r="S42" i="3" s="1"/>
  <c r="R41" i="3"/>
  <c r="R40" i="3"/>
  <c r="R39" i="3"/>
  <c r="S39" i="3" s="1"/>
  <c r="R38" i="3"/>
  <c r="R37" i="3"/>
  <c r="S37" i="3" s="1"/>
  <c r="R36" i="3"/>
  <c r="S36" i="3" s="1"/>
  <c r="R35" i="3"/>
  <c r="S38" i="3"/>
  <c r="S40" i="3"/>
  <c r="S41" i="3"/>
  <c r="S43" i="3"/>
  <c r="S44" i="3"/>
  <c r="S45" i="3"/>
  <c r="S46" i="3"/>
  <c r="S47" i="3"/>
  <c r="S48" i="3"/>
  <c r="S49" i="3"/>
  <c r="S51" i="3"/>
  <c r="S52" i="3"/>
  <c r="S54" i="3"/>
  <c r="S55" i="3"/>
  <c r="S56" i="3"/>
  <c r="S57" i="3"/>
  <c r="S58" i="3"/>
  <c r="S59" i="3"/>
  <c r="S35" i="3"/>
  <c r="Z29" i="3"/>
  <c r="AA29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3" i="3"/>
  <c r="Y29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3" i="3"/>
  <c r="X29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3" i="3"/>
  <c r="W29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3" i="3"/>
  <c r="V29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3" i="3"/>
  <c r="U29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3" i="3"/>
  <c r="T5" i="3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4" i="3"/>
  <c r="T3" i="3"/>
  <c r="S28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 s="1"/>
  <c r="S14" i="3"/>
  <c r="S13" i="3"/>
  <c r="S12" i="3"/>
  <c r="S11" i="3"/>
  <c r="S10" i="3"/>
  <c r="S9" i="3"/>
  <c r="S8" i="3"/>
  <c r="S7" i="3"/>
  <c r="S6" i="3"/>
  <c r="S5" i="3"/>
  <c r="S4" i="3"/>
  <c r="S3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3" i="3"/>
  <c r="N6" i="3"/>
  <c r="N5" i="3"/>
  <c r="N4" i="3"/>
  <c r="N3" i="3"/>
  <c r="M4" i="3"/>
  <c r="I6" i="3"/>
  <c r="I5" i="3"/>
  <c r="I4" i="3"/>
  <c r="AA45" i="4" l="1"/>
  <c r="M39" i="4"/>
  <c r="M29" i="4"/>
  <c r="M18" i="4"/>
  <c r="L24" i="4"/>
  <c r="L13" i="4"/>
  <c r="M38" i="4"/>
  <c r="M28" i="4"/>
  <c r="M17" i="4"/>
  <c r="L6" i="4"/>
  <c r="L23" i="4"/>
  <c r="L12" i="4"/>
  <c r="M34" i="4"/>
  <c r="M24" i="4"/>
  <c r="L18" i="4"/>
  <c r="M15" i="4"/>
  <c r="M42" i="4" s="1"/>
  <c r="K42" i="4" s="1"/>
  <c r="M33" i="4"/>
  <c r="M23" i="4"/>
  <c r="L28" i="4"/>
  <c r="L17" i="4"/>
  <c r="M35" i="4"/>
  <c r="M27" i="4"/>
  <c r="M19" i="4"/>
  <c r="L27" i="4"/>
  <c r="L19" i="4"/>
  <c r="L11" i="4"/>
  <c r="L10" i="4"/>
  <c r="L8" i="4"/>
  <c r="L7" i="4"/>
  <c r="Z40" i="4"/>
  <c r="M30" i="4"/>
  <c r="M22" i="4"/>
  <c r="L30" i="4"/>
  <c r="L22" i="4"/>
  <c r="AR32" i="4"/>
  <c r="BB8" i="4"/>
  <c r="BB9" i="4" s="1"/>
  <c r="BB10" i="4" s="1"/>
  <c r="BB11" i="4" s="1"/>
  <c r="BB12" i="4" s="1"/>
  <c r="BB13" i="4" s="1"/>
  <c r="BB14" i="4" s="1"/>
  <c r="BB15" i="4" s="1"/>
  <c r="BB16" i="4" s="1"/>
  <c r="BB17" i="4" s="1"/>
  <c r="BB18" i="4" s="1"/>
  <c r="BB19" i="4" s="1"/>
  <c r="BB20" i="4" s="1"/>
  <c r="BB21" i="4" s="1"/>
  <c r="BB22" i="4" s="1"/>
  <c r="BB23" i="4" s="1"/>
  <c r="BB24" i="4" s="1"/>
  <c r="BB25" i="4" s="1"/>
  <c r="BB26" i="4" s="1"/>
  <c r="BB27" i="4" s="1"/>
  <c r="BB28" i="4" s="1"/>
  <c r="BB29" i="4" s="1"/>
  <c r="BB30" i="4" s="1"/>
  <c r="BB31" i="4" s="1"/>
  <c r="BB32" i="4" s="1"/>
  <c r="BB33" i="4" s="1"/>
  <c r="BB34" i="4" s="1"/>
  <c r="BB35" i="4" s="1"/>
  <c r="BB36" i="4" s="1"/>
  <c r="BB37" i="4" s="1"/>
  <c r="BB38" i="4" s="1"/>
  <c r="BB39" i="4" s="1"/>
  <c r="BB40" i="4" s="1"/>
  <c r="BB41" i="4" s="1"/>
  <c r="BB42" i="4" s="1"/>
  <c r="BB43" i="4" s="1"/>
  <c r="BB44" i="4" s="1"/>
  <c r="BB45" i="4" s="1"/>
  <c r="BB46" i="4" s="1"/>
  <c r="BB47" i="4" s="1"/>
  <c r="BB48" i="4" s="1"/>
  <c r="BB49" i="4" s="1"/>
  <c r="BB50" i="4" s="1"/>
  <c r="BB51" i="4" s="1"/>
  <c r="BB52" i="4" s="1"/>
  <c r="BB53" i="4" s="1"/>
  <c r="BB54" i="4" s="1"/>
  <c r="BB55" i="4" s="1"/>
  <c r="BB56" i="4" s="1"/>
  <c r="BB57" i="4" s="1"/>
  <c r="BB58" i="4" s="1"/>
  <c r="BB59" i="4" s="1"/>
  <c r="BB60" i="4" s="1"/>
  <c r="BB61" i="4" s="1"/>
  <c r="BB62" i="4" s="1"/>
  <c r="BB63" i="4" s="1"/>
  <c r="BB64" i="4" s="1"/>
  <c r="AQ32" i="4"/>
  <c r="M5" i="3"/>
  <c r="AL13" i="2"/>
  <c r="AP13" i="2" s="1"/>
  <c r="AQ13" i="2" s="1"/>
  <c r="AC12" i="2"/>
  <c r="AD12" i="2" s="1"/>
  <c r="AC13" i="2"/>
  <c r="AD13" i="2" s="1"/>
  <c r="AC14" i="2"/>
  <c r="AD14" i="2" s="1"/>
  <c r="AC15" i="2"/>
  <c r="AD15" i="2"/>
  <c r="AC16" i="2"/>
  <c r="AD16" i="2" s="1"/>
  <c r="AC17" i="2"/>
  <c r="AD17" i="2" s="1"/>
  <c r="AC18" i="2"/>
  <c r="AC22" i="2" s="1"/>
  <c r="AC19" i="2"/>
  <c r="AD19" i="2"/>
  <c r="AC20" i="2"/>
  <c r="AD20" i="2" s="1"/>
  <c r="AC21" i="2"/>
  <c r="AD21" i="2" s="1"/>
  <c r="AP24" i="2"/>
  <c r="AO24" i="2"/>
  <c r="AM24" i="2"/>
  <c r="AL24" i="2"/>
  <c r="AP23" i="2"/>
  <c r="AO23" i="2"/>
  <c r="AM23" i="2"/>
  <c r="AL23" i="2"/>
  <c r="AP22" i="2"/>
  <c r="AM22" i="2"/>
  <c r="AL22" i="2"/>
  <c r="AP21" i="2"/>
  <c r="AM21" i="2"/>
  <c r="AL21" i="2"/>
  <c r="AP20" i="2"/>
  <c r="AM20" i="2"/>
  <c r="AL20" i="2"/>
  <c r="AP19" i="2"/>
  <c r="AM19" i="2"/>
  <c r="AL19" i="2"/>
  <c r="AP18" i="2"/>
  <c r="AM18" i="2"/>
  <c r="AL18" i="2"/>
  <c r="AP17" i="2"/>
  <c r="AM17" i="2"/>
  <c r="AL17" i="2"/>
  <c r="AP16" i="2"/>
  <c r="AM16" i="2"/>
  <c r="AL16" i="2"/>
  <c r="AP15" i="2"/>
  <c r="AM15" i="2"/>
  <c r="AL15" i="2"/>
  <c r="AP14" i="2"/>
  <c r="AM14" i="2"/>
  <c r="AL14" i="2"/>
  <c r="AM13" i="2"/>
  <c r="AN13" i="2" s="1"/>
  <c r="AN14" i="2" s="1"/>
  <c r="AN15" i="2" s="1"/>
  <c r="AN16" i="2" s="1"/>
  <c r="AN17" i="2" s="1"/>
  <c r="AN18" i="2" s="1"/>
  <c r="AN19" i="2" s="1"/>
  <c r="AN20" i="2" s="1"/>
  <c r="AN21" i="2" s="1"/>
  <c r="AN22" i="2" s="1"/>
  <c r="AN23" i="2" s="1"/>
  <c r="AN24" i="2" s="1"/>
  <c r="M82" i="2"/>
  <c r="M80" i="2"/>
  <c r="M81" i="2"/>
  <c r="M72" i="2"/>
  <c r="M73" i="2"/>
  <c r="M74" i="2"/>
  <c r="M75" i="2"/>
  <c r="M76" i="2"/>
  <c r="M77" i="2"/>
  <c r="M78" i="2"/>
  <c r="M79" i="2"/>
  <c r="M71" i="2"/>
  <c r="K43" i="4" l="1"/>
  <c r="Z43" i="4"/>
  <c r="M6" i="3"/>
  <c r="AD18" i="2"/>
  <c r="AO13" i="2"/>
  <c r="AQ14" i="2"/>
  <c r="K44" i="4" l="1"/>
  <c r="Z44" i="4"/>
  <c r="Z45" i="4" s="1"/>
  <c r="M7" i="3"/>
  <c r="AO14" i="2"/>
  <c r="AQ15" i="2"/>
  <c r="N7" i="3" l="1"/>
  <c r="M8" i="3" s="1"/>
  <c r="AO15" i="2"/>
  <c r="AQ16" i="2"/>
  <c r="N8" i="3" l="1"/>
  <c r="M9" i="3" s="1"/>
  <c r="N9" i="3" s="1"/>
  <c r="M10" i="3" s="1"/>
  <c r="N10" i="3" s="1"/>
  <c r="M11" i="3" s="1"/>
  <c r="N11" i="3" s="1"/>
  <c r="AO16" i="2"/>
  <c r="AQ17" i="2"/>
  <c r="M12" i="3" l="1"/>
  <c r="N12" i="3" s="1"/>
  <c r="AO17" i="2"/>
  <c r="AQ18" i="2"/>
  <c r="M13" i="3" l="1"/>
  <c r="N13" i="3" s="1"/>
  <c r="AO18" i="2"/>
  <c r="AQ19" i="2"/>
  <c r="M14" i="3" l="1"/>
  <c r="N14" i="3" s="1"/>
  <c r="AO19" i="2"/>
  <c r="AQ20" i="2"/>
  <c r="M15" i="3" l="1"/>
  <c r="N15" i="3" s="1"/>
  <c r="AO20" i="2"/>
  <c r="AQ21" i="2"/>
  <c r="M16" i="3" l="1"/>
  <c r="N16" i="3" s="1"/>
  <c r="AO22" i="2"/>
  <c r="AO21" i="2"/>
  <c r="AQ22" i="2"/>
  <c r="AR21" i="2"/>
  <c r="M17" i="3" l="1"/>
  <c r="N17" i="3" s="1"/>
  <c r="AM27" i="2"/>
  <c r="AS21" i="2"/>
  <c r="AQ23" i="2"/>
  <c r="AR22" i="2"/>
  <c r="AS22" i="2" s="1"/>
  <c r="AR13" i="2"/>
  <c r="AS13" i="2" s="1"/>
  <c r="AR14" i="2"/>
  <c r="AS14" i="2" s="1"/>
  <c r="AR15" i="2"/>
  <c r="AS15" i="2" s="1"/>
  <c r="AR16" i="2"/>
  <c r="AS16" i="2" s="1"/>
  <c r="AR17" i="2"/>
  <c r="AS17" i="2" s="1"/>
  <c r="AR18" i="2"/>
  <c r="AS18" i="2" s="1"/>
  <c r="AR19" i="2"/>
  <c r="AS19" i="2" s="1"/>
  <c r="AR20" i="2"/>
  <c r="AS20" i="2" s="1"/>
  <c r="M18" i="3" l="1"/>
  <c r="N18" i="3" s="1"/>
  <c r="AR23" i="2"/>
  <c r="AS23" i="2" s="1"/>
  <c r="AQ24" i="2"/>
  <c r="AR24" i="2" s="1"/>
  <c r="AS24" i="2" s="1"/>
  <c r="AM26" i="2"/>
  <c r="AM29" i="2" s="1"/>
  <c r="M19" i="3" l="1"/>
  <c r="N19" i="3" s="1"/>
  <c r="G70" i="2"/>
  <c r="G72" i="2"/>
  <c r="G71" i="2"/>
  <c r="M20" i="3" l="1"/>
  <c r="N20" i="3" s="1"/>
  <c r="W26" i="2"/>
  <c r="N59" i="2"/>
  <c r="X11" i="2"/>
  <c r="W25" i="2"/>
  <c r="W14" i="2"/>
  <c r="W15" i="2"/>
  <c r="W16" i="2"/>
  <c r="W17" i="2"/>
  <c r="W18" i="2"/>
  <c r="W19" i="2"/>
  <c r="W20" i="2"/>
  <c r="W21" i="2"/>
  <c r="W22" i="2"/>
  <c r="W23" i="2"/>
  <c r="W24" i="2"/>
  <c r="W13" i="2"/>
  <c r="V25" i="2"/>
  <c r="V14" i="2"/>
  <c r="V15" i="2"/>
  <c r="V16" i="2"/>
  <c r="V17" i="2"/>
  <c r="V18" i="2"/>
  <c r="V19" i="2"/>
  <c r="V20" i="2"/>
  <c r="V21" i="2"/>
  <c r="V22" i="2"/>
  <c r="V23" i="2"/>
  <c r="V24" i="2"/>
  <c r="V13" i="2"/>
  <c r="N56" i="2"/>
  <c r="N55" i="2"/>
  <c r="N54" i="2"/>
  <c r="R25" i="2"/>
  <c r="U25" i="2"/>
  <c r="U14" i="2"/>
  <c r="U15" i="2"/>
  <c r="U16" i="2"/>
  <c r="U17" i="2"/>
  <c r="U18" i="2"/>
  <c r="U19" i="2"/>
  <c r="U20" i="2"/>
  <c r="U21" i="2"/>
  <c r="U22" i="2"/>
  <c r="U23" i="2"/>
  <c r="U24" i="2"/>
  <c r="U13" i="2"/>
  <c r="T25" i="2"/>
  <c r="T14" i="2"/>
  <c r="T15" i="2"/>
  <c r="T16" i="2"/>
  <c r="T17" i="2"/>
  <c r="T18" i="2"/>
  <c r="T19" i="2"/>
  <c r="T20" i="2"/>
  <c r="T21" i="2"/>
  <c r="T22" i="2"/>
  <c r="T23" i="2"/>
  <c r="T24" i="2"/>
  <c r="T13" i="2"/>
  <c r="S25" i="2"/>
  <c r="S14" i="2"/>
  <c r="S15" i="2"/>
  <c r="S16" i="2"/>
  <c r="S17" i="2"/>
  <c r="S18" i="2"/>
  <c r="S19" i="2"/>
  <c r="S20" i="2"/>
  <c r="S21" i="2"/>
  <c r="S22" i="2"/>
  <c r="S23" i="2"/>
  <c r="S24" i="2"/>
  <c r="S13" i="2"/>
  <c r="R14" i="2"/>
  <c r="R15" i="2"/>
  <c r="R16" i="2"/>
  <c r="R17" i="2"/>
  <c r="R18" i="2"/>
  <c r="R19" i="2"/>
  <c r="R20" i="2"/>
  <c r="R21" i="2"/>
  <c r="R22" i="2"/>
  <c r="R23" i="2"/>
  <c r="R24" i="2"/>
  <c r="R13" i="2"/>
  <c r="G52" i="2"/>
  <c r="Q25" i="2"/>
  <c r="Q14" i="2"/>
  <c r="Q15" i="2"/>
  <c r="Q16" i="2"/>
  <c r="Q17" i="2"/>
  <c r="Q18" i="2"/>
  <c r="Q19" i="2"/>
  <c r="Q20" i="2"/>
  <c r="Q21" i="2"/>
  <c r="Q22" i="2"/>
  <c r="Q23" i="2"/>
  <c r="Q24" i="2"/>
  <c r="Q13" i="2"/>
  <c r="N53" i="2"/>
  <c r="M21" i="3" l="1"/>
  <c r="N21" i="3" s="1"/>
  <c r="AI12" i="2"/>
  <c r="AJ12" i="2" s="1"/>
  <c r="AI13" i="2"/>
  <c r="AJ13" i="2" s="1"/>
  <c r="AI14" i="2"/>
  <c r="AJ14" i="2" s="1"/>
  <c r="AI15" i="2"/>
  <c r="AJ15" i="2" s="1"/>
  <c r="AI16" i="2"/>
  <c r="AJ16" i="2" s="1"/>
  <c r="AI17" i="2"/>
  <c r="AJ17" i="2" s="1"/>
  <c r="AI18" i="2"/>
  <c r="AJ18" i="2" s="1"/>
  <c r="AI19" i="2"/>
  <c r="AJ19" i="2" s="1"/>
  <c r="AI20" i="2"/>
  <c r="AJ20" i="2" s="1"/>
  <c r="AI21" i="2"/>
  <c r="AJ21" i="2" s="1"/>
  <c r="AI22" i="2"/>
  <c r="AJ22" i="2" s="1"/>
  <c r="AI11" i="2"/>
  <c r="AJ11" i="2" s="1"/>
  <c r="AC10" i="2"/>
  <c r="AD10" i="2" s="1"/>
  <c r="AC11" i="2"/>
  <c r="AD11" i="2" s="1"/>
  <c r="M22" i="3" l="1"/>
  <c r="N22" i="3" s="1"/>
  <c r="F3" i="2"/>
  <c r="F4" i="2"/>
  <c r="M13" i="2"/>
  <c r="N13" i="2"/>
  <c r="M25" i="2"/>
  <c r="N25" i="2" s="1"/>
  <c r="O14" i="2"/>
  <c r="O15" i="2" s="1"/>
  <c r="O16" i="2" s="1"/>
  <c r="O17" i="2" s="1"/>
  <c r="O18" i="2" s="1"/>
  <c r="O19" i="2" s="1"/>
  <c r="O20" i="2" s="1"/>
  <c r="O21" i="2" s="1"/>
  <c r="O13" i="2"/>
  <c r="M14" i="2"/>
  <c r="M15" i="2"/>
  <c r="M16" i="2"/>
  <c r="M17" i="2"/>
  <c r="M18" i="2"/>
  <c r="M19" i="2"/>
  <c r="N19" i="2" s="1"/>
  <c r="M20" i="2"/>
  <c r="N20" i="2" s="1"/>
  <c r="M21" i="2"/>
  <c r="N21" i="2" s="1"/>
  <c r="M22" i="2"/>
  <c r="M23" i="2"/>
  <c r="N23" i="2" s="1"/>
  <c r="M24" i="2"/>
  <c r="J18" i="2"/>
  <c r="I18" i="2"/>
  <c r="I16" i="2"/>
  <c r="F7" i="2"/>
  <c r="M23" i="3" l="1"/>
  <c r="N23" i="3" s="1"/>
  <c r="N18" i="2"/>
  <c r="P13" i="2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N22" i="2"/>
  <c r="N14" i="2"/>
  <c r="N17" i="2"/>
  <c r="N16" i="2"/>
  <c r="N15" i="2"/>
  <c r="N24" i="2"/>
  <c r="F6" i="2"/>
  <c r="F5" i="2" s="1"/>
  <c r="M24" i="3" l="1"/>
  <c r="N24" i="3" s="1"/>
  <c r="J13" i="2"/>
  <c r="K13" i="2" s="1"/>
  <c r="J19" i="2"/>
  <c r="K19" i="2" s="1"/>
  <c r="J17" i="2"/>
  <c r="K17" i="2" s="1"/>
  <c r="J16" i="2"/>
  <c r="K16" i="2" s="1"/>
  <c r="J15" i="2"/>
  <c r="K15" i="2" s="1"/>
  <c r="J14" i="2"/>
  <c r="K14" i="2" s="1"/>
  <c r="J20" i="2"/>
  <c r="M25" i="3" l="1"/>
  <c r="N25" i="3" s="1"/>
  <c r="I21" i="2"/>
  <c r="K20" i="2"/>
  <c r="M26" i="3" l="1"/>
  <c r="N26" i="3" s="1"/>
  <c r="J21" i="2"/>
  <c r="I22" i="2" s="1"/>
  <c r="M27" i="3" l="1"/>
  <c r="N27" i="3" s="1"/>
  <c r="K21" i="2"/>
  <c r="J22" i="2"/>
  <c r="K22" i="2" s="1"/>
  <c r="M28" i="3" l="1"/>
  <c r="N28" i="3" s="1"/>
  <c r="I23" i="2"/>
  <c r="J23" i="2"/>
  <c r="I24" i="2" s="1"/>
  <c r="J24" i="2" l="1"/>
  <c r="K24" i="2" s="1"/>
  <c r="K23" i="2"/>
  <c r="K55" i="2" l="1"/>
  <c r="K54" i="2"/>
  <c r="K52" i="2"/>
  <c r="K57" i="2"/>
  <c r="N58" i="2"/>
  <c r="G56" i="2"/>
  <c r="K53" i="2" s="1"/>
  <c r="K56" i="2"/>
  <c r="I63" i="2"/>
  <c r="E63" i="2"/>
  <c r="N57" i="2" l="1"/>
</calcChain>
</file>

<file path=xl/sharedStrings.xml><?xml version="1.0" encoding="utf-8"?>
<sst xmlns="http://schemas.openxmlformats.org/spreadsheetml/2006/main" count="18340" uniqueCount="4820">
  <si>
    <t>rownames</t>
  </si>
  <si>
    <t>rank</t>
  </si>
  <si>
    <t>name</t>
  </si>
  <si>
    <t>country</t>
  </si>
  <si>
    <t>category</t>
  </si>
  <si>
    <t>sales</t>
  </si>
  <si>
    <t>profits</t>
  </si>
  <si>
    <t>assets</t>
  </si>
  <si>
    <t>marketvalue</t>
  </si>
  <si>
    <t>Citigroup</t>
  </si>
  <si>
    <t>United States</t>
  </si>
  <si>
    <t>Banking</t>
  </si>
  <si>
    <t>94.71</t>
  </si>
  <si>
    <t>17.85</t>
  </si>
  <si>
    <t>1264.03</t>
  </si>
  <si>
    <t>255.3</t>
  </si>
  <si>
    <t>General Electric</t>
  </si>
  <si>
    <t>Conglomerates</t>
  </si>
  <si>
    <t>134.19</t>
  </si>
  <si>
    <t>15.59</t>
  </si>
  <si>
    <t>626.93</t>
  </si>
  <si>
    <t>328.54</t>
  </si>
  <si>
    <t>American Intl Group</t>
  </si>
  <si>
    <t>Insurance</t>
  </si>
  <si>
    <t>76.66</t>
  </si>
  <si>
    <t>6.46</t>
  </si>
  <si>
    <t>647.66</t>
  </si>
  <si>
    <t>194.87</t>
  </si>
  <si>
    <t>ExxonMobil</t>
  </si>
  <si>
    <t>Oil &amp; gas operations</t>
  </si>
  <si>
    <t>222.88</t>
  </si>
  <si>
    <t>20.96</t>
  </si>
  <si>
    <t>166.99</t>
  </si>
  <si>
    <t>277.02</t>
  </si>
  <si>
    <t>BP</t>
  </si>
  <si>
    <t>United Kingdom</t>
  </si>
  <si>
    <t>232.57</t>
  </si>
  <si>
    <t>10.27</t>
  </si>
  <si>
    <t>177.57</t>
  </si>
  <si>
    <t>173.54</t>
  </si>
  <si>
    <t>Bank of America</t>
  </si>
  <si>
    <t>49.01</t>
  </si>
  <si>
    <t>10.81</t>
  </si>
  <si>
    <t>736.45</t>
  </si>
  <si>
    <t>117.55</t>
  </si>
  <si>
    <t>HSBC Group</t>
  </si>
  <si>
    <t>44.33</t>
  </si>
  <si>
    <t>6.66</t>
  </si>
  <si>
    <t>757.6</t>
  </si>
  <si>
    <t>177.96</t>
  </si>
  <si>
    <t>Toyota Motor</t>
  </si>
  <si>
    <t>Japan</t>
  </si>
  <si>
    <t>Consumer durables</t>
  </si>
  <si>
    <t>135.82</t>
  </si>
  <si>
    <t>7.99</t>
  </si>
  <si>
    <t>171.71</t>
  </si>
  <si>
    <t>115.4</t>
  </si>
  <si>
    <t>Fannie Mae</t>
  </si>
  <si>
    <t>Diversified financials</t>
  </si>
  <si>
    <t>53.13</t>
  </si>
  <si>
    <t>6.48</t>
  </si>
  <si>
    <t>1019.17</t>
  </si>
  <si>
    <t>76.84</t>
  </si>
  <si>
    <t>Wal-Mart Stores</t>
  </si>
  <si>
    <t>Retailing</t>
  </si>
  <si>
    <t>256.33</t>
  </si>
  <si>
    <t>9.05</t>
  </si>
  <si>
    <t>104.91</t>
  </si>
  <si>
    <t>243.74</t>
  </si>
  <si>
    <t>UBS</t>
  </si>
  <si>
    <t>Switzerland</t>
  </si>
  <si>
    <t>48.95</t>
  </si>
  <si>
    <t>5.15</t>
  </si>
  <si>
    <t>853.23</t>
  </si>
  <si>
    <t>85.07</t>
  </si>
  <si>
    <t>ING Group</t>
  </si>
  <si>
    <t>Netherlands</t>
  </si>
  <si>
    <t>94.72</t>
  </si>
  <si>
    <t>4.73</t>
  </si>
  <si>
    <t>752.49</t>
  </si>
  <si>
    <t>54.59</t>
  </si>
  <si>
    <t>Royal Dutch/Shell Group</t>
  </si>
  <si>
    <t>Netherlands/ United Kingdom</t>
  </si>
  <si>
    <t>133.5</t>
  </si>
  <si>
    <t>8.4</t>
  </si>
  <si>
    <t>100.72</t>
  </si>
  <si>
    <t>163.45</t>
  </si>
  <si>
    <t>Berkshire Hathaway</t>
  </si>
  <si>
    <t>56.22</t>
  </si>
  <si>
    <t>6.95</t>
  </si>
  <si>
    <t>172.24</t>
  </si>
  <si>
    <t>141.14</t>
  </si>
  <si>
    <t>JP Morgan Chase</t>
  </si>
  <si>
    <t>44.39</t>
  </si>
  <si>
    <t>4.47</t>
  </si>
  <si>
    <t>792.7</t>
  </si>
  <si>
    <t>81.94</t>
  </si>
  <si>
    <t>IBM</t>
  </si>
  <si>
    <t>Technology hardware &amp; equipment</t>
  </si>
  <si>
    <t>89.13</t>
  </si>
  <si>
    <t>7.58</t>
  </si>
  <si>
    <t>104.46</t>
  </si>
  <si>
    <t>171.54</t>
  </si>
  <si>
    <t>Total</t>
  </si>
  <si>
    <t>France</t>
  </si>
  <si>
    <t>131.64</t>
  </si>
  <si>
    <t>8.84</t>
  </si>
  <si>
    <t>87.84</t>
  </si>
  <si>
    <t>116.64</t>
  </si>
  <si>
    <t>BNP Paribas</t>
  </si>
  <si>
    <t>47.74</t>
  </si>
  <si>
    <t>745.09</t>
  </si>
  <si>
    <t>59.29</t>
  </si>
  <si>
    <t>Royal Bank of Scotland</t>
  </si>
  <si>
    <t>35.65</t>
  </si>
  <si>
    <t>4.95</t>
  </si>
  <si>
    <t>663.45</t>
  </si>
  <si>
    <t>90.21</t>
  </si>
  <si>
    <t>Freddie Mac</t>
  </si>
  <si>
    <t>46.26</t>
  </si>
  <si>
    <t>10.09</t>
  </si>
  <si>
    <t>752.25</t>
  </si>
  <si>
    <t>44.25</t>
  </si>
  <si>
    <t>DaimlerChrysler</t>
  </si>
  <si>
    <t>Germany</t>
  </si>
  <si>
    <t>157.13</t>
  </si>
  <si>
    <t>5.12</t>
  </si>
  <si>
    <t>195.58</t>
  </si>
  <si>
    <t>47.43</t>
  </si>
  <si>
    <t>Altria Group</t>
  </si>
  <si>
    <t>Food drink &amp; tobacco</t>
  </si>
  <si>
    <t>60.7</t>
  </si>
  <si>
    <t>9.2</t>
  </si>
  <si>
    <t>96.18</t>
  </si>
  <si>
    <t>111.02</t>
  </si>
  <si>
    <t>ChevronTexaco</t>
  </si>
  <si>
    <t>112.94</t>
  </si>
  <si>
    <t>7.43</t>
  </si>
  <si>
    <t>82.36</t>
  </si>
  <si>
    <t>92.49</t>
  </si>
  <si>
    <t>Pfizer</t>
  </si>
  <si>
    <t>Drugs &amp; biotechnology</t>
  </si>
  <si>
    <t>40.36</t>
  </si>
  <si>
    <t>6.2</t>
  </si>
  <si>
    <t>120.06</t>
  </si>
  <si>
    <t>285.27</t>
  </si>
  <si>
    <t>Wells Fargo</t>
  </si>
  <si>
    <t>31.8</t>
  </si>
  <si>
    <t>387.8</t>
  </si>
  <si>
    <t>97.53</t>
  </si>
  <si>
    <t>Verizon Commun</t>
  </si>
  <si>
    <t>Telecommunications services</t>
  </si>
  <si>
    <t>67.75</t>
  </si>
  <si>
    <t>2.57</t>
  </si>
  <si>
    <t>165.97</t>
  </si>
  <si>
    <t>103.97</t>
  </si>
  <si>
    <t>Barclays</t>
  </si>
  <si>
    <t>33.69</t>
  </si>
  <si>
    <t>4.9</t>
  </si>
  <si>
    <t>791.54</t>
  </si>
  <si>
    <t>61.33</t>
  </si>
  <si>
    <t>Morgan Stanley</t>
  </si>
  <si>
    <t>3.64</t>
  </si>
  <si>
    <t>580.63</t>
  </si>
  <si>
    <t>64.81</t>
  </si>
  <si>
    <t>General Motors</t>
  </si>
  <si>
    <t>185.52</t>
  </si>
  <si>
    <t>3.82</t>
  </si>
  <si>
    <t>27.47</t>
  </si>
  <si>
    <t>Nippon Tel &amp; Tel</t>
  </si>
  <si>
    <t>92.41</t>
  </si>
  <si>
    <t>2.17</t>
  </si>
  <si>
    <t>150.87</t>
  </si>
  <si>
    <t>Microsoft</t>
  </si>
  <si>
    <t>Software &amp; services</t>
  </si>
  <si>
    <t>34.27</t>
  </si>
  <si>
    <t>8.88</t>
  </si>
  <si>
    <t>85.94</t>
  </si>
  <si>
    <t>287.02</t>
  </si>
  <si>
    <t>Nestle</t>
  </si>
  <si>
    <t>64.56</t>
  </si>
  <si>
    <t>5.48</t>
  </si>
  <si>
    <t>62.15</t>
  </si>
  <si>
    <t>106.55</t>
  </si>
  <si>
    <t>SBC Communications</t>
  </si>
  <si>
    <t>39.16</t>
  </si>
  <si>
    <t>5.97</t>
  </si>
  <si>
    <t>100.17</t>
  </si>
  <si>
    <t>82.93</t>
  </si>
  <si>
    <t>Deutsche Bank Group</t>
  </si>
  <si>
    <t>58.85</t>
  </si>
  <si>
    <t>1.53</t>
  </si>
  <si>
    <t>792.49</t>
  </si>
  <si>
    <t>50.23</t>
  </si>
  <si>
    <t>Siemens Group</t>
  </si>
  <si>
    <t>86.62</t>
  </si>
  <si>
    <t>2.81</t>
  </si>
  <si>
    <t>85.47</t>
  </si>
  <si>
    <t>75.77</t>
  </si>
  <si>
    <t>HBOS</t>
  </si>
  <si>
    <t>32.68</t>
  </si>
  <si>
    <t>3.09</t>
  </si>
  <si>
    <t>571.76</t>
  </si>
  <si>
    <t>52.87</t>
  </si>
  <si>
    <t>ENI</t>
  </si>
  <si>
    <t>Italy</t>
  </si>
  <si>
    <t>53.29</t>
  </si>
  <si>
    <t>4.82</t>
  </si>
  <si>
    <t>67.91</t>
  </si>
  <si>
    <t>76.13</t>
  </si>
  <si>
    <t>ConocoPhillips</t>
  </si>
  <si>
    <t>90.49</t>
  </si>
  <si>
    <t>4.83</t>
  </si>
  <si>
    <t>81.95</t>
  </si>
  <si>
    <t>46.72</t>
  </si>
  <si>
    <t>Banco Santander Central</t>
  </si>
  <si>
    <t>Spain</t>
  </si>
  <si>
    <t>28.7</t>
  </si>
  <si>
    <t>3.28</t>
  </si>
  <si>
    <t>442.24</t>
  </si>
  <si>
    <t>56.78</t>
  </si>
  <si>
    <t>Merrill Lynch</t>
  </si>
  <si>
    <t>26.64</t>
  </si>
  <si>
    <t>3.47</t>
  </si>
  <si>
    <t>485.77</t>
  </si>
  <si>
    <t>57.52</t>
  </si>
  <si>
    <t>Wachovia</t>
  </si>
  <si>
    <t>24.47</t>
  </si>
  <si>
    <t>4.25</t>
  </si>
  <si>
    <t>400.87</t>
  </si>
  <si>
    <t>62.35</t>
  </si>
  <si>
    <t>Time Warner</t>
  </si>
  <si>
    <t>Media</t>
  </si>
  <si>
    <t>38.08</t>
  </si>
  <si>
    <t>2.65</t>
  </si>
  <si>
    <t>121.78</t>
  </si>
  <si>
    <t>77.95</t>
  </si>
  <si>
    <t>Hewlett-Packard</t>
  </si>
  <si>
    <t>73.06</t>
  </si>
  <si>
    <t>2.54</t>
  </si>
  <si>
    <t>74.71</t>
  </si>
  <si>
    <t>70.2</t>
  </si>
  <si>
    <t>Procter &amp; Gamble</t>
  </si>
  <si>
    <t>Household &amp; personal products</t>
  </si>
  <si>
    <t>46.99</t>
  </si>
  <si>
    <t>5.81</t>
  </si>
  <si>
    <t>53.86</t>
  </si>
  <si>
    <t>131.89</t>
  </si>
  <si>
    <t>Samsung Electronics</t>
  </si>
  <si>
    <t>South Korea</t>
  </si>
  <si>
    <t>Semiconductors</t>
  </si>
  <si>
    <t>50.22</t>
  </si>
  <si>
    <t>5.95</t>
  </si>
  <si>
    <t>54.58</t>
  </si>
  <si>
    <t>72.72</t>
  </si>
  <si>
    <t>Johnson &amp; Johnson</t>
  </si>
  <si>
    <t>40.01</t>
  </si>
  <si>
    <t>6.74</t>
  </si>
  <si>
    <t>46.66</t>
  </si>
  <si>
    <t>160.96</t>
  </si>
  <si>
    <t>Lloyds TSB Group</t>
  </si>
  <si>
    <t>24.48</t>
  </si>
  <si>
    <t>2.87</t>
  </si>
  <si>
    <t>406.99</t>
  </si>
  <si>
    <t>48.11</t>
  </si>
  <si>
    <t>ABN-Amro Holding</t>
  </si>
  <si>
    <t>23.64</t>
  </si>
  <si>
    <t>3.98</t>
  </si>
  <si>
    <t>704.95</t>
  </si>
  <si>
    <t>39.29</t>
  </si>
  <si>
    <t>Honda Motor</t>
  </si>
  <si>
    <t>67.44</t>
  </si>
  <si>
    <t>3.61</t>
  </si>
  <si>
    <t>63.09</t>
  </si>
  <si>
    <t>40.61</t>
  </si>
  <si>
    <t>American Express</t>
  </si>
  <si>
    <t>24.17</t>
  </si>
  <si>
    <t>68.89</t>
  </si>
  <si>
    <t>Nissan Motor</t>
  </si>
  <si>
    <t>57.77</t>
  </si>
  <si>
    <t>4.19</t>
  </si>
  <si>
    <t>60.56</t>
  </si>
  <si>
    <t>41.71</t>
  </si>
  <si>
    <t>Bank One</t>
  </si>
  <si>
    <t>21.04</t>
  </si>
  <si>
    <t>3.4</t>
  </si>
  <si>
    <t>290.01</t>
  </si>
  <si>
    <t>58.38</t>
  </si>
  <si>
    <t>AXA Group</t>
  </si>
  <si>
    <t>90.1</t>
  </si>
  <si>
    <t>456.13</t>
  </si>
  <si>
    <t>41.39</t>
  </si>
  <si>
    <t>Societe Generale Group</t>
  </si>
  <si>
    <t>35.52</t>
  </si>
  <si>
    <t>1.61</t>
  </si>
  <si>
    <t>526.54</t>
  </si>
  <si>
    <t>PetroChina</t>
  </si>
  <si>
    <t>China</t>
  </si>
  <si>
    <t>29.53</t>
  </si>
  <si>
    <t>5.67</t>
  </si>
  <si>
    <t>58.36</t>
  </si>
  <si>
    <t>Goldman Sachs Group</t>
  </si>
  <si>
    <t>22.84</t>
  </si>
  <si>
    <t>394.14</t>
  </si>
  <si>
    <t>50.12</t>
  </si>
  <si>
    <t>BBVA-Banco Bilbao Vizcaya</t>
  </si>
  <si>
    <t>24.1</t>
  </si>
  <si>
    <t>288.8</t>
  </si>
  <si>
    <t>44.67</t>
  </si>
  <si>
    <t>Intel</t>
  </si>
  <si>
    <t>30.14</t>
  </si>
  <si>
    <t>5.64</t>
  </si>
  <si>
    <t>47.14</t>
  </si>
  <si>
    <t>196.87</t>
  </si>
  <si>
    <t>MetLife</t>
  </si>
  <si>
    <t>35.79</t>
  </si>
  <si>
    <t>2.24</t>
  </si>
  <si>
    <t>326.84</t>
  </si>
  <si>
    <t>26.34</t>
  </si>
  <si>
    <t>Home Depot</t>
  </si>
  <si>
    <t>62.9</t>
  </si>
  <si>
    <t>4.04</t>
  </si>
  <si>
    <t>35.37</t>
  </si>
  <si>
    <t>82.29</t>
  </si>
  <si>
    <t>Viacom</t>
  </si>
  <si>
    <t>25.85</t>
  </si>
  <si>
    <t>2.47</t>
  </si>
  <si>
    <t>90.94</t>
  </si>
  <si>
    <t>68.66</t>
  </si>
  <si>
    <t>Allstate</t>
  </si>
  <si>
    <t>32.15</t>
  </si>
  <si>
    <t>2.73</t>
  </si>
  <si>
    <t>134.14</t>
  </si>
  <si>
    <t>32.9</t>
  </si>
  <si>
    <t>Merck &amp; Co</t>
  </si>
  <si>
    <t>30.78</t>
  </si>
  <si>
    <t>7.33</t>
  </si>
  <si>
    <t>42.59</t>
  </si>
  <si>
    <t>108.76</t>
  </si>
  <si>
    <t>Novartis Group</t>
  </si>
  <si>
    <t>26.77</t>
  </si>
  <si>
    <t>5.4</t>
  </si>
  <si>
    <t>46.92</t>
  </si>
  <si>
    <t>116.43</t>
  </si>
  <si>
    <t>ENEL</t>
  </si>
  <si>
    <t>Utilities</t>
  </si>
  <si>
    <t>38.99</t>
  </si>
  <si>
    <t>2.11</t>
  </si>
  <si>
    <t>71.36</t>
  </si>
  <si>
    <t>46.84</t>
  </si>
  <si>
    <t>Unilever</t>
  </si>
  <si>
    <t>50.7</t>
  </si>
  <si>
    <t>45.49</t>
  </si>
  <si>
    <t>72.19</t>
  </si>
  <si>
    <t>Washington Mutual</t>
  </si>
  <si>
    <t>18.01</t>
  </si>
  <si>
    <t>3.88</t>
  </si>
  <si>
    <t>275.18</t>
  </si>
  <si>
    <t>39.69</t>
  </si>
  <si>
    <t>Credit Agricole</t>
  </si>
  <si>
    <t>31.77</t>
  </si>
  <si>
    <t>1.12</t>
  </si>
  <si>
    <t>531.01</t>
  </si>
  <si>
    <t>38.8</t>
  </si>
  <si>
    <t>Deutsche Post</t>
  </si>
  <si>
    <t>Transportation</t>
  </si>
  <si>
    <t>41.23</t>
  </si>
  <si>
    <t>1.64</t>
  </si>
  <si>
    <t>169.33</t>
  </si>
  <si>
    <t>26.83</t>
  </si>
  <si>
    <t>Comcast</t>
  </si>
  <si>
    <t>18.35</t>
  </si>
  <si>
    <t>3.24</t>
  </si>
  <si>
    <t>109.16</t>
  </si>
  <si>
    <t>67.3</t>
  </si>
  <si>
    <t>Volkswagen Group</t>
  </si>
  <si>
    <t>91.33</t>
  </si>
  <si>
    <t>2.71</t>
  </si>
  <si>
    <t>112.87</t>
  </si>
  <si>
    <t>17.42</t>
  </si>
  <si>
    <t>Tokyo Electric Power</t>
  </si>
  <si>
    <t>41.62</t>
  </si>
  <si>
    <t>1.4</t>
  </si>
  <si>
    <t>116.68</t>
  </si>
  <si>
    <t>30.63</t>
  </si>
  <si>
    <t>Munich Re</t>
  </si>
  <si>
    <t>45.85</t>
  </si>
  <si>
    <t>1.14</t>
  </si>
  <si>
    <t>191.33</t>
  </si>
  <si>
    <t>26.63</t>
  </si>
  <si>
    <t>BMW-Bayerische Motor</t>
  </si>
  <si>
    <t>52.23</t>
  </si>
  <si>
    <t>2.12</t>
  </si>
  <si>
    <t>58.11</t>
  </si>
  <si>
    <t>29.03</t>
  </si>
  <si>
    <t>Ford Motor</t>
  </si>
  <si>
    <t>164.2</t>
  </si>
  <si>
    <t>0.76</t>
  </si>
  <si>
    <t>312.56</t>
  </si>
  <si>
    <t>26.29</t>
  </si>
  <si>
    <t>Tyco International</t>
  </si>
  <si>
    <t>Bermuda</t>
  </si>
  <si>
    <t>37.57</t>
  </si>
  <si>
    <t>1.19</t>
  </si>
  <si>
    <t>62.8</t>
  </si>
  <si>
    <t>58.41</t>
  </si>
  <si>
    <t>US Bancorp</t>
  </si>
  <si>
    <t>14.57</t>
  </si>
  <si>
    <t>3.73</t>
  </si>
  <si>
    <t>189.29</t>
  </si>
  <si>
    <t>52.88</t>
  </si>
  <si>
    <t>Roche Group</t>
  </si>
  <si>
    <t>25.18</t>
  </si>
  <si>
    <t>2.48</t>
  </si>
  <si>
    <t>45.77</t>
  </si>
  <si>
    <t>95.38</t>
  </si>
  <si>
    <t>Royal Bank of Canada</t>
  </si>
  <si>
    <t>Canada</t>
  </si>
  <si>
    <t>18.82</t>
  </si>
  <si>
    <t>2.28</t>
  </si>
  <si>
    <t>305.01</t>
  </si>
  <si>
    <t>31.82</t>
  </si>
  <si>
    <t>GlaxoSmithKline</t>
  </si>
  <si>
    <t>34.16</t>
  </si>
  <si>
    <t>6.34</t>
  </si>
  <si>
    <t>29.19</t>
  </si>
  <si>
    <t>124.79</t>
  </si>
  <si>
    <t>China Petroleum &amp; Chemical</t>
  </si>
  <si>
    <t>1.94</t>
  </si>
  <si>
    <t>45.32</t>
  </si>
  <si>
    <t>50.09</t>
  </si>
  <si>
    <t>Sony</t>
  </si>
  <si>
    <t>63.23</t>
  </si>
  <si>
    <t>0.98</t>
  </si>
  <si>
    <t>68.04</t>
  </si>
  <si>
    <t>Nokia</t>
  </si>
  <si>
    <t>Finland</t>
  </si>
  <si>
    <t>37.05</t>
  </si>
  <si>
    <t>4.52</t>
  </si>
  <si>
    <t>29.15</t>
  </si>
  <si>
    <t>104.3</t>
  </si>
  <si>
    <t>BellSouth</t>
  </si>
  <si>
    <t>22.58</t>
  </si>
  <si>
    <t>3.59</t>
  </si>
  <si>
    <t>49.62</t>
  </si>
  <si>
    <t>54.08</t>
  </si>
  <si>
    <t>Walt Disney</t>
  </si>
  <si>
    <t>28.44</t>
  </si>
  <si>
    <t>1.92</t>
  </si>
  <si>
    <t>51.52</t>
  </si>
  <si>
    <t>55.06</t>
  </si>
  <si>
    <t>Natl Australia Bank</t>
  </si>
  <si>
    <t>Australia</t>
  </si>
  <si>
    <t>15.34</t>
  </si>
  <si>
    <t>2.69</t>
  </si>
  <si>
    <t>269.94</t>
  </si>
  <si>
    <t>36.51</t>
  </si>
  <si>
    <t>Gazprom</t>
  </si>
  <si>
    <t>Russia</t>
  </si>
  <si>
    <t>19.21</t>
  </si>
  <si>
    <t>3.81</t>
  </si>
  <si>
    <t>77.15</t>
  </si>
  <si>
    <t>36.28</t>
  </si>
  <si>
    <t>Carrefour Group</t>
  </si>
  <si>
    <t>Food markets</t>
  </si>
  <si>
    <t>96.94</t>
  </si>
  <si>
    <t>1.45</t>
  </si>
  <si>
    <t>40.11</t>
  </si>
  <si>
    <t>37.19</t>
  </si>
  <si>
    <t>Cisco Systems</t>
  </si>
  <si>
    <t>19.82</t>
  </si>
  <si>
    <t>4.35</t>
  </si>
  <si>
    <t>36.59</t>
  </si>
  <si>
    <t>166.09</t>
  </si>
  <si>
    <t>FleetBoston Finl</t>
  </si>
  <si>
    <t>14.22</t>
  </si>
  <si>
    <t>2.13</t>
  </si>
  <si>
    <t>196.4</t>
  </si>
  <si>
    <t>47.19</t>
  </si>
  <si>
    <t>RWE Group</t>
  </si>
  <si>
    <t>45.68</t>
  </si>
  <si>
    <t>1.1</t>
  </si>
  <si>
    <t>97.35</t>
  </si>
  <si>
    <t>23.76</t>
  </si>
  <si>
    <t>UniCredito Italiano</t>
  </si>
  <si>
    <t>16.53</t>
  </si>
  <si>
    <t>1.89</t>
  </si>
  <si>
    <t>223.6</t>
  </si>
  <si>
    <t>33.53</t>
  </si>
  <si>
    <t>BT Group</t>
  </si>
  <si>
    <t>29.58</t>
  </si>
  <si>
    <t>4.24</t>
  </si>
  <si>
    <t>44.42</t>
  </si>
  <si>
    <t>28.73</t>
  </si>
  <si>
    <t>United Parcel Service</t>
  </si>
  <si>
    <t>32.81</t>
  </si>
  <si>
    <t>3.54</t>
  </si>
  <si>
    <t>28.37</t>
  </si>
  <si>
    <t>79.62</t>
  </si>
  <si>
    <t>United Technologies</t>
  </si>
  <si>
    <t>31.03</t>
  </si>
  <si>
    <t>2.36</t>
  </si>
  <si>
    <t>34.65</t>
  </si>
  <si>
    <t>48.77</t>
  </si>
  <si>
    <t>Fortis</t>
  </si>
  <si>
    <t>52.51</t>
  </si>
  <si>
    <t>0.56</t>
  </si>
  <si>
    <t>507.98</t>
  </si>
  <si>
    <t>30.19</t>
  </si>
  <si>
    <t>Dow Chemical</t>
  </si>
  <si>
    <t>Chemicals</t>
  </si>
  <si>
    <t>32.63</t>
  </si>
  <si>
    <t>1.74</t>
  </si>
  <si>
    <t>41.89</t>
  </si>
  <si>
    <t>39.85</t>
  </si>
  <si>
    <t>Aegon Insurance Group</t>
  </si>
  <si>
    <t>17.75</t>
  </si>
  <si>
    <t>1.63</t>
  </si>
  <si>
    <t>266.59</t>
  </si>
  <si>
    <t>23.49</t>
  </si>
  <si>
    <t>Dexia</t>
  </si>
  <si>
    <t>Belgium</t>
  </si>
  <si>
    <t>19.62</t>
  </si>
  <si>
    <t>1.36</t>
  </si>
  <si>
    <t>368.37</t>
  </si>
  <si>
    <t>21.64</t>
  </si>
  <si>
    <t>Renault Group</t>
  </si>
  <si>
    <t>38.17</t>
  </si>
  <si>
    <t>2.05</t>
  </si>
  <si>
    <t>54.04</t>
  </si>
  <si>
    <t>19.64</t>
  </si>
  <si>
    <t>Target</t>
  </si>
  <si>
    <t>46.65</t>
  </si>
  <si>
    <t>1.7</t>
  </si>
  <si>
    <t>31.42</t>
  </si>
  <si>
    <t>37.52</t>
  </si>
  <si>
    <t>Coca-Cola</t>
  </si>
  <si>
    <t>21.03</t>
  </si>
  <si>
    <t>27.34</t>
  </si>
  <si>
    <t>125.37</t>
  </si>
  <si>
    <t>Lehman Bros Holdings</t>
  </si>
  <si>
    <t>17.1</t>
  </si>
  <si>
    <t>1.47</t>
  </si>
  <si>
    <t>291.64</t>
  </si>
  <si>
    <t>23.01</t>
  </si>
  <si>
    <t>PepsiCo</t>
  </si>
  <si>
    <t>26.97</t>
  </si>
  <si>
    <t>3.49</t>
  </si>
  <si>
    <t>25.33</t>
  </si>
  <si>
    <t>86.73</t>
  </si>
  <si>
    <t>Prudential</t>
  </si>
  <si>
    <t>38.22</t>
  </si>
  <si>
    <t>0.72</t>
  </si>
  <si>
    <t>242.97</t>
  </si>
  <si>
    <t>18.84</t>
  </si>
  <si>
    <t>Bank of Nova Scotia</t>
  </si>
  <si>
    <t>13.09</t>
  </si>
  <si>
    <t>1.88</t>
  </si>
  <si>
    <t>26.46</t>
  </si>
  <si>
    <t>Boeing</t>
  </si>
  <si>
    <t>Aerospace &amp; defense</t>
  </si>
  <si>
    <t>50.49</t>
  </si>
  <si>
    <t>0.7</t>
  </si>
  <si>
    <t>52.99</t>
  </si>
  <si>
    <t>35.54</t>
  </si>
  <si>
    <t>Aventis</t>
  </si>
  <si>
    <t>21.66</t>
  </si>
  <si>
    <t>2.29</t>
  </si>
  <si>
    <t>31.06</t>
  </si>
  <si>
    <t>62.98</t>
  </si>
  <si>
    <t>Repsol-YPF</t>
  </si>
  <si>
    <t>29.14</t>
  </si>
  <si>
    <t>39.34</t>
  </si>
  <si>
    <t>26.22</t>
  </si>
  <si>
    <t>News Corp</t>
  </si>
  <si>
    <t>20.16</t>
  </si>
  <si>
    <t>1.22</t>
  </si>
  <si>
    <t>45.65</t>
  </si>
  <si>
    <t>55.43</t>
  </si>
  <si>
    <t>BASF Group</t>
  </si>
  <si>
    <t>33.84</t>
  </si>
  <si>
    <t>1.58</t>
  </si>
  <si>
    <t>35.59</t>
  </si>
  <si>
    <t>China Mobile (HK) Hong</t>
  </si>
  <si>
    <t>Kong/China</t>
  </si>
  <si>
    <t>15.53</t>
  </si>
  <si>
    <t>3.96</t>
  </si>
  <si>
    <t>34.36</t>
  </si>
  <si>
    <t>67.08</t>
  </si>
  <si>
    <t>Dell</t>
  </si>
  <si>
    <t>41.44</t>
  </si>
  <si>
    <t>19.31</t>
  </si>
  <si>
    <t>88.46</t>
  </si>
  <si>
    <t>Peugeot Groupe</t>
  </si>
  <si>
    <t>68.23</t>
  </si>
  <si>
    <t>58.34</t>
  </si>
  <si>
    <t>12.36</t>
  </si>
  <si>
    <t>Endesa Group</t>
  </si>
  <si>
    <t>20.43</t>
  </si>
  <si>
    <t>1.65</t>
  </si>
  <si>
    <t>57.92</t>
  </si>
  <si>
    <t>21.1</t>
  </si>
  <si>
    <t>AT&amp;T</t>
  </si>
  <si>
    <t>34.53</t>
  </si>
  <si>
    <t>1.85</t>
  </si>
  <si>
    <t>47.99</t>
  </si>
  <si>
    <t>15.84</t>
  </si>
  <si>
    <t>Statoil Group</t>
  </si>
  <si>
    <t>Norway</t>
  </si>
  <si>
    <t>35.02</t>
  </si>
  <si>
    <t>29.01</t>
  </si>
  <si>
    <t>23.55</t>
  </si>
  <si>
    <t>Bristol-Myers Squibb</t>
  </si>
  <si>
    <t>19.89</t>
  </si>
  <si>
    <t>2.9</t>
  </si>
  <si>
    <t>26.53</t>
  </si>
  <si>
    <t>56.05</t>
  </si>
  <si>
    <t>AstraZeneca</t>
  </si>
  <si>
    <t>20.46</t>
  </si>
  <si>
    <t>3.29</t>
  </si>
  <si>
    <t>23.57</t>
  </si>
  <si>
    <t>83.03</t>
  </si>
  <si>
    <t>Tesco</t>
  </si>
  <si>
    <t>41.48</t>
  </si>
  <si>
    <t>1.49</t>
  </si>
  <si>
    <t>25.9</t>
  </si>
  <si>
    <t>33.99</t>
  </si>
  <si>
    <t>Abbott Laboratories</t>
  </si>
  <si>
    <t>18.99</t>
  </si>
  <si>
    <t>2.44</t>
  </si>
  <si>
    <t>26.15</t>
  </si>
  <si>
    <t>69.27</t>
  </si>
  <si>
    <t>BHP Billiton</t>
  </si>
  <si>
    <t>Australia/ United Kingdom</t>
  </si>
  <si>
    <t>Materials</t>
  </si>
  <si>
    <t>17.86</t>
  </si>
  <si>
    <t>28.43</t>
  </si>
  <si>
    <t>57.43</t>
  </si>
  <si>
    <t>Bayer Group</t>
  </si>
  <si>
    <t>30.42</t>
  </si>
  <si>
    <t>1.11</t>
  </si>
  <si>
    <t>42.78</t>
  </si>
  <si>
    <t>21.9</t>
  </si>
  <si>
    <t>Prudential Financial</t>
  </si>
  <si>
    <t>27.73</t>
  </si>
  <si>
    <t>0.5</t>
  </si>
  <si>
    <t>325.77</t>
  </si>
  <si>
    <t>24.92</t>
  </si>
  <si>
    <t>MBNA</t>
  </si>
  <si>
    <t>11.38</t>
  </si>
  <si>
    <t>58.71</t>
  </si>
  <si>
    <t>35.71</t>
  </si>
  <si>
    <t>Commonwealth Bank Group</t>
  </si>
  <si>
    <t>10.75</t>
  </si>
  <si>
    <t>178.29</t>
  </si>
  <si>
    <t>31.95</t>
  </si>
  <si>
    <t>Petrobras-Petrsleo Brasil</t>
  </si>
  <si>
    <t>Brazil</t>
  </si>
  <si>
    <t>22.61</t>
  </si>
  <si>
    <t>27.06</t>
  </si>
  <si>
    <t>Sanpaolo IMI</t>
  </si>
  <si>
    <t>13.49</t>
  </si>
  <si>
    <t>0.93</t>
  </si>
  <si>
    <t>212.16</t>
  </si>
  <si>
    <t>24.6</t>
  </si>
  <si>
    <t>Wyeth</t>
  </si>
  <si>
    <t>15.33</t>
  </si>
  <si>
    <t>28.24</t>
  </si>
  <si>
    <t>56.35</t>
  </si>
  <si>
    <t>Canadian Imperial Bank</t>
  </si>
  <si>
    <t>1.56</t>
  </si>
  <si>
    <t>18.27</t>
  </si>
  <si>
    <t>Motorola</t>
  </si>
  <si>
    <t>0.89</t>
  </si>
  <si>
    <t>32.1</t>
  </si>
  <si>
    <t>40.08</t>
  </si>
  <si>
    <t>EI du Pont de Nemours</t>
  </si>
  <si>
    <t>26.2</t>
  </si>
  <si>
    <t>37.39</t>
  </si>
  <si>
    <t>44.32</t>
  </si>
  <si>
    <t>Den Danske Bank</t>
  </si>
  <si>
    <t>Denmark</t>
  </si>
  <si>
    <t>12.64</t>
  </si>
  <si>
    <t>1.57</t>
  </si>
  <si>
    <t>308.62</t>
  </si>
  <si>
    <t>16.39</t>
  </si>
  <si>
    <t>Caterpillar</t>
  </si>
  <si>
    <t>Capital goods</t>
  </si>
  <si>
    <t>22.76</t>
  </si>
  <si>
    <t>37.01</t>
  </si>
  <si>
    <t>Honeywell</t>
  </si>
  <si>
    <t>23.1</t>
  </si>
  <si>
    <t>1.34</t>
  </si>
  <si>
    <t>29.34</t>
  </si>
  <si>
    <t>31.39</t>
  </si>
  <si>
    <t>Nordea</t>
  </si>
  <si>
    <t>Sweden</t>
  </si>
  <si>
    <t>13.42</t>
  </si>
  <si>
    <t>262.2</t>
  </si>
  <si>
    <t>20.14</t>
  </si>
  <si>
    <t>Anglo American</t>
  </si>
  <si>
    <t>16.16</t>
  </si>
  <si>
    <t>1.67</t>
  </si>
  <si>
    <t>32.95</t>
  </si>
  <si>
    <t>35.27</t>
  </si>
  <si>
    <t>Canon</t>
  </si>
  <si>
    <t>Business services &amp; supplies</t>
  </si>
  <si>
    <t>24.76</t>
  </si>
  <si>
    <t>23.34</t>
  </si>
  <si>
    <t>42.84</t>
  </si>
  <si>
    <t>Travelers Property Cas</t>
  </si>
  <si>
    <t>14.54</t>
  </si>
  <si>
    <t>62.69</t>
  </si>
  <si>
    <t>18.46</t>
  </si>
  <si>
    <t>Cendant</t>
  </si>
  <si>
    <t>Hotels restaurants &amp; leisure</t>
  </si>
  <si>
    <t>17.49</t>
  </si>
  <si>
    <t>1.42</t>
  </si>
  <si>
    <t>41.07</t>
  </si>
  <si>
    <t>23.08</t>
  </si>
  <si>
    <t>Sun Life Financial</t>
  </si>
  <si>
    <t>17.02</t>
  </si>
  <si>
    <t>1.01</t>
  </si>
  <si>
    <t>111.43</t>
  </si>
  <si>
    <t>16.58</t>
  </si>
  <si>
    <t>Saint-Gobain</t>
  </si>
  <si>
    <t>Construction</t>
  </si>
  <si>
    <t>37.22</t>
  </si>
  <si>
    <t>1.09</t>
  </si>
  <si>
    <t>31.67</t>
  </si>
  <si>
    <t>18.87</t>
  </si>
  <si>
    <t>East Japan Railway</t>
  </si>
  <si>
    <t>21.71</t>
  </si>
  <si>
    <t>0.83</t>
  </si>
  <si>
    <t>56.79</t>
  </si>
  <si>
    <t>20.07</t>
  </si>
  <si>
    <t>Hutchison Whampoa</t>
  </si>
  <si>
    <t>Hong Kong/China</t>
  </si>
  <si>
    <t>9.65</t>
  </si>
  <si>
    <t>1.83</t>
  </si>
  <si>
    <t>63.53</t>
  </si>
  <si>
    <t>35.38</t>
  </si>
  <si>
    <t>Cardinal Health</t>
  </si>
  <si>
    <t>Health care equipment &amp; services</t>
  </si>
  <si>
    <t>61.3</t>
  </si>
  <si>
    <t>19.52</t>
  </si>
  <si>
    <t>28.31</t>
  </si>
  <si>
    <t>Bank of Montreal</t>
  </si>
  <si>
    <t>10.08</t>
  </si>
  <si>
    <t>1.38</t>
  </si>
  <si>
    <t>194.35</t>
  </si>
  <si>
    <t>21.63</t>
  </si>
  <si>
    <t>Alcoa</t>
  </si>
  <si>
    <t>21.5</t>
  </si>
  <si>
    <t>0.99</t>
  </si>
  <si>
    <t>31.71</t>
  </si>
  <si>
    <t>32.14</t>
  </si>
  <si>
    <t>National City</t>
  </si>
  <si>
    <t>9.59</t>
  </si>
  <si>
    <t>113.93</t>
  </si>
  <si>
    <t>21.51</t>
  </si>
  <si>
    <t>Westpac Banking Group</t>
  </si>
  <si>
    <t>9.45</t>
  </si>
  <si>
    <t>150.08</t>
  </si>
  <si>
    <t>24.44</t>
  </si>
  <si>
    <t>Lowe`s Cos</t>
  </si>
  <si>
    <t>30.03</t>
  </si>
  <si>
    <t>1.79</t>
  </si>
  <si>
    <t>18.68</t>
  </si>
  <si>
    <t>45.29</t>
  </si>
  <si>
    <t>Toronto-Dominion Bank</t>
  </si>
  <si>
    <t>11.88</t>
  </si>
  <si>
    <t>0.82</t>
  </si>
  <si>
    <t>207.09</t>
  </si>
  <si>
    <t>22.26</t>
  </si>
  <si>
    <t>Korea Electric Power</t>
  </si>
  <si>
    <t>11.84</t>
  </si>
  <si>
    <t>Moller-Maersk</t>
  </si>
  <si>
    <t>19.2</t>
  </si>
  <si>
    <t>24.09</t>
  </si>
  <si>
    <t>37.67</t>
  </si>
  <si>
    <t>Kookmin Bank</t>
  </si>
  <si>
    <t>13.97</t>
  </si>
  <si>
    <t>1.07</t>
  </si>
  <si>
    <t>157.59</t>
  </si>
  <si>
    <t>14.44</t>
  </si>
  <si>
    <t>British Amer Tobacco</t>
  </si>
  <si>
    <t>17.07</t>
  </si>
  <si>
    <t>1.86</t>
  </si>
  <si>
    <t>25.89</t>
  </si>
  <si>
    <t>31.33</t>
  </si>
  <si>
    <t>Mitsubishi</t>
  </si>
  <si>
    <t>Trading companies</t>
  </si>
  <si>
    <t>112.76</t>
  </si>
  <si>
    <t>0.46</t>
  </si>
  <si>
    <t>67.69</t>
  </si>
  <si>
    <t>15.13</t>
  </si>
  <si>
    <t>Kansai Electric Power</t>
  </si>
  <si>
    <t>22.12</t>
  </si>
  <si>
    <t>0.68</t>
  </si>
  <si>
    <t>60.52</t>
  </si>
  <si>
    <t>17.56</t>
  </si>
  <si>
    <t>Almanij</t>
  </si>
  <si>
    <t>20.64</t>
  </si>
  <si>
    <t>0.75</t>
  </si>
  <si>
    <t>265.53</t>
  </si>
  <si>
    <t>12.16</t>
  </si>
  <si>
    <t>Millea Holdings</t>
  </si>
  <si>
    <t>24.16</t>
  </si>
  <si>
    <t>0.48</t>
  </si>
  <si>
    <t>83.23</t>
  </si>
  <si>
    <t>22.97</t>
  </si>
  <si>
    <t>ANZ Banking</t>
  </si>
  <si>
    <t>8.79</t>
  </si>
  <si>
    <t>1.6</t>
  </si>
  <si>
    <t>132.44</t>
  </si>
  <si>
    <t>23.4</t>
  </si>
  <si>
    <t>Countrywide Financial</t>
  </si>
  <si>
    <t>9.88</t>
  </si>
  <si>
    <t>2.37</t>
  </si>
  <si>
    <t>97.94</t>
  </si>
  <si>
    <t>16.34</t>
  </si>
  <si>
    <t>Lockheed Martin</t>
  </si>
  <si>
    <t>1.05</t>
  </si>
  <si>
    <t>25.34</t>
  </si>
  <si>
    <t>22.27</t>
  </si>
  <si>
    <t>M</t>
  </si>
  <si>
    <t>18.23</t>
  </si>
  <si>
    <t>2.4</t>
  </si>
  <si>
    <t>17.59</t>
  </si>
  <si>
    <t>62.48</t>
  </si>
  <si>
    <t>Telstra</t>
  </si>
  <si>
    <t>13.81</t>
  </si>
  <si>
    <t>2.31</t>
  </si>
  <si>
    <t>23.99</t>
  </si>
  <si>
    <t>47.18</t>
  </si>
  <si>
    <t>Eli Lilly and Co</t>
  </si>
  <si>
    <t>12.58</t>
  </si>
  <si>
    <t>2.56</t>
  </si>
  <si>
    <t>21.68</t>
  </si>
  <si>
    <t>82.53</t>
  </si>
  <si>
    <t>UnitedHealth Group</t>
  </si>
  <si>
    <t>28.57</t>
  </si>
  <si>
    <t>17.63</t>
  </si>
  <si>
    <t>35.01</t>
  </si>
  <si>
    <t>Pinault-Printemps-Redoute</t>
  </si>
  <si>
    <t>30.64</t>
  </si>
  <si>
    <t>31.2</t>
  </si>
  <si>
    <t>12.84</t>
  </si>
  <si>
    <t>Norsk Hydro</t>
  </si>
  <si>
    <t>23.53</t>
  </si>
  <si>
    <t>1.27</t>
  </si>
  <si>
    <t>29.65</t>
  </si>
  <si>
    <t>17.64</t>
  </si>
  <si>
    <t>Northrop Grumman</t>
  </si>
  <si>
    <t>23.94</t>
  </si>
  <si>
    <t>0.87</t>
  </si>
  <si>
    <t>33.66</t>
  </si>
  <si>
    <t>18.98</t>
  </si>
  <si>
    <t>Manulife Financial</t>
  </si>
  <si>
    <t>12.85</t>
  </si>
  <si>
    <t>59.81</t>
  </si>
  <si>
    <t>16.91</t>
  </si>
  <si>
    <t>Chubu Electric Power</t>
  </si>
  <si>
    <t>18.41</t>
  </si>
  <si>
    <t>0.9</t>
  </si>
  <si>
    <t>52.08</t>
  </si>
  <si>
    <t>Sears Roebuck</t>
  </si>
  <si>
    <t>41.12</t>
  </si>
  <si>
    <t>27.74</t>
  </si>
  <si>
    <t>10.6</t>
  </si>
  <si>
    <t>Exelon</t>
  </si>
  <si>
    <t>15.81</t>
  </si>
  <si>
    <t>0.79</t>
  </si>
  <si>
    <t>21.44</t>
  </si>
  <si>
    <t>McDonald`s</t>
  </si>
  <si>
    <t>16.48</t>
  </si>
  <si>
    <t>1.04</t>
  </si>
  <si>
    <t>25.23</t>
  </si>
  <si>
    <t>33.8</t>
  </si>
  <si>
    <t>BCE</t>
  </si>
  <si>
    <t>14.7</t>
  </si>
  <si>
    <t>30.35</t>
  </si>
  <si>
    <t>20.2</t>
  </si>
  <si>
    <t>HCA</t>
  </si>
  <si>
    <t>21.81</t>
  </si>
  <si>
    <t>1.33</t>
  </si>
  <si>
    <t>21.06</t>
  </si>
  <si>
    <t>21.65</t>
  </si>
  <si>
    <t>Aflac</t>
  </si>
  <si>
    <t>11.27</t>
  </si>
  <si>
    <t>0.91</t>
  </si>
  <si>
    <t>49.24</t>
  </si>
  <si>
    <t>20.65</t>
  </si>
  <si>
    <t>Southern Co</t>
  </si>
  <si>
    <t>11.17</t>
  </si>
  <si>
    <t>33.89</t>
  </si>
  <si>
    <t>21.6</t>
  </si>
  <si>
    <t>Fifth Third Bancorp</t>
  </si>
  <si>
    <t>6.47</t>
  </si>
  <si>
    <t>1.77</t>
  </si>
  <si>
    <t>91.14</t>
  </si>
  <si>
    <t>32.74</t>
  </si>
  <si>
    <t>Hyundai Motor</t>
  </si>
  <si>
    <t>40.57</t>
  </si>
  <si>
    <t>1.21</t>
  </si>
  <si>
    <t>37.83</t>
  </si>
  <si>
    <t>8.85</t>
  </si>
  <si>
    <t>Amgen</t>
  </si>
  <si>
    <t>8.36</t>
  </si>
  <si>
    <t>2.26</t>
  </si>
  <si>
    <t>26.18</t>
  </si>
  <si>
    <t>83.02</t>
  </si>
  <si>
    <t>National Grid Transco</t>
  </si>
  <si>
    <t>14.85</t>
  </si>
  <si>
    <t>0.62</t>
  </si>
  <si>
    <t>23.73</t>
  </si>
  <si>
    <t>Kroger</t>
  </si>
  <si>
    <t>53.23</t>
  </si>
  <si>
    <t>20.61</t>
  </si>
  <si>
    <t>14.09</t>
  </si>
  <si>
    <t>Lukoil Holding</t>
  </si>
  <si>
    <t>15.25</t>
  </si>
  <si>
    <t>SunTrust Banks</t>
  </si>
  <si>
    <t>7.07</t>
  </si>
  <si>
    <t>125.39</t>
  </si>
  <si>
    <t>20.8</t>
  </si>
  <si>
    <t>L`Oreal Group</t>
  </si>
  <si>
    <t>17.65</t>
  </si>
  <si>
    <t>14.13</t>
  </si>
  <si>
    <t>56.46</t>
  </si>
  <si>
    <t>AT&amp;T Wireless</t>
  </si>
  <si>
    <t>16.7</t>
  </si>
  <si>
    <t>0.44</t>
  </si>
  <si>
    <t>47.8</t>
  </si>
  <si>
    <t>27.28</t>
  </si>
  <si>
    <t>Rio Tinto</t>
  </si>
  <si>
    <t>United Kingdom/ Australia</t>
  </si>
  <si>
    <t>10.01</t>
  </si>
  <si>
    <t>24.08</t>
  </si>
  <si>
    <t>43.52</t>
  </si>
  <si>
    <t>Iberdrola</t>
  </si>
  <si>
    <t>11.94</t>
  </si>
  <si>
    <t>30.99</t>
  </si>
  <si>
    <t>18.78</t>
  </si>
  <si>
    <t>Capital One Financial</t>
  </si>
  <si>
    <t>9.78</t>
  </si>
  <si>
    <t>1.15</t>
  </si>
  <si>
    <t>46.28</t>
  </si>
  <si>
    <t>17.17</t>
  </si>
  <si>
    <t>Dominion Resources</t>
  </si>
  <si>
    <t>11.78</t>
  </si>
  <si>
    <t>41.54</t>
  </si>
  <si>
    <t>20.44</t>
  </si>
  <si>
    <t>Union Pacific</t>
  </si>
  <si>
    <t>11.55</t>
  </si>
  <si>
    <t>1.31</t>
  </si>
  <si>
    <t>33.46</t>
  </si>
  <si>
    <t>16.55</t>
  </si>
  <si>
    <t>Nextel Commun</t>
  </si>
  <si>
    <t>10.15</t>
  </si>
  <si>
    <t>29.81</t>
  </si>
  <si>
    <t>ACE</t>
  </si>
  <si>
    <t>10.67</t>
  </si>
  <si>
    <t>1.39</t>
  </si>
  <si>
    <t>49.52</t>
  </si>
  <si>
    <t>12.6</t>
  </si>
  <si>
    <t>Bank of New York</t>
  </si>
  <si>
    <t>1.16</t>
  </si>
  <si>
    <t>92.3</t>
  </si>
  <si>
    <t>25.27</t>
  </si>
  <si>
    <t>Volvo Group</t>
  </si>
  <si>
    <t>24.28</t>
  </si>
  <si>
    <t>0.6</t>
  </si>
  <si>
    <t>14.12</t>
  </si>
  <si>
    <t>Walgreen</t>
  </si>
  <si>
    <t>33.74</t>
  </si>
  <si>
    <t>1.2</t>
  </si>
  <si>
    <t>12.1</t>
  </si>
  <si>
    <t>35.33</t>
  </si>
  <si>
    <t>Aetna</t>
  </si>
  <si>
    <t>18.12</t>
  </si>
  <si>
    <t>0.78</t>
  </si>
  <si>
    <t>41.06</t>
  </si>
  <si>
    <t>11.82</t>
  </si>
  <si>
    <t>UES of</t>
  </si>
  <si>
    <t>15.76</t>
  </si>
  <si>
    <t>32.94</t>
  </si>
  <si>
    <t>12.72</t>
  </si>
  <si>
    <t>Standard Chartered Group</t>
  </si>
  <si>
    <t>7.4</t>
  </si>
  <si>
    <t>112.77</t>
  </si>
  <si>
    <t>20.15</t>
  </si>
  <si>
    <t>Anheuser-Busch Cos</t>
  </si>
  <si>
    <t>14.15</t>
  </si>
  <si>
    <t>2.08</t>
  </si>
  <si>
    <t>14.69</t>
  </si>
  <si>
    <t>42.34</t>
  </si>
  <si>
    <t>China Telecom</t>
  </si>
  <si>
    <t>9.12</t>
  </si>
  <si>
    <t>2.04</t>
  </si>
  <si>
    <t>24.85</t>
  </si>
  <si>
    <t>29.92</t>
  </si>
  <si>
    <t>CNP Assurances</t>
  </si>
  <si>
    <t>26.35</t>
  </si>
  <si>
    <t>158.05</t>
  </si>
  <si>
    <t>Kimberly-Clark</t>
  </si>
  <si>
    <t>13.99</t>
  </si>
  <si>
    <t>16.41</t>
  </si>
  <si>
    <t>30.59</t>
  </si>
  <si>
    <t>Hitachi</t>
  </si>
  <si>
    <t>69.3</t>
  </si>
  <si>
    <t>0.24</t>
  </si>
  <si>
    <t>77.32</t>
  </si>
  <si>
    <t>21.09</t>
  </si>
  <si>
    <t>ThyssenKrupp Group</t>
  </si>
  <si>
    <t>42.17</t>
  </si>
  <si>
    <t>33.85</t>
  </si>
  <si>
    <t>10.23</t>
  </si>
  <si>
    <t>Sprint FON</t>
  </si>
  <si>
    <t>14.19</t>
  </si>
  <si>
    <t>1.62</t>
  </si>
  <si>
    <t>21.86</t>
  </si>
  <si>
    <t>16.6</t>
  </si>
  <si>
    <t>Clear Channel Commun</t>
  </si>
  <si>
    <t>28.17</t>
  </si>
  <si>
    <t>27.86</t>
  </si>
  <si>
    <t>Denso</t>
  </si>
  <si>
    <t>19.74</t>
  </si>
  <si>
    <t>0.94</t>
  </si>
  <si>
    <t>19.6</t>
  </si>
  <si>
    <t>17.2</t>
  </si>
  <si>
    <t>John Hancock Financial</t>
  </si>
  <si>
    <t>9.27</t>
  </si>
  <si>
    <t>108.87</t>
  </si>
  <si>
    <t>12.38</t>
  </si>
  <si>
    <t>KDDI</t>
  </si>
  <si>
    <t>23.56</t>
  </si>
  <si>
    <t>0.49</t>
  </si>
  <si>
    <t>23.36</t>
  </si>
  <si>
    <t>BB&amp;T</t>
  </si>
  <si>
    <t>6.24</t>
  </si>
  <si>
    <t>1.06</t>
  </si>
  <si>
    <t>90.47</t>
  </si>
  <si>
    <t>Yukos</t>
  </si>
  <si>
    <t>10.86</t>
  </si>
  <si>
    <t>3.04</t>
  </si>
  <si>
    <t>14.21</t>
  </si>
  <si>
    <t>39.81</t>
  </si>
  <si>
    <t>Marathon Oil</t>
  </si>
  <si>
    <t>36.68</t>
  </si>
  <si>
    <t>1.32</t>
  </si>
  <si>
    <t>19.06</t>
  </si>
  <si>
    <t>10.39</t>
  </si>
  <si>
    <t>Groupe Danone</t>
  </si>
  <si>
    <t>16.52</t>
  </si>
  <si>
    <t>16.27</t>
  </si>
  <si>
    <t>23.37</t>
  </si>
  <si>
    <t>First Data</t>
  </si>
  <si>
    <t>8.32</t>
  </si>
  <si>
    <t>29.06</t>
  </si>
  <si>
    <t>Qwest Communications</t>
  </si>
  <si>
    <t>14.51</t>
  </si>
  <si>
    <t>4.45</t>
  </si>
  <si>
    <t>30.46</t>
  </si>
  <si>
    <t>8.45</t>
  </si>
  <si>
    <t>Metro AG</t>
  </si>
  <si>
    <t>54.12</t>
  </si>
  <si>
    <t>0.47</t>
  </si>
  <si>
    <t>22.94</t>
  </si>
  <si>
    <t>14.38</t>
  </si>
  <si>
    <t>Bouygues Group</t>
  </si>
  <si>
    <t>25.12</t>
  </si>
  <si>
    <t>12.35</t>
  </si>
  <si>
    <t>Emerson Electric</t>
  </si>
  <si>
    <t>14.33</t>
  </si>
  <si>
    <t>15.71</t>
  </si>
  <si>
    <t>26.88</t>
  </si>
  <si>
    <t>Allied Irish Banks</t>
  </si>
  <si>
    <t>Ireland</t>
  </si>
  <si>
    <t>6.8</t>
  </si>
  <si>
    <t>89.95</t>
  </si>
  <si>
    <t>15.04</t>
  </si>
  <si>
    <t>Principal Financial</t>
  </si>
  <si>
    <t>9.24</t>
  </si>
  <si>
    <t>103.77</t>
  </si>
  <si>
    <t>11.69</t>
  </si>
  <si>
    <t>Svenska Handelsbanken</t>
  </si>
  <si>
    <t>7.37</t>
  </si>
  <si>
    <t>0.84</t>
  </si>
  <si>
    <t>147.16</t>
  </si>
  <si>
    <t>13.68</t>
  </si>
  <si>
    <t>Costco Wholesale</t>
  </si>
  <si>
    <t>43.87</t>
  </si>
  <si>
    <t>0.74</t>
  </si>
  <si>
    <t>17.23</t>
  </si>
  <si>
    <t>Mitsui &amp; Co</t>
  </si>
  <si>
    <t>111.98</t>
  </si>
  <si>
    <t>0.28</t>
  </si>
  <si>
    <t>54.88</t>
  </si>
  <si>
    <t>12.3</t>
  </si>
  <si>
    <t>Takeda Chemical Inds</t>
  </si>
  <si>
    <t>2.3</t>
  </si>
  <si>
    <t>17.37</t>
  </si>
  <si>
    <t>37.96</t>
  </si>
  <si>
    <t>Chubb</t>
  </si>
  <si>
    <t>10.85</t>
  </si>
  <si>
    <t>38.09</t>
  </si>
  <si>
    <t>13.29</t>
  </si>
  <si>
    <t>Veolia Environnement</t>
  </si>
  <si>
    <t>35.97</t>
  </si>
  <si>
    <t>0.36</t>
  </si>
  <si>
    <t>44.04</t>
  </si>
  <si>
    <t>12.09</t>
  </si>
  <si>
    <t>Bear Stearns Cos</t>
  </si>
  <si>
    <t>6.91</t>
  </si>
  <si>
    <t>209.69</t>
  </si>
  <si>
    <t>Banca Intesa</t>
  </si>
  <si>
    <t>0.21</t>
  </si>
  <si>
    <t>291.9</t>
  </si>
  <si>
    <t>26.26</t>
  </si>
  <si>
    <t>FedEx</t>
  </si>
  <si>
    <t>22.98</t>
  </si>
  <si>
    <t>0.65</t>
  </si>
  <si>
    <t>16.21</t>
  </si>
  <si>
    <t>20.56</t>
  </si>
  <si>
    <t>Central Japan Railway</t>
  </si>
  <si>
    <t>11.53</t>
  </si>
  <si>
    <t>0.42</t>
  </si>
  <si>
    <t>46.05</t>
  </si>
  <si>
    <t>20.66</t>
  </si>
  <si>
    <t>Texas Instruments</t>
  </si>
  <si>
    <t>9.83</t>
  </si>
  <si>
    <t>15.51</t>
  </si>
  <si>
    <t>53.25</t>
  </si>
  <si>
    <t>Japan Tobacco</t>
  </si>
  <si>
    <t>16.46</t>
  </si>
  <si>
    <t>0.64</t>
  </si>
  <si>
    <t>14.84</t>
  </si>
  <si>
    <t>Deere &amp; Co</t>
  </si>
  <si>
    <t>14.01</t>
  </si>
  <si>
    <t>15.75</t>
  </si>
  <si>
    <t>KT</t>
  </si>
  <si>
    <t>13.82</t>
  </si>
  <si>
    <t>24.11</t>
  </si>
  <si>
    <t>10.98</t>
  </si>
  <si>
    <t>Sara Lee</t>
  </si>
  <si>
    <t>18.66</t>
  </si>
  <si>
    <t>14.91</t>
  </si>
  <si>
    <t>17.08</t>
  </si>
  <si>
    <t>Oracle</t>
  </si>
  <si>
    <t>9.71</t>
  </si>
  <si>
    <t>2.49</t>
  </si>
  <si>
    <t>72.09</t>
  </si>
  <si>
    <t>PNC Financial Services</t>
  </si>
  <si>
    <t>6.09</t>
  </si>
  <si>
    <t>72.28</t>
  </si>
  <si>
    <t>15.82</t>
  </si>
  <si>
    <t>WellPoint Health</t>
  </si>
  <si>
    <t>20.36</t>
  </si>
  <si>
    <t>14.79</t>
  </si>
  <si>
    <t>16.18</t>
  </si>
  <si>
    <t>General Dynamics</t>
  </si>
  <si>
    <t>15.72</t>
  </si>
  <si>
    <t>0.88</t>
  </si>
  <si>
    <t>15.88</t>
  </si>
  <si>
    <t>Marsh &amp; McLennan</t>
  </si>
  <si>
    <t>11.11</t>
  </si>
  <si>
    <t>1.48</t>
  </si>
  <si>
    <t>14.49</t>
  </si>
  <si>
    <t>25.96</t>
  </si>
  <si>
    <t>Indian Oil</t>
  </si>
  <si>
    <t>India</t>
  </si>
  <si>
    <t>25.26</t>
  </si>
  <si>
    <t>13.74</t>
  </si>
  <si>
    <t>12.93</t>
  </si>
  <si>
    <t>Lafarge</t>
  </si>
  <si>
    <t>17.18</t>
  </si>
  <si>
    <t>27.98</t>
  </si>
  <si>
    <t>14.05</t>
  </si>
  <si>
    <t>Centrica</t>
  </si>
  <si>
    <t>23.05</t>
  </si>
  <si>
    <t>0.77</t>
  </si>
  <si>
    <t>13.96</t>
  </si>
  <si>
    <t>17.21</t>
  </si>
  <si>
    <t>Coca-Cola Enterprises</t>
  </si>
  <si>
    <t>17.33</t>
  </si>
  <si>
    <t>25.71</t>
  </si>
  <si>
    <t>10.76</t>
  </si>
  <si>
    <t>Banco Bradesco Group</t>
  </si>
  <si>
    <t>0.8</t>
  </si>
  <si>
    <t>60.89</t>
  </si>
  <si>
    <t>6.83</t>
  </si>
  <si>
    <t>Medtronic</t>
  </si>
  <si>
    <t>8.57</t>
  </si>
  <si>
    <t>13.44</t>
  </si>
  <si>
    <t>57.38</t>
  </si>
  <si>
    <t>J Sainsbury</t>
  </si>
  <si>
    <t>27.54</t>
  </si>
  <si>
    <t>10.51</t>
  </si>
  <si>
    <t>Fuji Photo Film</t>
  </si>
  <si>
    <t>21.2</t>
  </si>
  <si>
    <t>0.41</t>
  </si>
  <si>
    <t>24.3</t>
  </si>
  <si>
    <t>State Bank of India Group</t>
  </si>
  <si>
    <t>10.37</t>
  </si>
  <si>
    <t>104.8</t>
  </si>
  <si>
    <t>7.34</t>
  </si>
  <si>
    <t>General Mills</t>
  </si>
  <si>
    <t>10.77</t>
  </si>
  <si>
    <t>16.81</t>
  </si>
  <si>
    <t>State Street</t>
  </si>
  <si>
    <t>5.46</t>
  </si>
  <si>
    <t>87.53</t>
  </si>
  <si>
    <t>18.17</t>
  </si>
  <si>
    <t>Automatic Data</t>
  </si>
  <si>
    <t>7.01</t>
  </si>
  <si>
    <t>0.97</t>
  </si>
  <si>
    <t>24.7</t>
  </si>
  <si>
    <t>25.86</t>
  </si>
  <si>
    <t>Waste Management</t>
  </si>
  <si>
    <t>11.57</t>
  </si>
  <si>
    <t>16.87</t>
  </si>
  <si>
    <t>Entergy</t>
  </si>
  <si>
    <t>8.97</t>
  </si>
  <si>
    <t>0.92</t>
  </si>
  <si>
    <t>13.27</t>
  </si>
  <si>
    <t>Progressive</t>
  </si>
  <si>
    <t>17.79</t>
  </si>
  <si>
    <t>Pub Svc Enterprise</t>
  </si>
  <si>
    <t>11.23</t>
  </si>
  <si>
    <t>26.94</t>
  </si>
  <si>
    <t>10.74</t>
  </si>
  <si>
    <t>Carnival Corp</t>
  </si>
  <si>
    <t>Panama/ United Kingdom</t>
  </si>
  <si>
    <t>5.93</t>
  </si>
  <si>
    <t>1.18</t>
  </si>
  <si>
    <t>Bank of Ireland</t>
  </si>
  <si>
    <t>97.46</t>
  </si>
  <si>
    <t>14.02</t>
  </si>
  <si>
    <t>ConAgra Foods</t>
  </si>
  <si>
    <t>19.84</t>
  </si>
  <si>
    <t>14.53</t>
  </si>
  <si>
    <t>KeyCorp</t>
  </si>
  <si>
    <t>5.73</t>
  </si>
  <si>
    <t>84.49</t>
  </si>
  <si>
    <t>13.18</t>
  </si>
  <si>
    <t>Monte dei Paschi</t>
  </si>
  <si>
    <t>8.02</t>
  </si>
  <si>
    <t>0.61</t>
  </si>
  <si>
    <t>134.48</t>
  </si>
  <si>
    <t>10.11</t>
  </si>
  <si>
    <t>Schlumberger</t>
  </si>
  <si>
    <t>13.89</t>
  </si>
  <si>
    <t>0.38</t>
  </si>
  <si>
    <t>19.94</t>
  </si>
  <si>
    <t>37.49</t>
  </si>
  <si>
    <t>Occidental Petroleum</t>
  </si>
  <si>
    <t>8.94</t>
  </si>
  <si>
    <t>1.54</t>
  </si>
  <si>
    <t>17.71</t>
  </si>
  <si>
    <t>17.22</t>
  </si>
  <si>
    <t>Ito-Yokado</t>
  </si>
  <si>
    <t>28.32</t>
  </si>
  <si>
    <t>20.97</t>
  </si>
  <si>
    <t>14.46</t>
  </si>
  <si>
    <t>Cigna</t>
  </si>
  <si>
    <t>18.69</t>
  </si>
  <si>
    <t>0.43</t>
  </si>
  <si>
    <t>90.17</t>
  </si>
  <si>
    <t>7.45</t>
  </si>
  <si>
    <t>SEB-Skand Enskilda</t>
  </si>
  <si>
    <t>142.77</t>
  </si>
  <si>
    <t>10.21</t>
  </si>
  <si>
    <t>FPL Group</t>
  </si>
  <si>
    <t>9.67</t>
  </si>
  <si>
    <t>25.16</t>
  </si>
  <si>
    <t>11.89</t>
  </si>
  <si>
    <t>Burlington Santa Fe</t>
  </si>
  <si>
    <t>9.29</t>
  </si>
  <si>
    <t>12.03</t>
  </si>
  <si>
    <t>St Paul Cos</t>
  </si>
  <si>
    <t>8.47</t>
  </si>
  <si>
    <t>9.86</t>
  </si>
  <si>
    <t>Alcan</t>
  </si>
  <si>
    <t>14.59</t>
  </si>
  <si>
    <t>0.31</t>
  </si>
  <si>
    <t>31.25</t>
  </si>
  <si>
    <t>16.77</t>
  </si>
  <si>
    <t>Oil &amp; Natural Gas</t>
  </si>
  <si>
    <t>2.2</t>
  </si>
  <si>
    <t>23.26</t>
  </si>
  <si>
    <t>Thomson Corp</t>
  </si>
  <si>
    <t>8.14</t>
  </si>
  <si>
    <t>21.07</t>
  </si>
  <si>
    <t>Posco</t>
  </si>
  <si>
    <t>16.04</t>
  </si>
  <si>
    <t>13.23</t>
  </si>
  <si>
    <t>Archer Daniels</t>
  </si>
  <si>
    <t>31.73</t>
  </si>
  <si>
    <t>17.69</t>
  </si>
  <si>
    <t>10.93</t>
  </si>
  <si>
    <t>Mitsui Sumitomo Ins</t>
  </si>
  <si>
    <t>15.98</t>
  </si>
  <si>
    <t>54.5</t>
  </si>
  <si>
    <t>12.49</t>
  </si>
  <si>
    <t>Sanofi-Synthelabo</t>
  </si>
  <si>
    <t>10.12</t>
  </si>
  <si>
    <t>2.62</t>
  </si>
  <si>
    <t>8.77</t>
  </si>
  <si>
    <t>51.88</t>
  </si>
  <si>
    <t>McKesson</t>
  </si>
  <si>
    <t>66.45</t>
  </si>
  <si>
    <t>15.95</t>
  </si>
  <si>
    <t>8.33</t>
  </si>
  <si>
    <t>CVS</t>
  </si>
  <si>
    <t>26.59</t>
  </si>
  <si>
    <t>0.85</t>
  </si>
  <si>
    <t>10.54</t>
  </si>
  <si>
    <t>14.81</t>
  </si>
  <si>
    <t>Tohoku Electric Power</t>
  </si>
  <si>
    <t>13.48</t>
  </si>
  <si>
    <t>0.52</t>
  </si>
  <si>
    <t>34.49</t>
  </si>
  <si>
    <t>8.67</t>
  </si>
  <si>
    <t>Fortum</t>
  </si>
  <si>
    <t>20.83</t>
  </si>
  <si>
    <t>8.78</t>
  </si>
  <si>
    <t>Raytheon</t>
  </si>
  <si>
    <t>18.11</t>
  </si>
  <si>
    <t>0.37</t>
  </si>
  <si>
    <t>23.41</t>
  </si>
  <si>
    <t>13.22</t>
  </si>
  <si>
    <t>Weyerhaeuser</t>
  </si>
  <si>
    <t>19.87</t>
  </si>
  <si>
    <t>0.29</t>
  </si>
  <si>
    <t>28.11</t>
  </si>
  <si>
    <t>13.95</t>
  </si>
  <si>
    <t>Kyushu Electric Power</t>
  </si>
  <si>
    <t>12.02</t>
  </si>
  <si>
    <t>0.54</t>
  </si>
  <si>
    <t>34.69</t>
  </si>
  <si>
    <t>8.48</t>
  </si>
  <si>
    <t>Akzo Nobel Group</t>
  </si>
  <si>
    <t>16.42</t>
  </si>
  <si>
    <t>1.02</t>
  </si>
  <si>
    <t>14.04</t>
  </si>
  <si>
    <t>11.16</t>
  </si>
  <si>
    <t>Johnson Controls</t>
  </si>
  <si>
    <t>23.85</t>
  </si>
  <si>
    <t>0.71</t>
  </si>
  <si>
    <t>13.67</t>
  </si>
  <si>
    <t>11.14</t>
  </si>
  <si>
    <t>SLM</t>
  </si>
  <si>
    <t>3.91</t>
  </si>
  <si>
    <t>64.61</t>
  </si>
  <si>
    <t>18.21</t>
  </si>
  <si>
    <t>Devon Energy</t>
  </si>
  <si>
    <t>5.89</t>
  </si>
  <si>
    <t>1.73</t>
  </si>
  <si>
    <t>27.16</t>
  </si>
  <si>
    <t>12.51</t>
  </si>
  <si>
    <t>Albertsons</t>
  </si>
  <si>
    <t>35.9</t>
  </si>
  <si>
    <t>0.63</t>
  </si>
  <si>
    <t>Alltel</t>
  </si>
  <si>
    <t>8.11</t>
  </si>
  <si>
    <t>16.45</t>
  </si>
  <si>
    <t>Illinois Tool Works</t>
  </si>
  <si>
    <t>10.04</t>
  </si>
  <si>
    <t>11.19</t>
  </si>
  <si>
    <t>24.29</t>
  </si>
  <si>
    <t>Ricoh</t>
  </si>
  <si>
    <t>14.71</t>
  </si>
  <si>
    <t>15.11</t>
  </si>
  <si>
    <t>13.5</t>
  </si>
  <si>
    <t>Surgutneftegas Oil</t>
  </si>
  <si>
    <t>6.29</t>
  </si>
  <si>
    <t>16.57</t>
  </si>
  <si>
    <t>21.36</t>
  </si>
  <si>
    <t>Aeon</t>
  </si>
  <si>
    <t>26.14</t>
  </si>
  <si>
    <t>16.75</t>
  </si>
  <si>
    <t>11.31</t>
  </si>
  <si>
    <t>Gap</t>
  </si>
  <si>
    <t>15.62</t>
  </si>
  <si>
    <t>10.18</t>
  </si>
  <si>
    <t>18.1</t>
  </si>
  <si>
    <t>Gillette</t>
  </si>
  <si>
    <t>9.25</t>
  </si>
  <si>
    <t>9.96</t>
  </si>
  <si>
    <t>37.48</t>
  </si>
  <si>
    <t>Progress Energy</t>
  </si>
  <si>
    <t>8.73</t>
  </si>
  <si>
    <t>24.14</t>
  </si>
  <si>
    <t>Anthem</t>
  </si>
  <si>
    <t>11.64</t>
  </si>
  <si>
    <t>CIC Group</t>
  </si>
  <si>
    <t>12.76</t>
  </si>
  <si>
    <t>0.4</t>
  </si>
  <si>
    <t>170.76</t>
  </si>
  <si>
    <t>6.64</t>
  </si>
  <si>
    <t>Xerox</t>
  </si>
  <si>
    <t>15.7</t>
  </si>
  <si>
    <t>24.59</t>
  </si>
  <si>
    <t>11.95</t>
  </si>
  <si>
    <t>Golden West Finl</t>
  </si>
  <si>
    <t>3.84</t>
  </si>
  <si>
    <t>82.55</t>
  </si>
  <si>
    <t>16.28</t>
  </si>
  <si>
    <t>Reliance Industries</t>
  </si>
  <si>
    <t>9.57</t>
  </si>
  <si>
    <t>18.4</t>
  </si>
  <si>
    <t>Edison International</t>
  </si>
  <si>
    <t>35.62</t>
  </si>
  <si>
    <t>7.11</t>
  </si>
  <si>
    <t>Sysco</t>
  </si>
  <si>
    <t>7.31</t>
  </si>
  <si>
    <t>Gannett</t>
  </si>
  <si>
    <t>6.62</t>
  </si>
  <si>
    <t>14.4</t>
  </si>
  <si>
    <t>23.96</t>
  </si>
  <si>
    <t>Baxter International</t>
  </si>
  <si>
    <t>8.92</t>
  </si>
  <si>
    <t>13.78</t>
  </si>
  <si>
    <t>18.73</t>
  </si>
  <si>
    <t>Scottish Power</t>
  </si>
  <si>
    <t>8.29</t>
  </si>
  <si>
    <t>21.89</t>
  </si>
  <si>
    <t>12.31</t>
  </si>
  <si>
    <t>Mitsubishi Heavy Inds</t>
  </si>
  <si>
    <t>21.94</t>
  </si>
  <si>
    <t>9.82</t>
  </si>
  <si>
    <t>EnCana</t>
  </si>
  <si>
    <t>6.37</t>
  </si>
  <si>
    <t>19.92</t>
  </si>
  <si>
    <t>19.1</t>
  </si>
  <si>
    <t>Bridgestone</t>
  </si>
  <si>
    <t>18.93</t>
  </si>
  <si>
    <t>12.86</t>
  </si>
  <si>
    <t>Cathay Financial</t>
  </si>
  <si>
    <t>Taiwan</t>
  </si>
  <si>
    <t>6.4</t>
  </si>
  <si>
    <t>60.09</t>
  </si>
  <si>
    <t>14.65</t>
  </si>
  <si>
    <t>Best Buy</t>
  </si>
  <si>
    <t>23.09</t>
  </si>
  <si>
    <t>0.55</t>
  </si>
  <si>
    <t>Sumitomo</t>
  </si>
  <si>
    <t>78.08</t>
  </si>
  <si>
    <t>40.69</t>
  </si>
  <si>
    <t>7.78</t>
  </si>
  <si>
    <t>Eurohypo</t>
  </si>
  <si>
    <t>12.65</t>
  </si>
  <si>
    <t>237.41</t>
  </si>
  <si>
    <t>7.15</t>
  </si>
  <si>
    <t>Deutsche Lufthansa</t>
  </si>
  <si>
    <t>17.83</t>
  </si>
  <si>
    <t>Vinci Group</t>
  </si>
  <si>
    <t>22.77</t>
  </si>
  <si>
    <t>20.94</t>
  </si>
  <si>
    <t>7.68</t>
  </si>
  <si>
    <t>Singapore Telecom</t>
  </si>
  <si>
    <t>Singapore</t>
  </si>
  <si>
    <t>5.82</t>
  </si>
  <si>
    <t>18.55</t>
  </si>
  <si>
    <t>Power Corp of Canada</t>
  </si>
  <si>
    <t>44.36</t>
  </si>
  <si>
    <t>7.76</t>
  </si>
  <si>
    <t>Swisscom</t>
  </si>
  <si>
    <t>10.52</t>
  </si>
  <si>
    <t>11.98</t>
  </si>
  <si>
    <t>22.63</t>
  </si>
  <si>
    <t>Banco do Brasil</t>
  </si>
  <si>
    <t>0.57</t>
  </si>
  <si>
    <t>57.8</t>
  </si>
  <si>
    <t>5.77</t>
  </si>
  <si>
    <t>Nortel Networks</t>
  </si>
  <si>
    <t>10.49</t>
  </si>
  <si>
    <t>13.72</t>
  </si>
  <si>
    <t>34.08</t>
  </si>
  <si>
    <t>Schneider Electric</t>
  </si>
  <si>
    <t>11.04</t>
  </si>
  <si>
    <t>14.37</t>
  </si>
  <si>
    <t>15.39</t>
  </si>
  <si>
    <t>Forenings Sparbanken</t>
  </si>
  <si>
    <t>108.47</t>
  </si>
  <si>
    <t>10.42</t>
  </si>
  <si>
    <t>Aire Liquide Group</t>
  </si>
  <si>
    <t>10.55</t>
  </si>
  <si>
    <t>11.51</t>
  </si>
  <si>
    <t>17.55</t>
  </si>
  <si>
    <t>BOC Hong Kong</t>
  </si>
  <si>
    <t>3.38</t>
  </si>
  <si>
    <t>0.86</t>
  </si>
  <si>
    <t>94.3</t>
  </si>
  <si>
    <t>21.22</t>
  </si>
  <si>
    <t>XL Capital</t>
  </si>
  <si>
    <t>40.76</t>
  </si>
  <si>
    <t>10.61</t>
  </si>
  <si>
    <t>Masco</t>
  </si>
  <si>
    <t>10.56</t>
  </si>
  <si>
    <t>12.2</t>
  </si>
  <si>
    <t>12.71</t>
  </si>
  <si>
    <t>Toshiba</t>
  </si>
  <si>
    <t>47.85</t>
  </si>
  <si>
    <t>0.16</t>
  </si>
  <si>
    <t>39.73</t>
  </si>
  <si>
    <t>Aon</t>
  </si>
  <si>
    <t>9.58</t>
  </si>
  <si>
    <t>0.59</t>
  </si>
  <si>
    <t>26.21</t>
  </si>
  <si>
    <t>8.09</t>
  </si>
  <si>
    <t>Cadbury Schweppes</t>
  </si>
  <si>
    <t>8.53</t>
  </si>
  <si>
    <t>16.88</t>
  </si>
  <si>
    <t>Sharp</t>
  </si>
  <si>
    <t>16.95</t>
  </si>
  <si>
    <t>16.65</t>
  </si>
  <si>
    <t>Valero Energy</t>
  </si>
  <si>
    <t>34.51</t>
  </si>
  <si>
    <t>0.58</t>
  </si>
  <si>
    <t>6.7</t>
  </si>
  <si>
    <t>Consolidated Edison</t>
  </si>
  <si>
    <t>9.77</t>
  </si>
  <si>
    <t>Mellon Finl</t>
  </si>
  <si>
    <t>4.55</t>
  </si>
  <si>
    <t>33.98</t>
  </si>
  <si>
    <t>14.25</t>
  </si>
  <si>
    <t>UPM-Kymmene</t>
  </si>
  <si>
    <t>18.26</t>
  </si>
  <si>
    <t>10.16</t>
  </si>
  <si>
    <t>Colgate-Palmolive</t>
  </si>
  <si>
    <t>9.9</t>
  </si>
  <si>
    <t>7.48</t>
  </si>
  <si>
    <t>29.56</t>
  </si>
  <si>
    <t>Federated Dept Strs</t>
  </si>
  <si>
    <t>15.23</t>
  </si>
  <si>
    <t>14.75</t>
  </si>
  <si>
    <t>Anadarko Petroleum</t>
  </si>
  <si>
    <t>1.25</t>
  </si>
  <si>
    <t>20.55</t>
  </si>
  <si>
    <t>12.92</t>
  </si>
  <si>
    <t>Schering-Plough</t>
  </si>
  <si>
    <t>8.82</t>
  </si>
  <si>
    <t>14.34</t>
  </si>
  <si>
    <t>27.05</t>
  </si>
  <si>
    <t>Compass Group</t>
  </si>
  <si>
    <t>18.65</t>
  </si>
  <si>
    <t>14.11</t>
  </si>
  <si>
    <t>Petro-Canada</t>
  </si>
  <si>
    <t>9.42</t>
  </si>
  <si>
    <t>1.29</t>
  </si>
  <si>
    <t>11.26</t>
  </si>
  <si>
    <t>JC Penney</t>
  </si>
  <si>
    <t>32.34</t>
  </si>
  <si>
    <t>0.34</t>
  </si>
  <si>
    <t>18.6</t>
  </si>
  <si>
    <t>7.71</t>
  </si>
  <si>
    <t>Marks &amp; Spencer</t>
  </si>
  <si>
    <t>11.73</t>
  </si>
  <si>
    <t>Nippon Oil</t>
  </si>
  <si>
    <t>26.44</t>
  </si>
  <si>
    <t>0.27</t>
  </si>
  <si>
    <t>28.03</t>
  </si>
  <si>
    <t>7.5</t>
  </si>
  <si>
    <t>Omnicom Group</t>
  </si>
  <si>
    <t>8.23</t>
  </si>
  <si>
    <t>0.66</t>
  </si>
  <si>
    <t>12.68</t>
  </si>
  <si>
    <t>15.79</t>
  </si>
  <si>
    <t>International Paper</t>
  </si>
  <si>
    <t>0.13</t>
  </si>
  <si>
    <t>34.64</t>
  </si>
  <si>
    <t>20.85</t>
  </si>
  <si>
    <t>Old Mutual</t>
  </si>
  <si>
    <t>14.9</t>
  </si>
  <si>
    <t>0.25</t>
  </si>
  <si>
    <t>78.44</t>
  </si>
  <si>
    <t>6.73</t>
  </si>
  <si>
    <t>EMC</t>
  </si>
  <si>
    <t>33.49</t>
  </si>
  <si>
    <t>Allianz Worldwide</t>
  </si>
  <si>
    <t>96.88</t>
  </si>
  <si>
    <t>-1.23</t>
  </si>
  <si>
    <t>851.24</t>
  </si>
  <si>
    <t>48.07</t>
  </si>
  <si>
    <t>CRH</t>
  </si>
  <si>
    <t>11.05</t>
  </si>
  <si>
    <t>11.09</t>
  </si>
  <si>
    <t>11.43</t>
  </si>
  <si>
    <t>Kingfisher</t>
  </si>
  <si>
    <t>17.67</t>
  </si>
  <si>
    <t>15.12</t>
  </si>
  <si>
    <t>12.81</t>
  </si>
  <si>
    <t>Kellogg</t>
  </si>
  <si>
    <t>8.81</t>
  </si>
  <si>
    <t>15.77</t>
  </si>
  <si>
    <t>Vodafone</t>
  </si>
  <si>
    <t>-15.51</t>
  </si>
  <si>
    <t>256.28</t>
  </si>
  <si>
    <t>174.61</t>
  </si>
  <si>
    <t>Medco Health Solutions</t>
  </si>
  <si>
    <t>34.26</t>
  </si>
  <si>
    <t>10.26</t>
  </si>
  <si>
    <t>NIKE</t>
  </si>
  <si>
    <t>11.25</t>
  </si>
  <si>
    <t>0.81</t>
  </si>
  <si>
    <t>7.38</t>
  </si>
  <si>
    <t>19.03</t>
  </si>
  <si>
    <t>Tribune</t>
  </si>
  <si>
    <t>5.55</t>
  </si>
  <si>
    <t>14.27</t>
  </si>
  <si>
    <t>Telenor</t>
  </si>
  <si>
    <t>7.93</t>
  </si>
  <si>
    <t>13.04</t>
  </si>
  <si>
    <t>Standard Bank Group</t>
  </si>
  <si>
    <t>South Africa</t>
  </si>
  <si>
    <t>5.14</t>
  </si>
  <si>
    <t>45.45</t>
  </si>
  <si>
    <t>8.1</t>
  </si>
  <si>
    <t>Chunghwa Telecom</t>
  </si>
  <si>
    <t>5.08</t>
  </si>
  <si>
    <t>15.89</t>
  </si>
  <si>
    <t>SCA-Svenska Cellulosa</t>
  </si>
  <si>
    <t>10.14</t>
  </si>
  <si>
    <t>9.52</t>
  </si>
  <si>
    <t>Michelin Group</t>
  </si>
  <si>
    <t>19.33</t>
  </si>
  <si>
    <t>17.09</t>
  </si>
  <si>
    <t>6.92</t>
  </si>
  <si>
    <t>Erste Bank</t>
  </si>
  <si>
    <t>Austria</t>
  </si>
  <si>
    <t>126.93</t>
  </si>
  <si>
    <t>8.12</t>
  </si>
  <si>
    <t>Deutsche Telekom</t>
  </si>
  <si>
    <t>56.4</t>
  </si>
  <si>
    <t>-25.83</t>
  </si>
  <si>
    <t>132.01</t>
  </si>
  <si>
    <t>84.18</t>
  </si>
  <si>
    <t>DBS Group</t>
  </si>
  <si>
    <t>3.36</t>
  </si>
  <si>
    <t>86.02</t>
  </si>
  <si>
    <t>13.43</t>
  </si>
  <si>
    <t>SAP</t>
  </si>
  <si>
    <t>5.62</t>
  </si>
  <si>
    <t>54.1</t>
  </si>
  <si>
    <t>GUS</t>
  </si>
  <si>
    <t>11.29</t>
  </si>
  <si>
    <t>11.41</t>
  </si>
  <si>
    <t>14.17</t>
  </si>
  <si>
    <t>Holcim</t>
  </si>
  <si>
    <t>18.62</t>
  </si>
  <si>
    <t>Tokyo Gas</t>
  </si>
  <si>
    <t>9.54</t>
  </si>
  <si>
    <t>13.8</t>
  </si>
  <si>
    <t>10.3</t>
  </si>
  <si>
    <t>Ingersoll-Rand</t>
  </si>
  <si>
    <t>10.66</t>
  </si>
  <si>
    <t>11.56</t>
  </si>
  <si>
    <t>AmerisourceBergen</t>
  </si>
  <si>
    <t>50.58</t>
  </si>
  <si>
    <t>11.81</t>
  </si>
  <si>
    <t>6.35</t>
  </si>
  <si>
    <t>Credit Suisse Group</t>
  </si>
  <si>
    <t>38.01</t>
  </si>
  <si>
    <t>-2.4</t>
  </si>
  <si>
    <t>683.44</t>
  </si>
  <si>
    <t>44.13</t>
  </si>
  <si>
    <t>FirstEnergy</t>
  </si>
  <si>
    <t>12.41</t>
  </si>
  <si>
    <t>0.18</t>
  </si>
  <si>
    <t>12.37</t>
  </si>
  <si>
    <t>France Telecom</t>
  </si>
  <si>
    <t>57.99</t>
  </si>
  <si>
    <t>-21.78</t>
  </si>
  <si>
    <t>107.86</t>
  </si>
  <si>
    <t>64.36</t>
  </si>
  <si>
    <t>Cemex</t>
  </si>
  <si>
    <t>Mexico</t>
  </si>
  <si>
    <t>7.19</t>
  </si>
  <si>
    <t>9.93</t>
  </si>
  <si>
    <t>May Dept Stores</t>
  </si>
  <si>
    <t>13.34</t>
  </si>
  <si>
    <t>12.04</t>
  </si>
  <si>
    <t>Firstrand</t>
  </si>
  <si>
    <t>4.69</t>
  </si>
  <si>
    <t>52.81</t>
  </si>
  <si>
    <t>7.62</t>
  </si>
  <si>
    <t>Accenture</t>
  </si>
  <si>
    <t>13.64</t>
  </si>
  <si>
    <t>22.04</t>
  </si>
  <si>
    <t>Banco Popular Espaqol</t>
  </si>
  <si>
    <t>3.32</t>
  </si>
  <si>
    <t>0.67</t>
  </si>
  <si>
    <t>44.01</t>
  </si>
  <si>
    <t>George Weston</t>
  </si>
  <si>
    <t>17.46</t>
  </si>
  <si>
    <t>10.57</t>
  </si>
  <si>
    <t>Sberbank of Russia</t>
  </si>
  <si>
    <t>5.63</t>
  </si>
  <si>
    <t>34.2</t>
  </si>
  <si>
    <t>Generali Group</t>
  </si>
  <si>
    <t>57.9</t>
  </si>
  <si>
    <t>-0.79</t>
  </si>
  <si>
    <t>239.21</t>
  </si>
  <si>
    <t>35.11</t>
  </si>
  <si>
    <t>China Unicom</t>
  </si>
  <si>
    <t>17.93</t>
  </si>
  <si>
    <t>15.67</t>
  </si>
  <si>
    <t>JFE Holdings</t>
  </si>
  <si>
    <t>20.53</t>
  </si>
  <si>
    <t>31.5</t>
  </si>
  <si>
    <t>14.42</t>
  </si>
  <si>
    <t>Christian Dior</t>
  </si>
  <si>
    <t>15.69</t>
  </si>
  <si>
    <t>0.19</t>
  </si>
  <si>
    <t>27.48</t>
  </si>
  <si>
    <t>10.92</t>
  </si>
  <si>
    <t>Henkel Group</t>
  </si>
  <si>
    <t>11.87</t>
  </si>
  <si>
    <t>8.6</t>
  </si>
  <si>
    <t>11.71</t>
  </si>
  <si>
    <t>Lincoln National</t>
  </si>
  <si>
    <t>4.8</t>
  </si>
  <si>
    <t>100.83</t>
  </si>
  <si>
    <t>8.3</t>
  </si>
  <si>
    <t>Kyocera</t>
  </si>
  <si>
    <t>13.83</t>
  </si>
  <si>
    <t>Shin-Etsu Chemical</t>
  </si>
  <si>
    <t>6.75</t>
  </si>
  <si>
    <t>16.32</t>
  </si>
  <si>
    <t>Woori Finance Holdings</t>
  </si>
  <si>
    <t>7.22</t>
  </si>
  <si>
    <t>96.45</t>
  </si>
  <si>
    <t>4.93</t>
  </si>
  <si>
    <t>Mitsubishi Estate</t>
  </si>
  <si>
    <t>0.3</t>
  </si>
  <si>
    <t>25.43</t>
  </si>
  <si>
    <t>Georgia-Pacific</t>
  </si>
  <si>
    <t>20.26</t>
  </si>
  <si>
    <t>0.23</t>
  </si>
  <si>
    <t>24.41</t>
  </si>
  <si>
    <t>7.64</t>
  </si>
  <si>
    <t>Centex</t>
  </si>
  <si>
    <t>10.44</t>
  </si>
  <si>
    <t>15.58</t>
  </si>
  <si>
    <t>6.17</t>
  </si>
  <si>
    <t>Areva Group</t>
  </si>
  <si>
    <t>8.68</t>
  </si>
  <si>
    <t>30.84</t>
  </si>
  <si>
    <t>TPG</t>
  </si>
  <si>
    <t>12.25</t>
  </si>
  <si>
    <t>Sumitomo Mitsui Financial</t>
  </si>
  <si>
    <t>29.17</t>
  </si>
  <si>
    <t>-3.94</t>
  </si>
  <si>
    <t>868.42</t>
  </si>
  <si>
    <t>31.87</t>
  </si>
  <si>
    <t>E.ON</t>
  </si>
  <si>
    <t>37.95</t>
  </si>
  <si>
    <t>-0.73</t>
  </si>
  <si>
    <t>115.57</t>
  </si>
  <si>
    <t>43.96</t>
  </si>
  <si>
    <t>Mitsubishi Tokyo Finl</t>
  </si>
  <si>
    <t>-1.37</t>
  </si>
  <si>
    <t>827.48</t>
  </si>
  <si>
    <t>49.92</t>
  </si>
  <si>
    <t>West Japan Railway</t>
  </si>
  <si>
    <t>0.35</t>
  </si>
  <si>
    <t>20.06</t>
  </si>
  <si>
    <t>7.91</t>
  </si>
  <si>
    <t>Taiwan Semiconductor</t>
  </si>
  <si>
    <t>4.68</t>
  </si>
  <si>
    <t>10.99</t>
  </si>
  <si>
    <t>39.11</t>
  </si>
  <si>
    <t>Alliance &amp; Leicester</t>
  </si>
  <si>
    <t>4.08</t>
  </si>
  <si>
    <t>66.42</t>
  </si>
  <si>
    <t>8.01</t>
  </si>
  <si>
    <t>Aviva</t>
  </si>
  <si>
    <t>52.46</t>
  </si>
  <si>
    <t>-0.86</t>
  </si>
  <si>
    <t>287.58</t>
  </si>
  <si>
    <t>22.96</t>
  </si>
  <si>
    <t>Mizuho Financial</t>
  </si>
  <si>
    <t>24.4</t>
  </si>
  <si>
    <t>-20.11</t>
  </si>
  <si>
    <t>1115.9</t>
  </si>
  <si>
    <t>30.87</t>
  </si>
  <si>
    <t>Computer Sciences</t>
  </si>
  <si>
    <t>13.86</t>
  </si>
  <si>
    <t>8.04</t>
  </si>
  <si>
    <t>Zurich Financial Services</t>
  </si>
  <si>
    <t>47.46</t>
  </si>
  <si>
    <t>-3.96</t>
  </si>
  <si>
    <t>263.85</t>
  </si>
  <si>
    <t>21.83</t>
  </si>
  <si>
    <t>Diageo</t>
  </si>
  <si>
    <t>26.27</t>
  </si>
  <si>
    <t>41.3</t>
  </si>
  <si>
    <t>HJ Heinz</t>
  </si>
  <si>
    <t>8.28</t>
  </si>
  <si>
    <t>9.41</t>
  </si>
  <si>
    <t>SouthTrust</t>
  </si>
  <si>
    <t>3.11</t>
  </si>
  <si>
    <t>51.92</t>
  </si>
  <si>
    <t>Telefsnica</t>
  </si>
  <si>
    <t>29.84</t>
  </si>
  <si>
    <t>-5.86</t>
  </si>
  <si>
    <t>60.65</t>
  </si>
  <si>
    <t>86.39</t>
  </si>
  <si>
    <t>Stora Enso</t>
  </si>
  <si>
    <t>15.31</t>
  </si>
  <si>
    <t>22.55</t>
  </si>
  <si>
    <t>11.02</t>
  </si>
  <si>
    <t>Imperial Tobacco Group</t>
  </si>
  <si>
    <t>5.32</t>
  </si>
  <si>
    <t>15.42</t>
  </si>
  <si>
    <t>Telecom Italia</t>
  </si>
  <si>
    <t>32.99</t>
  </si>
  <si>
    <t>-0.81</t>
  </si>
  <si>
    <t>85.03</t>
  </si>
  <si>
    <t>46.57</t>
  </si>
  <si>
    <t>Kohl`s</t>
  </si>
  <si>
    <t>7.14</t>
  </si>
  <si>
    <t>16.54</t>
  </si>
  <si>
    <t>Degussa</t>
  </si>
  <si>
    <t>7.59</t>
  </si>
  <si>
    <t>Matsushita Electric Indl</t>
  </si>
  <si>
    <t>62.62</t>
  </si>
  <si>
    <t>-0.16</t>
  </si>
  <si>
    <t>60.46</t>
  </si>
  <si>
    <t>33.02</t>
  </si>
  <si>
    <t>Comerica</t>
  </si>
  <si>
    <t>3.3</t>
  </si>
  <si>
    <t>52.59</t>
  </si>
  <si>
    <t>Sasol</t>
  </si>
  <si>
    <t>8.64</t>
  </si>
  <si>
    <t>9.36</t>
  </si>
  <si>
    <t>9.33</t>
  </si>
  <si>
    <t>Interbrew</t>
  </si>
  <si>
    <t>11.5</t>
  </si>
  <si>
    <t>12.9</t>
  </si>
  <si>
    <t>Amerada Hess</t>
  </si>
  <si>
    <t>14.31</t>
  </si>
  <si>
    <t>13.98</t>
  </si>
  <si>
    <t>5.42</t>
  </si>
  <si>
    <t>Regions Financial</t>
  </si>
  <si>
    <t>48.79</t>
  </si>
  <si>
    <t>Sempra Energy</t>
  </si>
  <si>
    <t>7.49</t>
  </si>
  <si>
    <t>18.05</t>
  </si>
  <si>
    <t>7.02</t>
  </si>
  <si>
    <t>TDC Group</t>
  </si>
  <si>
    <t>7.23</t>
  </si>
  <si>
    <t>Itochu</t>
  </si>
  <si>
    <t>88.51</t>
  </si>
  <si>
    <t>0.17</t>
  </si>
  <si>
    <t>37.2</t>
  </si>
  <si>
    <t>Norfolk Southern</t>
  </si>
  <si>
    <t>20.6</t>
  </si>
  <si>
    <t>8.71</t>
  </si>
  <si>
    <t>STMicroelectronics</t>
  </si>
  <si>
    <t>7.98</t>
  </si>
  <si>
    <t>PPL</t>
  </si>
  <si>
    <t>5.57</t>
  </si>
  <si>
    <t>0.73</t>
  </si>
  <si>
    <t>17.13</t>
  </si>
  <si>
    <t>Suez Group</t>
  </si>
  <si>
    <t>48.41</t>
  </si>
  <si>
    <t>-0.91</t>
  </si>
  <si>
    <t>88.39</t>
  </si>
  <si>
    <t>22.35</t>
  </si>
  <si>
    <t>Constellation Energy</t>
  </si>
  <si>
    <t>9.7</t>
  </si>
  <si>
    <t>15.8</t>
  </si>
  <si>
    <t>6.68</t>
  </si>
  <si>
    <t>Sun Hung Kai Properties</t>
  </si>
  <si>
    <t>2.94</t>
  </si>
  <si>
    <t>24.02</t>
  </si>
  <si>
    <t>Unocal</t>
  </si>
  <si>
    <t>11.8</t>
  </si>
  <si>
    <t>HVB-HypoVereinsbank</t>
  </si>
  <si>
    <t>40.52</t>
  </si>
  <si>
    <t>-0.87</t>
  </si>
  <si>
    <t>705.36</t>
  </si>
  <si>
    <t>Magna International</t>
  </si>
  <si>
    <t>12.94</t>
  </si>
  <si>
    <t>9.97</t>
  </si>
  <si>
    <t>7.65</t>
  </si>
  <si>
    <t>Qualcomm</t>
  </si>
  <si>
    <t>4.12</t>
  </si>
  <si>
    <t>9.03</t>
  </si>
  <si>
    <t>46.45</t>
  </si>
  <si>
    <t>Electrolux Group</t>
  </si>
  <si>
    <t>9.5</t>
  </si>
  <si>
    <t>6.93</t>
  </si>
  <si>
    <t>Vivendi Universal</t>
  </si>
  <si>
    <t>32.05</t>
  </si>
  <si>
    <t>-5.1</t>
  </si>
  <si>
    <t>72.79</t>
  </si>
  <si>
    <t>29.12</t>
  </si>
  <si>
    <t>CIT Group</t>
  </si>
  <si>
    <t>46.34</t>
  </si>
  <si>
    <t>8.06</t>
  </si>
  <si>
    <t>DTE Energy</t>
  </si>
  <si>
    <t>7.03</t>
  </si>
  <si>
    <t>6.6</t>
  </si>
  <si>
    <t>Swiss Re Group</t>
  </si>
  <si>
    <t>27.53</t>
  </si>
  <si>
    <t>-0.07</t>
  </si>
  <si>
    <t>112.2</t>
  </si>
  <si>
    <t>23.44</t>
  </si>
  <si>
    <t>United Overseas Bank</t>
  </si>
  <si>
    <t>2.68</t>
  </si>
  <si>
    <t>61.92</t>
  </si>
  <si>
    <t>12.77</t>
  </si>
  <si>
    <t>Chugoku Electric Power</t>
  </si>
  <si>
    <t>8.54</t>
  </si>
  <si>
    <t>6.41</t>
  </si>
  <si>
    <t>Apache</t>
  </si>
  <si>
    <t>4.2</t>
  </si>
  <si>
    <t>12.42</t>
  </si>
  <si>
    <t>12.82</t>
  </si>
  <si>
    <t>Portugal Telecom</t>
  </si>
  <si>
    <t>Portugal</t>
  </si>
  <si>
    <t>5.87</t>
  </si>
  <si>
    <t>Eastman Kodak</t>
  </si>
  <si>
    <t>13.32</t>
  </si>
  <si>
    <t>14.76</t>
  </si>
  <si>
    <t>UFJ Holdings</t>
  </si>
  <si>
    <t>17.16</t>
  </si>
  <si>
    <t>-5.15</t>
  </si>
  <si>
    <t>665.67</t>
  </si>
  <si>
    <t>23.71</t>
  </si>
  <si>
    <t>M&amp;T Bank</t>
  </si>
  <si>
    <t>2.96</t>
  </si>
  <si>
    <t>49.83</t>
  </si>
  <si>
    <t>11.35</t>
  </si>
  <si>
    <t>Northern Rock</t>
  </si>
  <si>
    <t>4.3</t>
  </si>
  <si>
    <t>66.36</t>
  </si>
  <si>
    <t>6.12</t>
  </si>
  <si>
    <t>Wolseley</t>
  </si>
  <si>
    <t>13.24</t>
  </si>
  <si>
    <t>7.81</t>
  </si>
  <si>
    <t>9.08</t>
  </si>
  <si>
    <t>Paccar</t>
  </si>
  <si>
    <t>8.19</t>
  </si>
  <si>
    <t>0.53</t>
  </si>
  <si>
    <t>9.94</t>
  </si>
  <si>
    <t>9.62</t>
  </si>
  <si>
    <t>EDP-Elec de Portugal</t>
  </si>
  <si>
    <t>6.71</t>
  </si>
  <si>
    <t>18.47</t>
  </si>
  <si>
    <t>8.39</t>
  </si>
  <si>
    <t>Mitsui Fudosan</t>
  </si>
  <si>
    <t>9.16</t>
  </si>
  <si>
    <t>0.22</t>
  </si>
  <si>
    <t>24.36</t>
  </si>
  <si>
    <t>8.52</t>
  </si>
  <si>
    <t>Depfa Bank</t>
  </si>
  <si>
    <t>6.85</t>
  </si>
  <si>
    <t>153.2</t>
  </si>
  <si>
    <t>5.61</t>
  </si>
  <si>
    <t>Suzuki Motor</t>
  </si>
  <si>
    <t>17.05</t>
  </si>
  <si>
    <t>0.26</t>
  </si>
  <si>
    <t>Charles Schwab</t>
  </si>
  <si>
    <t>43.76</t>
  </si>
  <si>
    <t>Itazsa</t>
  </si>
  <si>
    <t>9.22</t>
  </si>
  <si>
    <t>32.39</t>
  </si>
  <si>
    <t>BG Group</t>
  </si>
  <si>
    <t>10.88</t>
  </si>
  <si>
    <t>18.39</t>
  </si>
  <si>
    <t>Staples</t>
  </si>
  <si>
    <t>6.32</t>
  </si>
  <si>
    <t>Pepsi Bottling Group</t>
  </si>
  <si>
    <t>11.54</t>
  </si>
  <si>
    <t>SABMiller</t>
  </si>
  <si>
    <t>12.87</t>
  </si>
  <si>
    <t>13.37</t>
  </si>
  <si>
    <t>Accor</t>
  </si>
  <si>
    <t>8.59</t>
  </si>
  <si>
    <t>8.99</t>
  </si>
  <si>
    <t>Philips Group</t>
  </si>
  <si>
    <t>33.42</t>
  </si>
  <si>
    <t>-3.37</t>
  </si>
  <si>
    <t>32.71</t>
  </si>
  <si>
    <t>41.58</t>
  </si>
  <si>
    <t>PTT Public Company</t>
  </si>
  <si>
    <t>Thailand</t>
  </si>
  <si>
    <t>ABB Group</t>
  </si>
  <si>
    <t>20.41</t>
  </si>
  <si>
    <t>0.11</t>
  </si>
  <si>
    <t>12.12</t>
  </si>
  <si>
    <t>Gas Natural SDG</t>
  </si>
  <si>
    <t>5.53</t>
  </si>
  <si>
    <t>11.28</t>
  </si>
  <si>
    <t>Dai Nippon Printing</t>
  </si>
  <si>
    <t>11.07</t>
  </si>
  <si>
    <t>11.86</t>
  </si>
  <si>
    <t>Burlington Resources</t>
  </si>
  <si>
    <t>4.07</t>
  </si>
  <si>
    <t>1.03</t>
  </si>
  <si>
    <t>11.12</t>
  </si>
  <si>
    <t>Hartford Finl Service</t>
  </si>
  <si>
    <t>17.73</t>
  </si>
  <si>
    <t>-0.29</t>
  </si>
  <si>
    <t>211.37</t>
  </si>
  <si>
    <t>18.56</t>
  </si>
  <si>
    <t>Marriott Intl</t>
  </si>
  <si>
    <t>9.01</t>
  </si>
  <si>
    <t>8.18</t>
  </si>
  <si>
    <t>TransCanada</t>
  </si>
  <si>
    <t>4.13</t>
  </si>
  <si>
    <t>15.85</t>
  </si>
  <si>
    <t>InterActiveCorp</t>
  </si>
  <si>
    <t>6.33</t>
  </si>
  <si>
    <t>21.59</t>
  </si>
  <si>
    <t>22.72</t>
  </si>
  <si>
    <t>Legal &amp; General Group</t>
  </si>
  <si>
    <t>36.1</t>
  </si>
  <si>
    <t>167.94</t>
  </si>
  <si>
    <t>12.22</t>
  </si>
  <si>
    <t>Safeco</t>
  </si>
  <si>
    <t>7.17</t>
  </si>
  <si>
    <t>35.84</t>
  </si>
  <si>
    <t>6.31</t>
  </si>
  <si>
    <t>Tyson Foods</t>
  </si>
  <si>
    <t>25.25</t>
  </si>
  <si>
    <t>5.78</t>
  </si>
  <si>
    <t>Altadis</t>
  </si>
  <si>
    <t>8.66</t>
  </si>
  <si>
    <t>9.48</t>
  </si>
  <si>
    <t>PPG Industries</t>
  </si>
  <si>
    <t>8.76</t>
  </si>
  <si>
    <t>8.42</t>
  </si>
  <si>
    <t>10.03</t>
  </si>
  <si>
    <t>Shinhan Financial</t>
  </si>
  <si>
    <t>3.97</t>
  </si>
  <si>
    <t>0.51</t>
  </si>
  <si>
    <t>56.2</t>
  </si>
  <si>
    <t>AmSouth Bancorp</t>
  </si>
  <si>
    <t>44.34</t>
  </si>
  <si>
    <t>8.83</t>
  </si>
  <si>
    <t>Equity Office Prop</t>
  </si>
  <si>
    <t>24.19</t>
  </si>
  <si>
    <t>Sibneft</t>
  </si>
  <si>
    <t>4.7</t>
  </si>
  <si>
    <t>7.55</t>
  </si>
  <si>
    <t>Limited Brands</t>
  </si>
  <si>
    <t>7.28</t>
  </si>
  <si>
    <t>9.8</t>
  </si>
  <si>
    <t>Solvay Group</t>
  </si>
  <si>
    <t>7.12</t>
  </si>
  <si>
    <t>Takefuji</t>
  </si>
  <si>
    <t>3.57</t>
  </si>
  <si>
    <t>16.33</t>
  </si>
  <si>
    <t>10.32</t>
  </si>
  <si>
    <t>EADS</t>
  </si>
  <si>
    <t>31.41</t>
  </si>
  <si>
    <t>-0.31</t>
  </si>
  <si>
    <t>47.82</t>
  </si>
  <si>
    <t>BCP-Bco Com Portugujs</t>
  </si>
  <si>
    <t>64.97</t>
  </si>
  <si>
    <t>7.96</t>
  </si>
  <si>
    <t>Kirin Brewery</t>
  </si>
  <si>
    <t>9.07</t>
  </si>
  <si>
    <t>14.2</t>
  </si>
  <si>
    <t>Singapore Airlines</t>
  </si>
  <si>
    <t>5.96</t>
  </si>
  <si>
    <t>8.58</t>
  </si>
  <si>
    <t>Textron</t>
  </si>
  <si>
    <t>15.09</t>
  </si>
  <si>
    <t>7.6</t>
  </si>
  <si>
    <t>Marubeni</t>
  </si>
  <si>
    <t>74.39</t>
  </si>
  <si>
    <t>35.23</t>
  </si>
  <si>
    <t>Duke Energy</t>
  </si>
  <si>
    <t>21.58</t>
  </si>
  <si>
    <t>-1.16</t>
  </si>
  <si>
    <t>54.99</t>
  </si>
  <si>
    <t>19.41</t>
  </si>
  <si>
    <t>Eletrobras</t>
  </si>
  <si>
    <t>33.94</t>
  </si>
  <si>
    <t>Acom</t>
  </si>
  <si>
    <t>3.7</t>
  </si>
  <si>
    <t>18.44</t>
  </si>
  <si>
    <t>9.56</t>
  </si>
  <si>
    <t>Nomura Holdings</t>
  </si>
  <si>
    <t>0.09</t>
  </si>
  <si>
    <t>178.14</t>
  </si>
  <si>
    <t>Mitsubishi Motors</t>
  </si>
  <si>
    <t>32.87</t>
  </si>
  <si>
    <t>0.32</t>
  </si>
  <si>
    <t>19.86</t>
  </si>
  <si>
    <t>3.46</t>
  </si>
  <si>
    <t>Nationwide Financial</t>
  </si>
  <si>
    <t>0.39</t>
  </si>
  <si>
    <t>105.38</t>
  </si>
  <si>
    <t>5.84</t>
  </si>
  <si>
    <t>Abbey National</t>
  </si>
  <si>
    <t>15.28</t>
  </si>
  <si>
    <t>-1.93</t>
  </si>
  <si>
    <t>331.21</t>
  </si>
  <si>
    <t>15.47</t>
  </si>
  <si>
    <t>Scottish &amp; Southern</t>
  </si>
  <si>
    <t>6.42</t>
  </si>
  <si>
    <t>10.63</t>
  </si>
  <si>
    <t>Jefferson-Pilot</t>
  </si>
  <si>
    <t>3.65</t>
  </si>
  <si>
    <t>32.7</t>
  </si>
  <si>
    <t>Vale do Rio Doce</t>
  </si>
  <si>
    <t>4.15</t>
  </si>
  <si>
    <t>Husky Energy</t>
  </si>
  <si>
    <t>5.91</t>
  </si>
  <si>
    <t>9.09</t>
  </si>
  <si>
    <t>7.86</t>
  </si>
  <si>
    <t>Orix</t>
  </si>
  <si>
    <t>5.19</t>
  </si>
  <si>
    <t>50.03</t>
  </si>
  <si>
    <t>7.89</t>
  </si>
  <si>
    <t>Commerzbank</t>
  </si>
  <si>
    <t>22.43</t>
  </si>
  <si>
    <t>437.86</t>
  </si>
  <si>
    <t>Air Prods &amp; Chems</t>
  </si>
  <si>
    <t>6.54</t>
  </si>
  <si>
    <t>9.79</t>
  </si>
  <si>
    <t>Southwest Airlines</t>
  </si>
  <si>
    <t>11.49</t>
  </si>
  <si>
    <t>Charter One Finl</t>
  </si>
  <si>
    <t>42.63</t>
  </si>
  <si>
    <t>8.25</t>
  </si>
  <si>
    <t>Aiful</t>
  </si>
  <si>
    <t>3.8</t>
  </si>
  <si>
    <t>19.17</t>
  </si>
  <si>
    <t>8.95</t>
  </si>
  <si>
    <t>BPVN Group</t>
  </si>
  <si>
    <t>0.45</t>
  </si>
  <si>
    <t>50.48</t>
  </si>
  <si>
    <t>6.61</t>
  </si>
  <si>
    <t>Praxair</t>
  </si>
  <si>
    <t>8.31</t>
  </si>
  <si>
    <t>11.61</t>
  </si>
  <si>
    <t>Campbell Soup</t>
  </si>
  <si>
    <t>6.88</t>
  </si>
  <si>
    <t>11.37</t>
  </si>
  <si>
    <t>National Bank of Canada</t>
  </si>
  <si>
    <t>62.24</t>
  </si>
  <si>
    <t>6.02</t>
  </si>
  <si>
    <t>Carso Global Telecom</t>
  </si>
  <si>
    <t>10.89</t>
  </si>
  <si>
    <t>16.72</t>
  </si>
  <si>
    <t>5.47</t>
  </si>
  <si>
    <t>Suncor Energy</t>
  </si>
  <si>
    <t>4.87</t>
  </si>
  <si>
    <t>7.95</t>
  </si>
  <si>
    <t>Hannover Re</t>
  </si>
  <si>
    <t>9.37</t>
  </si>
  <si>
    <t>27.45</t>
  </si>
  <si>
    <t>4.61</t>
  </si>
  <si>
    <t>DR Horton</t>
  </si>
  <si>
    <t>9.19</t>
  </si>
  <si>
    <t>Reckitt Benckiser</t>
  </si>
  <si>
    <t>5.69</t>
  </si>
  <si>
    <t>17.95</t>
  </si>
  <si>
    <t>TJX Cos</t>
  </si>
  <si>
    <t>12.73</t>
  </si>
  <si>
    <t>11.62</t>
  </si>
  <si>
    <t>Malayan Banking</t>
  </si>
  <si>
    <t>Malaysia</t>
  </si>
  <si>
    <t>2.51</t>
  </si>
  <si>
    <t>42.08</t>
  </si>
  <si>
    <t>9.76</t>
  </si>
  <si>
    <t>Assoc British Foods</t>
  </si>
  <si>
    <t>7.73</t>
  </si>
  <si>
    <t>7.42</t>
  </si>
  <si>
    <t>8.8</t>
  </si>
  <si>
    <t>St George Bank</t>
  </si>
  <si>
    <t>42.66</t>
  </si>
  <si>
    <t>8.07</t>
  </si>
  <si>
    <t>Porsche</t>
  </si>
  <si>
    <t>6.28</t>
  </si>
  <si>
    <t>7.18</t>
  </si>
  <si>
    <t>10.07</t>
  </si>
  <si>
    <t>Ameren</t>
  </si>
  <si>
    <t>4.59</t>
  </si>
  <si>
    <t>14.32</t>
  </si>
  <si>
    <t>7.53</t>
  </si>
  <si>
    <t>Marshall &amp; Ilsley</t>
  </si>
  <si>
    <t>2.75</t>
  </si>
  <si>
    <t>33.75</t>
  </si>
  <si>
    <t>Yum Brands</t>
  </si>
  <si>
    <t>8.38</t>
  </si>
  <si>
    <t>ABSA Group</t>
  </si>
  <si>
    <t>4.99</t>
  </si>
  <si>
    <t>34.06</t>
  </si>
  <si>
    <t>4.46</t>
  </si>
  <si>
    <t>Finmeccanica</t>
  </si>
  <si>
    <t>8.17</t>
  </si>
  <si>
    <t>17.52</t>
  </si>
  <si>
    <t>7.7</t>
  </si>
  <si>
    <t>Fujitsu</t>
  </si>
  <si>
    <t>39.06</t>
  </si>
  <si>
    <t>-1.03</t>
  </si>
  <si>
    <t>33.77</t>
  </si>
  <si>
    <t>12.32</t>
  </si>
  <si>
    <t>Eaton</t>
  </si>
  <si>
    <t>8.22</t>
  </si>
  <si>
    <t>Fortune Brands</t>
  </si>
  <si>
    <t>7.44</t>
  </si>
  <si>
    <t>10.34</t>
  </si>
  <si>
    <t>Cheung Kong</t>
  </si>
  <si>
    <t>25.8</t>
  </si>
  <si>
    <t>22.05</t>
  </si>
  <si>
    <t>Toppan Printing</t>
  </si>
  <si>
    <t>10.59</t>
  </si>
  <si>
    <t>10.91</t>
  </si>
  <si>
    <t>Ahold</t>
  </si>
  <si>
    <t>70.57</t>
  </si>
  <si>
    <t>-1.27</t>
  </si>
  <si>
    <t>25.51</t>
  </si>
  <si>
    <t>13.3</t>
  </si>
  <si>
    <t>Unisn Fenosa</t>
  </si>
  <si>
    <t>6.13</t>
  </si>
  <si>
    <t>Danaher</t>
  </si>
  <si>
    <t>5.29</t>
  </si>
  <si>
    <t>6.89</t>
  </si>
  <si>
    <t>Nintendo</t>
  </si>
  <si>
    <t>4.26</t>
  </si>
  <si>
    <t>9.06</t>
  </si>
  <si>
    <t>12.8</t>
  </si>
  <si>
    <t>Cepsa</t>
  </si>
  <si>
    <t>Kao</t>
  </si>
  <si>
    <t>7.32</t>
  </si>
  <si>
    <t>Loews</t>
  </si>
  <si>
    <t>16.1</t>
  </si>
  <si>
    <t>-0.72</t>
  </si>
  <si>
    <t>77.79</t>
  </si>
  <si>
    <t>Newmont Mining</t>
  </si>
  <si>
    <t>3.21</t>
  </si>
  <si>
    <t>19.73</t>
  </si>
  <si>
    <t>Sekisui House</t>
  </si>
  <si>
    <t>10.84</t>
  </si>
  <si>
    <t>10.19</t>
  </si>
  <si>
    <t>NEC</t>
  </si>
  <si>
    <t>39.72</t>
  </si>
  <si>
    <t>-0.21</t>
  </si>
  <si>
    <t>29.93</t>
  </si>
  <si>
    <t>AutoNation</t>
  </si>
  <si>
    <t>18.2</t>
  </si>
  <si>
    <t>4.49</t>
  </si>
  <si>
    <t>Adecco</t>
  </si>
  <si>
    <t>10.22</t>
  </si>
  <si>
    <t>Northern Trust</t>
  </si>
  <si>
    <t>40.74</t>
  </si>
  <si>
    <t>10.78</t>
  </si>
  <si>
    <t>Brascan</t>
  </si>
  <si>
    <t>5.07</t>
  </si>
  <si>
    <t>6.01</t>
  </si>
  <si>
    <t>Heineken Holding</t>
  </si>
  <si>
    <t>9.47</t>
  </si>
  <si>
    <t>Mitsubishi Chemical</t>
  </si>
  <si>
    <t>15.97</t>
  </si>
  <si>
    <t>5.71</t>
  </si>
  <si>
    <t>LM Ericsson</t>
  </si>
  <si>
    <t>16.79</t>
  </si>
  <si>
    <t>-2.19</t>
  </si>
  <si>
    <t>21.16</t>
  </si>
  <si>
    <t>44.06</t>
  </si>
  <si>
    <t>DnB Holding</t>
  </si>
  <si>
    <t>55.51</t>
  </si>
  <si>
    <t>4.85</t>
  </si>
  <si>
    <t>Boots</t>
  </si>
  <si>
    <t>8.41</t>
  </si>
  <si>
    <t>Richemont</t>
  </si>
  <si>
    <t>3.95</t>
  </si>
  <si>
    <t>7.72</t>
  </si>
  <si>
    <t>Pulte Homes</t>
  </si>
  <si>
    <t>Lennar</t>
  </si>
  <si>
    <t>0.69</t>
  </si>
  <si>
    <t>6.22</t>
  </si>
  <si>
    <t>Nippon Steel</t>
  </si>
  <si>
    <t>-0.44</t>
  </si>
  <si>
    <t>31.14</t>
  </si>
  <si>
    <t>13.38</t>
  </si>
  <si>
    <t>Fiat Group</t>
  </si>
  <si>
    <t>58.22</t>
  </si>
  <si>
    <t>-4.15</t>
  </si>
  <si>
    <t>96.92</t>
  </si>
  <si>
    <t>EnBW-Energie Baden</t>
  </si>
  <si>
    <t>22.19</t>
  </si>
  <si>
    <t>7.35</t>
  </si>
  <si>
    <t>Fubon Financial</t>
  </si>
  <si>
    <t>33.38</t>
  </si>
  <si>
    <t>7.56</t>
  </si>
  <si>
    <t>KeySpan</t>
  </si>
  <si>
    <t>5.79</t>
  </si>
  <si>
    <t>CSX</t>
  </si>
  <si>
    <t>7.79</t>
  </si>
  <si>
    <t>21.75</t>
  </si>
  <si>
    <t>6.76</t>
  </si>
  <si>
    <t>Fidelity National Finl</t>
  </si>
  <si>
    <t>7.26</t>
  </si>
  <si>
    <t>Novo-Nordisk</t>
  </si>
  <si>
    <t>Natexis Banques Populaire</t>
  </si>
  <si>
    <t>140.13</t>
  </si>
  <si>
    <t>Linde</t>
  </si>
  <si>
    <t>9.17</t>
  </si>
  <si>
    <t>12.67</t>
  </si>
  <si>
    <t>Alcatel</t>
  </si>
  <si>
    <t>17.38</t>
  </si>
  <si>
    <t>-4.98</t>
  </si>
  <si>
    <t>25.58</t>
  </si>
  <si>
    <t>Sumitomo Chemical</t>
  </si>
  <si>
    <t>9.4</t>
  </si>
  <si>
    <t>Resona Holdings</t>
  </si>
  <si>
    <t>-7.09</t>
  </si>
  <si>
    <t>358.44</t>
  </si>
  <si>
    <t>13.41</t>
  </si>
  <si>
    <t>BAA</t>
  </si>
  <si>
    <t>14.77</t>
  </si>
  <si>
    <t>10.69</t>
  </si>
  <si>
    <t>Bunge</t>
  </si>
  <si>
    <t>22.17</t>
  </si>
  <si>
    <t>3.69</t>
  </si>
  <si>
    <t>Turkiye Is Bankasi</t>
  </si>
  <si>
    <t>Turkey</t>
  </si>
  <si>
    <t>4.23</t>
  </si>
  <si>
    <t>Canadian National</t>
  </si>
  <si>
    <t>3.89</t>
  </si>
  <si>
    <t>11.74</t>
  </si>
  <si>
    <t>American Electric</t>
  </si>
  <si>
    <t>36.08</t>
  </si>
  <si>
    <t>13.21</t>
  </si>
  <si>
    <t>Pitney Bowes</t>
  </si>
  <si>
    <t>4.58</t>
  </si>
  <si>
    <t>8.89</t>
  </si>
  <si>
    <t>Daiei</t>
  </si>
  <si>
    <t>18.61</t>
  </si>
  <si>
    <t>19.01</t>
  </si>
  <si>
    <t>Aisin Seiki</t>
  </si>
  <si>
    <t>11.91</t>
  </si>
  <si>
    <t>4.41</t>
  </si>
  <si>
    <t>Vattenfall Europe</t>
  </si>
  <si>
    <t>9.31</t>
  </si>
  <si>
    <t>0.2</t>
  </si>
  <si>
    <t>CNOOC Hong</t>
  </si>
  <si>
    <t>3.19</t>
  </si>
  <si>
    <t>16.96</t>
  </si>
  <si>
    <t>Nan Ya Plastic</t>
  </si>
  <si>
    <t>4.96</t>
  </si>
  <si>
    <t>Cinergy</t>
  </si>
  <si>
    <t>4.42</t>
  </si>
  <si>
    <t>13.63</t>
  </si>
  <si>
    <t>McGraw-Hill Cos</t>
  </si>
  <si>
    <t>5.25</t>
  </si>
  <si>
    <t>14.63</t>
  </si>
  <si>
    <t>Royal KPN</t>
  </si>
  <si>
    <t>-10.02</t>
  </si>
  <si>
    <t>26.36</t>
  </si>
  <si>
    <t>National Bank of Greece</t>
  </si>
  <si>
    <t>Greece</t>
  </si>
  <si>
    <t>56.65</t>
  </si>
  <si>
    <t>7.51</t>
  </si>
  <si>
    <t>Rohm and Haas</t>
  </si>
  <si>
    <t>Coles Myer</t>
  </si>
  <si>
    <t>0.33</t>
  </si>
  <si>
    <t>BOC Group</t>
  </si>
  <si>
    <t>6.19</t>
  </si>
  <si>
    <t>8.03</t>
  </si>
  <si>
    <t>Promise</t>
  </si>
  <si>
    <t>15.63</t>
  </si>
  <si>
    <t>WPP</t>
  </si>
  <si>
    <t>0.14</t>
  </si>
  <si>
    <t>13.57</t>
  </si>
  <si>
    <t>Schering Group</t>
  </si>
  <si>
    <t>6.07</t>
  </si>
  <si>
    <t>5.66</t>
  </si>
  <si>
    <t>9.95</t>
  </si>
  <si>
    <t>Harley-Davidson</t>
  </si>
  <si>
    <t>4.62</t>
  </si>
  <si>
    <t>4.92</t>
  </si>
  <si>
    <t>16.07</t>
  </si>
  <si>
    <t>Mitsubishi Electric</t>
  </si>
  <si>
    <t>30.79</t>
  </si>
  <si>
    <t>-0.1</t>
  </si>
  <si>
    <t>26.24</t>
  </si>
  <si>
    <t>10.28</t>
  </si>
  <si>
    <t>Norilsk Nickel</t>
  </si>
  <si>
    <t>3.08</t>
  </si>
  <si>
    <t>9.69</t>
  </si>
  <si>
    <t>14.48</t>
  </si>
  <si>
    <t>Toyota Industries</t>
  </si>
  <si>
    <t>13.94</t>
  </si>
  <si>
    <t>7.08</t>
  </si>
  <si>
    <t>Formosa Petrochemical</t>
  </si>
  <si>
    <t>4.89</t>
  </si>
  <si>
    <t>11.1</t>
  </si>
  <si>
    <t>Lear</t>
  </si>
  <si>
    <t>Tenaga Nasional</t>
  </si>
  <si>
    <t>4.33</t>
  </si>
  <si>
    <t>15.78</t>
  </si>
  <si>
    <t>7.74</t>
  </si>
  <si>
    <t>CLP Holdings</t>
  </si>
  <si>
    <t>3.35</t>
  </si>
  <si>
    <t>11.99</t>
  </si>
  <si>
    <t>Syngenta</t>
  </si>
  <si>
    <t>Woolworths</t>
  </si>
  <si>
    <t>17.74</t>
  </si>
  <si>
    <t>3.85</t>
  </si>
  <si>
    <t>9.14</t>
  </si>
  <si>
    <t>Arcelor</t>
  </si>
  <si>
    <t>Luxembourg</t>
  </si>
  <si>
    <t>25.77</t>
  </si>
  <si>
    <t>-0.2</t>
  </si>
  <si>
    <t>25.54</t>
  </si>
  <si>
    <t>Delhaize Group</t>
  </si>
  <si>
    <t>23.66</t>
  </si>
  <si>
    <t>4.91</t>
  </si>
  <si>
    <t>China Life Insurance</t>
  </si>
  <si>
    <t>-0.27</t>
  </si>
  <si>
    <t>37.9</t>
  </si>
  <si>
    <t>19.46</t>
  </si>
  <si>
    <t>Banche Popolari Unite</t>
  </si>
  <si>
    <t>4.02</t>
  </si>
  <si>
    <t>66.12</t>
  </si>
  <si>
    <t>Whirlpool</t>
  </si>
  <si>
    <t>12.18</t>
  </si>
  <si>
    <t>7.36</t>
  </si>
  <si>
    <t>Yamanouchi Pharm</t>
  </si>
  <si>
    <t>4.29</t>
  </si>
  <si>
    <t>H &amp; M Hennes &amp; Mauritz</t>
  </si>
  <si>
    <t>6.39</t>
  </si>
  <si>
    <t>22.29</t>
  </si>
  <si>
    <t>Assurant</t>
  </si>
  <si>
    <t>22.87</t>
  </si>
  <si>
    <t>3.51</t>
  </si>
  <si>
    <t>American Standard</t>
  </si>
  <si>
    <t>Allied Domecq</t>
  </si>
  <si>
    <t>4.31</t>
  </si>
  <si>
    <t>8.98</t>
  </si>
  <si>
    <t>Safeway Plc</t>
  </si>
  <si>
    <t>13.65</t>
  </si>
  <si>
    <t>Grupo Ferrovial</t>
  </si>
  <si>
    <t>5.11</t>
  </si>
  <si>
    <t>Osaka Gas</t>
  </si>
  <si>
    <t>9.91</t>
  </si>
  <si>
    <t>Banca Antonveneta</t>
  </si>
  <si>
    <t>3.71</t>
  </si>
  <si>
    <t>51.82</t>
  </si>
  <si>
    <t>Williams Cos</t>
  </si>
  <si>
    <t>17.8</t>
  </si>
  <si>
    <t>0.1</t>
  </si>
  <si>
    <t>30.3</t>
  </si>
  <si>
    <t>Becton Dickinson</t>
  </si>
  <si>
    <t>4.53</t>
  </si>
  <si>
    <t>Popular</t>
  </si>
  <si>
    <t>2.66</t>
  </si>
  <si>
    <t>35.78</t>
  </si>
  <si>
    <t>5.99</t>
  </si>
  <si>
    <t>Atlas Copco</t>
  </si>
  <si>
    <t>Baoshan Iron &amp; Steel</t>
  </si>
  <si>
    <t>Sovereign Bancorp</t>
  </si>
  <si>
    <t>2.45</t>
  </si>
  <si>
    <t>43.51</t>
  </si>
  <si>
    <t>6.69</t>
  </si>
  <si>
    <t>Thales</t>
  </si>
  <si>
    <t>11.67</t>
  </si>
  <si>
    <t>0.12</t>
  </si>
  <si>
    <t>19.13</t>
  </si>
  <si>
    <t>Nippon Express</t>
  </si>
  <si>
    <t>5.58</t>
  </si>
  <si>
    <t>Boston Scientific</t>
  </si>
  <si>
    <t>3.48</t>
  </si>
  <si>
    <t>5.7</t>
  </si>
  <si>
    <t>34.9</t>
  </si>
  <si>
    <t>Hellenic Telecom</t>
  </si>
  <si>
    <t>9.3</t>
  </si>
  <si>
    <t>7.69</t>
  </si>
  <si>
    <t>Hanson</t>
  </si>
  <si>
    <t>5.83</t>
  </si>
  <si>
    <t>Jardine Matheson</t>
  </si>
  <si>
    <t>8.24</t>
  </si>
  <si>
    <t>Sompo Japan Insurance</t>
  </si>
  <si>
    <t>14.41</t>
  </si>
  <si>
    <t>-0.25</t>
  </si>
  <si>
    <t>43.23</t>
  </si>
  <si>
    <t>Hughes Electronics</t>
  </si>
  <si>
    <t>-0.3</t>
  </si>
  <si>
    <t>18.95</t>
  </si>
  <si>
    <t>Cablevision NY Group</t>
  </si>
  <si>
    <t>10.82</t>
  </si>
  <si>
    <t>British Airways</t>
  </si>
  <si>
    <t>12.15</t>
  </si>
  <si>
    <t>20.33</t>
  </si>
  <si>
    <t>6.36</t>
  </si>
  <si>
    <t>CenterPoint Energy</t>
  </si>
  <si>
    <t>3.16</t>
  </si>
  <si>
    <t>Oversea-Chinese Banking</t>
  </si>
  <si>
    <t>1.99</t>
  </si>
  <si>
    <t>48.4</t>
  </si>
  <si>
    <t>9.66</t>
  </si>
  <si>
    <t>Pernod Ricard</t>
  </si>
  <si>
    <t>7.92</t>
  </si>
  <si>
    <t>8.44</t>
  </si>
  <si>
    <t>Chinatrust Financial</t>
  </si>
  <si>
    <t>27.01</t>
  </si>
  <si>
    <t>6.67</t>
  </si>
  <si>
    <t>DSM</t>
  </si>
  <si>
    <t>7.61</t>
  </si>
  <si>
    <t>4.64</t>
  </si>
  <si>
    <t>Scottish &amp; Newcastle</t>
  </si>
  <si>
    <t>5.52</t>
  </si>
  <si>
    <t>Industrial Bank of Korea</t>
  </si>
  <si>
    <t>56.06</t>
  </si>
  <si>
    <t>2.55</t>
  </si>
  <si>
    <t>Imperial Chemical Inds</t>
  </si>
  <si>
    <t>5.04</t>
  </si>
  <si>
    <t>Merck</t>
  </si>
  <si>
    <t>7.85</t>
  </si>
  <si>
    <t>Ajinomoto</t>
  </si>
  <si>
    <t>Matsushita Electric Works</t>
  </si>
  <si>
    <t>Mazda Motor</t>
  </si>
  <si>
    <t>3.44</t>
  </si>
  <si>
    <t>Sunoco</t>
  </si>
  <si>
    <t>15.87</t>
  </si>
  <si>
    <t>4.51</t>
  </si>
  <si>
    <t>MBIA</t>
  </si>
  <si>
    <t>30.27</t>
  </si>
  <si>
    <t>9.35</t>
  </si>
  <si>
    <t>Starwood Hotels</t>
  </si>
  <si>
    <t>3.94</t>
  </si>
  <si>
    <t>7.8</t>
  </si>
  <si>
    <t>Enbridge</t>
  </si>
  <si>
    <t>3.75</t>
  </si>
  <si>
    <t>Cathay Pacific Airways</t>
  </si>
  <si>
    <t>9.18</t>
  </si>
  <si>
    <t>6.53</t>
  </si>
  <si>
    <t>Sanyo Electric</t>
  </si>
  <si>
    <t>19.24</t>
  </si>
  <si>
    <t>-0.62</t>
  </si>
  <si>
    <t>9.43</t>
  </si>
  <si>
    <t>MAN Group</t>
  </si>
  <si>
    <t>5.35</t>
  </si>
  <si>
    <t>Continental</t>
  </si>
  <si>
    <t>8.5</t>
  </si>
  <si>
    <t>5.22</t>
  </si>
  <si>
    <t>Dean Foods</t>
  </si>
  <si>
    <t>6.99</t>
  </si>
  <si>
    <t>5.33</t>
  </si>
  <si>
    <t>Safeway</t>
  </si>
  <si>
    <t>35.55</t>
  </si>
  <si>
    <t>-0.17</t>
  </si>
  <si>
    <t>9.92</t>
  </si>
  <si>
    <t>Electronic Data Sys</t>
  </si>
  <si>
    <t>21.48</t>
  </si>
  <si>
    <t>18.28</t>
  </si>
  <si>
    <t>9.98</t>
  </si>
  <si>
    <t>BAE Systems</t>
  </si>
  <si>
    <t>-1.1</t>
  </si>
  <si>
    <t>24.94</t>
  </si>
  <si>
    <t>Fuji Heavy Inds</t>
  </si>
  <si>
    <t>3.55</t>
  </si>
  <si>
    <t>Halliburton</t>
  </si>
  <si>
    <t>Office Depot</t>
  </si>
  <si>
    <t>6.15</t>
  </si>
  <si>
    <t>PG&amp;E</t>
  </si>
  <si>
    <t>-1.8</t>
  </si>
  <si>
    <t>27.76</t>
  </si>
  <si>
    <t>11.46</t>
  </si>
  <si>
    <t>Royal &amp; Sun Alliance</t>
  </si>
  <si>
    <t>-1.51</t>
  </si>
  <si>
    <t>86.56</t>
  </si>
  <si>
    <t>5.2</t>
  </si>
  <si>
    <t>Secom</t>
  </si>
  <si>
    <t>4.43</t>
  </si>
  <si>
    <t>8.9</t>
  </si>
  <si>
    <t>Hon Hai Precision Ind</t>
  </si>
  <si>
    <t>Hana Bank</t>
  </si>
  <si>
    <t>63.86</t>
  </si>
  <si>
    <t>Union Planters</t>
  </si>
  <si>
    <t>31.91</t>
  </si>
  <si>
    <t>Public Power</t>
  </si>
  <si>
    <t>10.87</t>
  </si>
  <si>
    <t>6.49</t>
  </si>
  <si>
    <t>Autostrade</t>
  </si>
  <si>
    <t>2.46</t>
  </si>
  <si>
    <t>8.13</t>
  </si>
  <si>
    <t>Yamato Transport</t>
  </si>
  <si>
    <t>5.37</t>
  </si>
  <si>
    <t>6.65</t>
  </si>
  <si>
    <t>Avon Products</t>
  </si>
  <si>
    <t>6.55</t>
  </si>
  <si>
    <t>15.99</t>
  </si>
  <si>
    <t>First Tennessee Natl</t>
  </si>
  <si>
    <t>Japan Airlines Sys</t>
  </si>
  <si>
    <t>18.03</t>
  </si>
  <si>
    <t>Dixons Group</t>
  </si>
  <si>
    <t>5.49</t>
  </si>
  <si>
    <t>Sandvik</t>
  </si>
  <si>
    <t>5.65</t>
  </si>
  <si>
    <t>Sabanci Group</t>
  </si>
  <si>
    <t>18.59</t>
  </si>
  <si>
    <t>4.86</t>
  </si>
  <si>
    <t>Simon Property Group</t>
  </si>
  <si>
    <t>2.19</t>
  </si>
  <si>
    <t>15.68</t>
  </si>
  <si>
    <t>10.79</t>
  </si>
  <si>
    <t>Seagate Technology Cayman</t>
  </si>
  <si>
    <t>Islands</t>
  </si>
  <si>
    <t>7.9</t>
  </si>
  <si>
    <t>Qantas Airways</t>
  </si>
  <si>
    <t>7.66</t>
  </si>
  <si>
    <t>11.42</t>
  </si>
  <si>
    <t>Sankyo (pharma)</t>
  </si>
  <si>
    <t>9.23</t>
  </si>
  <si>
    <t>Capitalia</t>
  </si>
  <si>
    <t>9.61</t>
  </si>
  <si>
    <t>146.67</t>
  </si>
  <si>
    <t>Franklin Resources</t>
  </si>
  <si>
    <t>Sumitomo Metal Inds</t>
  </si>
  <si>
    <t>10.36</t>
  </si>
  <si>
    <t>17.44</t>
  </si>
  <si>
    <t>4.6</t>
  </si>
  <si>
    <t>TeliaSonera Group</t>
  </si>
  <si>
    <t>-0.93</t>
  </si>
  <si>
    <t>21.97</t>
  </si>
  <si>
    <t>22.51</t>
  </si>
  <si>
    <t>Royal Caribbean</t>
  </si>
  <si>
    <t>Liberia</t>
  </si>
  <si>
    <t>3.78</t>
  </si>
  <si>
    <t>11.32</t>
  </si>
  <si>
    <t>Synovus Finl</t>
  </si>
  <si>
    <t>2.41</t>
  </si>
  <si>
    <t>21.02</t>
  </si>
  <si>
    <t>Sprint PCS</t>
  </si>
  <si>
    <t>12.69</t>
  </si>
  <si>
    <t>-0.66</t>
  </si>
  <si>
    <t>21.85</t>
  </si>
  <si>
    <t>ITT Industries</t>
  </si>
  <si>
    <t>7.1</t>
  </si>
  <si>
    <t>SK Corp</t>
  </si>
  <si>
    <t>-2.02</t>
  </si>
  <si>
    <t>34.91</t>
  </si>
  <si>
    <t>Everest Re Group</t>
  </si>
  <si>
    <t>4.11</t>
  </si>
  <si>
    <t>Scania</t>
  </si>
  <si>
    <t>5.45</t>
  </si>
  <si>
    <t>6.58</t>
  </si>
  <si>
    <t>Suncorp-Metway</t>
  </si>
  <si>
    <t>25.79</t>
  </si>
  <si>
    <t>5.3</t>
  </si>
  <si>
    <t>TXU</t>
  </si>
  <si>
    <t>-4.09</t>
  </si>
  <si>
    <t>30.77</t>
  </si>
  <si>
    <t>HeidelbergCement</t>
  </si>
  <si>
    <t>6.9</t>
  </si>
  <si>
    <t>4.39</t>
  </si>
  <si>
    <t>Banca Naz del Lavoro</t>
  </si>
  <si>
    <t>5.74</t>
  </si>
  <si>
    <t>86.49</t>
  </si>
  <si>
    <t>5.9</t>
  </si>
  <si>
    <t>Bombardier</t>
  </si>
  <si>
    <t>15.55</t>
  </si>
  <si>
    <t>-0.4</t>
  </si>
  <si>
    <t>mmO2</t>
  </si>
  <si>
    <t>-16.03</t>
  </si>
  <si>
    <t>21.12</t>
  </si>
  <si>
    <t>Bank Mandiri</t>
  </si>
  <si>
    <t>Indonesia</t>
  </si>
  <si>
    <t>27.75</t>
  </si>
  <si>
    <t>3.33</t>
  </si>
  <si>
    <t>Celesio</t>
  </si>
  <si>
    <t>5.75</t>
  </si>
  <si>
    <t>Sun Microsystems</t>
  </si>
  <si>
    <t>11.2</t>
  </si>
  <si>
    <t>-1.45</t>
  </si>
  <si>
    <t>18.51</t>
  </si>
  <si>
    <t>Cox Communications</t>
  </si>
  <si>
    <t>-0.14</t>
  </si>
  <si>
    <t>24.42</t>
  </si>
  <si>
    <t>20.48</t>
  </si>
  <si>
    <t>Rohm</t>
  </si>
  <si>
    <t>13.52</t>
  </si>
  <si>
    <t>Sodexho Alliance</t>
  </si>
  <si>
    <t>Cincinnati Financial</t>
  </si>
  <si>
    <t>3.06</t>
  </si>
  <si>
    <t>14.96</t>
  </si>
  <si>
    <t>Lucent Technologies</t>
  </si>
  <si>
    <t>8.65</t>
  </si>
  <si>
    <t>18.36</t>
  </si>
  <si>
    <t>Samsung SDI</t>
  </si>
  <si>
    <t>5.59</t>
  </si>
  <si>
    <t>Mattel</t>
  </si>
  <si>
    <t>Murata Manufacturing</t>
  </si>
  <si>
    <t>3.34</t>
  </si>
  <si>
    <t>6.97</t>
  </si>
  <si>
    <t>13.07</t>
  </si>
  <si>
    <t>Delphi</t>
  </si>
  <si>
    <t>28.1</t>
  </si>
  <si>
    <t>-0.06</t>
  </si>
  <si>
    <t>20.9</t>
  </si>
  <si>
    <t>Swiss Life Holding</t>
  </si>
  <si>
    <t>113.34</t>
  </si>
  <si>
    <t>Air France Group</t>
  </si>
  <si>
    <t>13.61</t>
  </si>
  <si>
    <t>Huntington Bancshs</t>
  </si>
  <si>
    <t>30.1</t>
  </si>
  <si>
    <t>5.26</t>
  </si>
  <si>
    <t>Supervalu</t>
  </si>
  <si>
    <t>19.78</t>
  </si>
  <si>
    <t>3.93</t>
  </si>
  <si>
    <t>Conseco</t>
  </si>
  <si>
    <t>4.75</t>
  </si>
  <si>
    <t>29.86</t>
  </si>
  <si>
    <t>Swire Pacific</t>
  </si>
  <si>
    <t>1.95</t>
  </si>
  <si>
    <t>12.46</t>
  </si>
  <si>
    <t>H&amp;R Block</t>
  </si>
  <si>
    <t>3.66</t>
  </si>
  <si>
    <t>10.64</t>
  </si>
  <si>
    <t>ASFA-Autoroutes</t>
  </si>
  <si>
    <t>2.82</t>
  </si>
  <si>
    <t>Guidant</t>
  </si>
  <si>
    <t>19.51</t>
  </si>
  <si>
    <t>Ambac Financial Group</t>
  </si>
  <si>
    <t>8.15</t>
  </si>
  <si>
    <t>Asahi Glass</t>
  </si>
  <si>
    <t>10.96</t>
  </si>
  <si>
    <t>-0.03</t>
  </si>
  <si>
    <t>14.73</t>
  </si>
  <si>
    <t>VNU</t>
  </si>
  <si>
    <t>Ciba Specialty Chemicals</t>
  </si>
  <si>
    <t>5.36</t>
  </si>
  <si>
    <t>Oji Paper</t>
  </si>
  <si>
    <t>Torchmark</t>
  </si>
  <si>
    <t>2.88</t>
  </si>
  <si>
    <t>Pepco Holdings</t>
  </si>
  <si>
    <t>13.11</t>
  </si>
  <si>
    <t>Hilton Group</t>
  </si>
  <si>
    <t>Toys R` Us</t>
  </si>
  <si>
    <t>10.7</t>
  </si>
  <si>
    <t>United Utilities</t>
  </si>
  <si>
    <t>2.97</t>
  </si>
  <si>
    <t>13.26</t>
  </si>
  <si>
    <t>5.16</t>
  </si>
  <si>
    <t>Taisei</t>
  </si>
  <si>
    <t>13.91</t>
  </si>
  <si>
    <t>15.41</t>
  </si>
  <si>
    <t>OMV Group</t>
  </si>
  <si>
    <t>6.3</t>
  </si>
  <si>
    <t>Quest Diagnostics</t>
  </si>
  <si>
    <t>4.74</t>
  </si>
  <si>
    <t>8.51</t>
  </si>
  <si>
    <t>Skandia Insurance</t>
  </si>
  <si>
    <t>10.53</t>
  </si>
  <si>
    <t>-0.5</t>
  </si>
  <si>
    <t>55.2</t>
  </si>
  <si>
    <t>British Sky Broadcasting</t>
  </si>
  <si>
    <t>5.27</t>
  </si>
  <si>
    <t>3.03</t>
  </si>
  <si>
    <t>27.26</t>
  </si>
  <si>
    <t>White Mountains Ins</t>
  </si>
  <si>
    <t>14.97</t>
  </si>
  <si>
    <t>Seiko Epson</t>
  </si>
  <si>
    <t>10.05</t>
  </si>
  <si>
    <t>7.06</t>
  </si>
  <si>
    <t>Unibanco Group</t>
  </si>
  <si>
    <t>21.29</t>
  </si>
  <si>
    <t>2.77</t>
  </si>
  <si>
    <t>MGM Mirage</t>
  </si>
  <si>
    <t>10.71</t>
  </si>
  <si>
    <t>Shikoku Electric Power</t>
  </si>
  <si>
    <t>11.96</t>
  </si>
  <si>
    <t>4.65</t>
  </si>
  <si>
    <t>Valeo</t>
  </si>
  <si>
    <t>7.54</t>
  </si>
  <si>
    <t>Ebay</t>
  </si>
  <si>
    <t>44.31</t>
  </si>
  <si>
    <t>AutoZone</t>
  </si>
  <si>
    <t>3.72</t>
  </si>
  <si>
    <t>7.75</t>
  </si>
  <si>
    <t>New York Community</t>
  </si>
  <si>
    <t>8.35</t>
  </si>
  <si>
    <t>Wesfarmers</t>
  </si>
  <si>
    <t>4.27</t>
  </si>
  <si>
    <t>Mitsui Chemicals</t>
  </si>
  <si>
    <t>8.91</t>
  </si>
  <si>
    <t>FCC Group</t>
  </si>
  <si>
    <t>Nippon Yusen</t>
  </si>
  <si>
    <t>Bradford &amp; Bingley</t>
  </si>
  <si>
    <t>40.81</t>
  </si>
  <si>
    <t>3.92</t>
  </si>
  <si>
    <t>Gallaher Group</t>
  </si>
  <si>
    <t>China Steel</t>
  </si>
  <si>
    <t>3.13</t>
  </si>
  <si>
    <t>Tokyu</t>
  </si>
  <si>
    <t>11.72</t>
  </si>
  <si>
    <t>0.03</t>
  </si>
  <si>
    <t>20.86</t>
  </si>
  <si>
    <t>6.16</t>
  </si>
  <si>
    <t>Genuine Parts</t>
  </si>
  <si>
    <t>4.05</t>
  </si>
  <si>
    <t>Brambles Group</t>
  </si>
  <si>
    <t>7.09</t>
  </si>
  <si>
    <t>Parker Hannifin</t>
  </si>
  <si>
    <t>6.52</t>
  </si>
  <si>
    <t>5.8</t>
  </si>
  <si>
    <t>6.84</t>
  </si>
  <si>
    <t>Grupo Modelo</t>
  </si>
  <si>
    <t>Amcor</t>
  </si>
  <si>
    <t>Yapi ve Kredi</t>
  </si>
  <si>
    <t>4.48</t>
  </si>
  <si>
    <t>19.83</t>
  </si>
  <si>
    <t>Beiersdorf</t>
  </si>
  <si>
    <t>5.88</t>
  </si>
  <si>
    <t>China Merchants Bank</t>
  </si>
  <si>
    <t>1.44</t>
  </si>
  <si>
    <t>GreenPoint Financial</t>
  </si>
  <si>
    <t>22.99</t>
  </si>
  <si>
    <t>Aramark</t>
  </si>
  <si>
    <t>5.03</t>
  </si>
  <si>
    <t>Fairfax Financial</t>
  </si>
  <si>
    <t>5.21</t>
  </si>
  <si>
    <t>24.05</t>
  </si>
  <si>
    <t>Sampo</t>
  </si>
  <si>
    <t>Estee Lauder Cos</t>
  </si>
  <si>
    <t>5.43</t>
  </si>
  <si>
    <t>Sumitomo Trust &amp; Banking</t>
  </si>
  <si>
    <t>4.16</t>
  </si>
  <si>
    <t>131.13</t>
  </si>
  <si>
    <t>MTR</t>
  </si>
  <si>
    <t>12.96</t>
  </si>
  <si>
    <t>8.46</t>
  </si>
  <si>
    <t>Lagardere SCA</t>
  </si>
  <si>
    <t>19.09</t>
  </si>
  <si>
    <t>America Telecom</t>
  </si>
  <si>
    <t>5.54</t>
  </si>
  <si>
    <t>UnumProvident</t>
  </si>
  <si>
    <t>0.06</t>
  </si>
  <si>
    <t>49.34</t>
  </si>
  <si>
    <t>4.36</t>
  </si>
  <si>
    <t>Tostem Inax</t>
  </si>
  <si>
    <t>7.83</t>
  </si>
  <si>
    <t>Lexmark International</t>
  </si>
  <si>
    <t>3.45</t>
  </si>
  <si>
    <t>Daido Life Insurance</t>
  </si>
  <si>
    <t>0.05</t>
  </si>
  <si>
    <t>50.55</t>
  </si>
  <si>
    <t>Apple Computer</t>
  </si>
  <si>
    <t>Inditex</t>
  </si>
  <si>
    <t>4.28</t>
  </si>
  <si>
    <t>adidas-Salomon</t>
  </si>
  <si>
    <t>AES</t>
  </si>
  <si>
    <t>29.61</t>
  </si>
  <si>
    <t>5.68</t>
  </si>
  <si>
    <t>Land Securities Group</t>
  </si>
  <si>
    <t>1.69</t>
  </si>
  <si>
    <t>14.23</t>
  </si>
  <si>
    <t>North Fork Bancorp</t>
  </si>
  <si>
    <t>Flextronics Intl</t>
  </si>
  <si>
    <t>-0.35</t>
  </si>
  <si>
    <t>9.51</t>
  </si>
  <si>
    <t>9.68</t>
  </si>
  <si>
    <t>El Paso</t>
  </si>
  <si>
    <t>-3.22</t>
  </si>
  <si>
    <t>42.68</t>
  </si>
  <si>
    <t>Clorox</t>
  </si>
  <si>
    <t>4.17</t>
  </si>
  <si>
    <t>3.6</t>
  </si>
  <si>
    <t>10.17</t>
  </si>
  <si>
    <t>Xcel Energy</t>
  </si>
  <si>
    <t>-0.19</t>
  </si>
  <si>
    <t>AMP</t>
  </si>
  <si>
    <t>42.94</t>
  </si>
  <si>
    <t>Citic Pacific</t>
  </si>
  <si>
    <t>2.86</t>
  </si>
  <si>
    <t>6.45</t>
  </si>
  <si>
    <t>Mega Financial Holding</t>
  </si>
  <si>
    <t>2.16</t>
  </si>
  <si>
    <t>47.54</t>
  </si>
  <si>
    <t>Caremark Rx</t>
  </si>
  <si>
    <t>Baker Hughes</t>
  </si>
  <si>
    <t>Eisai</t>
  </si>
  <si>
    <t>Hershey Foods</t>
  </si>
  <si>
    <t>3.58</t>
  </si>
  <si>
    <t>Equity Residential</t>
  </si>
  <si>
    <t>1.82</t>
  </si>
  <si>
    <t>11.47</t>
  </si>
  <si>
    <t>Kinki Nippon Railway</t>
  </si>
  <si>
    <t>11.03</t>
  </si>
  <si>
    <t>-0.43</t>
  </si>
  <si>
    <t>19.18</t>
  </si>
  <si>
    <t>Huaneng Power Intl</t>
  </si>
  <si>
    <t>2.23</t>
  </si>
  <si>
    <t>Harrah`s Entertain</t>
  </si>
  <si>
    <t>5.72</t>
  </si>
  <si>
    <t>Stryker</t>
  </si>
  <si>
    <t>3.63</t>
  </si>
  <si>
    <t>17.99</t>
  </si>
  <si>
    <t>Old Republic Intl</t>
  </si>
  <si>
    <t>3.18</t>
  </si>
  <si>
    <t>Liberty Media</t>
  </si>
  <si>
    <t>-0.98</t>
  </si>
  <si>
    <t>55.88</t>
  </si>
  <si>
    <t>32.69</t>
  </si>
  <si>
    <t>AdvancePCS</t>
  </si>
  <si>
    <t>15.02</t>
  </si>
  <si>
    <t>3.76</t>
  </si>
  <si>
    <t>Sumitomo Electric</t>
  </si>
  <si>
    <t>13.46</t>
  </si>
  <si>
    <t>6.38</t>
  </si>
  <si>
    <t>Banco de Sabadell</t>
  </si>
  <si>
    <t>38.38</t>
  </si>
  <si>
    <t>4.77</t>
  </si>
  <si>
    <t>Rolls-Royce</t>
  </si>
  <si>
    <t>9.32</t>
  </si>
  <si>
    <t>KarstadtQuelle</t>
  </si>
  <si>
    <t>16.61</t>
  </si>
  <si>
    <t>10.72</t>
  </si>
  <si>
    <t>Telekom Indonesia</t>
  </si>
  <si>
    <t>Teva Pharmaceutical Inds</t>
  </si>
  <si>
    <t>Israel</t>
  </si>
  <si>
    <t>2.52</t>
  </si>
  <si>
    <t>4.63</t>
  </si>
  <si>
    <t>Telkom</t>
  </si>
  <si>
    <t>4.76</t>
  </si>
  <si>
    <t>6.1</t>
  </si>
  <si>
    <t>PartnerRe</t>
  </si>
  <si>
    <t>3.87</t>
  </si>
  <si>
    <t>10.9</t>
  </si>
  <si>
    <t>Zions Bancorp</t>
  </si>
  <si>
    <t>28.56</t>
  </si>
  <si>
    <t>Tenet Healthcare</t>
  </si>
  <si>
    <t>15.17</t>
  </si>
  <si>
    <t>Nipponkoa Insurance</t>
  </si>
  <si>
    <t>8.87</t>
  </si>
  <si>
    <t>-0.22</t>
  </si>
  <si>
    <t>26.57</t>
  </si>
  <si>
    <t>4.98</t>
  </si>
  <si>
    <t>Infineon Technologies</t>
  </si>
  <si>
    <t>-0.51</t>
  </si>
  <si>
    <t>11.79</t>
  </si>
  <si>
    <t>10.73</t>
  </si>
  <si>
    <t>Hokkaido Electric Power</t>
  </si>
  <si>
    <t>11.85</t>
  </si>
  <si>
    <t>TUI Group</t>
  </si>
  <si>
    <t>21.33</t>
  </si>
  <si>
    <t>Mitsui OSK Lines</t>
  </si>
  <si>
    <t>5.5</t>
  </si>
  <si>
    <t>Humana</t>
  </si>
  <si>
    <t>Anglo Irish Bank</t>
  </si>
  <si>
    <t>29.74</t>
  </si>
  <si>
    <t>Bharat Petroleum</t>
  </si>
  <si>
    <t>11.97</t>
  </si>
  <si>
    <t>3.22</t>
  </si>
  <si>
    <t>Foster`s Group</t>
  </si>
  <si>
    <t>7.16</t>
  </si>
  <si>
    <t>Banknorth Group</t>
  </si>
  <si>
    <t>25.74</t>
  </si>
  <si>
    <t>5.39</t>
  </si>
  <si>
    <t>Dover</t>
  </si>
  <si>
    <t>Edison</t>
  </si>
  <si>
    <t>19.11</t>
  </si>
  <si>
    <t>8.43</t>
  </si>
  <si>
    <t>L-3 Communications</t>
  </si>
  <si>
    <t>Temple-Inland</t>
  </si>
  <si>
    <t>21.35</t>
  </si>
  <si>
    <t>3.41</t>
  </si>
  <si>
    <t>Hongkong Electric</t>
  </si>
  <si>
    <t>9.04</t>
  </si>
  <si>
    <t>Friends Provident</t>
  </si>
  <si>
    <t>-0.11</t>
  </si>
  <si>
    <t>49.37</t>
  </si>
  <si>
    <t>Unisys</t>
  </si>
  <si>
    <t>4.78</t>
  </si>
  <si>
    <t>National Commerce Finl</t>
  </si>
  <si>
    <t>22.89</t>
  </si>
  <si>
    <t>Daiwa Securities</t>
  </si>
  <si>
    <t>-0.05</t>
  </si>
  <si>
    <t>79.82</t>
  </si>
  <si>
    <t>8.75</t>
  </si>
  <si>
    <t>Talisman Energy</t>
  </si>
  <si>
    <t>2.78</t>
  </si>
  <si>
    <t>Applied Materials</t>
  </si>
  <si>
    <t>-0.15</t>
  </si>
  <si>
    <t>10.31</t>
  </si>
  <si>
    <t>36.61</t>
  </si>
  <si>
    <t>Starbucks</t>
  </si>
  <si>
    <t>Bed Bath &amp; Beyond</t>
  </si>
  <si>
    <t>12.34</t>
  </si>
  <si>
    <t>ICICI Bank</t>
  </si>
  <si>
    <t>4.22</t>
  </si>
  <si>
    <t>Irish Life &amp; Permanent</t>
  </si>
  <si>
    <t>1.72</t>
  </si>
  <si>
    <t>34.88</t>
  </si>
  <si>
    <t>Murphy Oil</t>
  </si>
  <si>
    <t>4.97</t>
  </si>
  <si>
    <t>Forest Labs</t>
  </si>
  <si>
    <t>2.43</t>
  </si>
  <si>
    <t>3.23</t>
  </si>
  <si>
    <t>Affiliated Computer</t>
  </si>
  <si>
    <t>4.03</t>
  </si>
  <si>
    <t>3.86</t>
  </si>
  <si>
    <t>Fiserv</t>
  </si>
  <si>
    <t>2.7</t>
  </si>
  <si>
    <t>7.21</t>
  </si>
  <si>
    <t>Dollar General</t>
  </si>
  <si>
    <t>2.59</t>
  </si>
  <si>
    <t>Compass Bancshares</t>
  </si>
  <si>
    <t>1.81</t>
  </si>
  <si>
    <t>26.16</t>
  </si>
  <si>
    <t>Aioi Insurance</t>
  </si>
  <si>
    <t>9.1</t>
  </si>
  <si>
    <t>2.84</t>
  </si>
  <si>
    <t>Femsa</t>
  </si>
  <si>
    <t>5.09</t>
  </si>
  <si>
    <t>United Microelectronics</t>
  </si>
  <si>
    <t>2.18</t>
  </si>
  <si>
    <t>14.66</t>
  </si>
  <si>
    <t>Dassault Aviation</t>
  </si>
  <si>
    <t>Express Scripts</t>
  </si>
  <si>
    <t>Kajima</t>
  </si>
  <si>
    <t>15.86</t>
  </si>
  <si>
    <t>Wm Morrison Supermarkets</t>
  </si>
  <si>
    <t>Calpine</t>
  </si>
  <si>
    <t>26.04</t>
  </si>
  <si>
    <t>2.5</t>
  </si>
  <si>
    <t>Wisconsin Energy</t>
  </si>
  <si>
    <t>Asahi Breweries</t>
  </si>
  <si>
    <t>10.5</t>
  </si>
  <si>
    <t>4.66</t>
  </si>
  <si>
    <t>Bank of Yokohama</t>
  </si>
  <si>
    <t>2.32</t>
  </si>
  <si>
    <t>89.11</t>
  </si>
  <si>
    <t>Northwest Airlines</t>
  </si>
  <si>
    <t>8.69</t>
  </si>
  <si>
    <t>14.16</t>
  </si>
  <si>
    <t>0.96</t>
  </si>
  <si>
    <t>Reed Elsevier</t>
  </si>
  <si>
    <t>United Kingdom/ Netherlands</t>
  </si>
  <si>
    <t>SKF Group</t>
  </si>
  <si>
    <t>5.05</t>
  </si>
  <si>
    <t>Telekom Malaysia</t>
  </si>
  <si>
    <t>7.3</t>
  </si>
  <si>
    <t>VF</t>
  </si>
  <si>
    <t>5.13</t>
  </si>
  <si>
    <t>Unipol</t>
  </si>
  <si>
    <t>20.21</t>
  </si>
  <si>
    <t>Pearson</t>
  </si>
  <si>
    <t>6.96</t>
  </si>
  <si>
    <t>-0.18</t>
  </si>
  <si>
    <t>10.97</t>
  </si>
  <si>
    <t>Energy East</t>
  </si>
  <si>
    <t>3.43</t>
  </si>
  <si>
    <t>Publicis Groupe</t>
  </si>
  <si>
    <t>3.07</t>
  </si>
  <si>
    <t>0.15</t>
  </si>
  <si>
    <t>Mohawk Industries</t>
  </si>
  <si>
    <t>5.01</t>
  </si>
  <si>
    <t>Fondiaria-SAI</t>
  </si>
  <si>
    <t>9.38</t>
  </si>
  <si>
    <t>0.04</t>
  </si>
  <si>
    <t>29.83</t>
  </si>
  <si>
    <t>EFG Eurobank Ergasias</t>
  </si>
  <si>
    <t>1.98</t>
  </si>
  <si>
    <t>26.56</t>
  </si>
  <si>
    <t>SPX</t>
  </si>
  <si>
    <t>Asahi Kasei</t>
  </si>
  <si>
    <t>10.1</t>
  </si>
  <si>
    <t>-0.57</t>
  </si>
  <si>
    <t>Canadian Natural Res</t>
  </si>
  <si>
    <t>2.22</t>
  </si>
  <si>
    <t>Dana</t>
  </si>
  <si>
    <t>9.64</t>
  </si>
  <si>
    <t>3.17</t>
  </si>
  <si>
    <t>Alpha Bank</t>
  </si>
  <si>
    <t>30.17</t>
  </si>
  <si>
    <t>Hindustan Petroleum</t>
  </si>
  <si>
    <t>Hokuriku Electric Power</t>
  </si>
  <si>
    <t>3.74</t>
  </si>
  <si>
    <t>Mediaset</t>
  </si>
  <si>
    <t>2.39</t>
  </si>
  <si>
    <t>4.34</t>
  </si>
  <si>
    <t>13.93</t>
  </si>
  <si>
    <t>Intl Game Technology</t>
  </si>
  <si>
    <t>2.25</t>
  </si>
  <si>
    <t>13.01</t>
  </si>
  <si>
    <t>Henderson Land Dev</t>
  </si>
  <si>
    <t>10.95</t>
  </si>
  <si>
    <t>8.86</t>
  </si>
  <si>
    <t>Fresenius</t>
  </si>
  <si>
    <t>9.28</t>
  </si>
  <si>
    <t>Nippon Unipac</t>
  </si>
  <si>
    <t>13.55</t>
  </si>
  <si>
    <t>Willis Group Holdings</t>
  </si>
  <si>
    <t>Electronic Arts</t>
  </si>
  <si>
    <t>13.28</t>
  </si>
  <si>
    <t>Toyota Tsusho</t>
  </si>
  <si>
    <t>21.8</t>
  </si>
  <si>
    <t>NiSource</t>
  </si>
  <si>
    <t>Kinder Morgan</t>
  </si>
  <si>
    <t>E-Trade Financial</t>
  </si>
  <si>
    <t>2.01</t>
  </si>
  <si>
    <t>BHW Holding</t>
  </si>
  <si>
    <t>7.46</t>
  </si>
  <si>
    <t>-0.38</t>
  </si>
  <si>
    <t>117.96</t>
  </si>
  <si>
    <t>2.98</t>
  </si>
  <si>
    <t>Smiths Group</t>
  </si>
  <si>
    <t>4.81</t>
  </si>
  <si>
    <t>Wm Wrigley Jr</t>
  </si>
  <si>
    <t>12.74</t>
  </si>
  <si>
    <t>Alstom</t>
  </si>
  <si>
    <t>-1.5</t>
  </si>
  <si>
    <t>25.03</t>
  </si>
  <si>
    <t>Avery Dennison</t>
  </si>
  <si>
    <t>6.04</t>
  </si>
  <si>
    <t>Analog Devices</t>
  </si>
  <si>
    <t>18.83</t>
  </si>
  <si>
    <t>Hudson City Bancorp</t>
  </si>
  <si>
    <t>17.03</t>
  </si>
  <si>
    <t>LG Card</t>
  </si>
  <si>
    <t>ACS Group</t>
  </si>
  <si>
    <t>Shiseido</t>
  </si>
  <si>
    <t>5.23</t>
  </si>
  <si>
    <t>Westfield America Trust</t>
  </si>
  <si>
    <t>1.41</t>
  </si>
  <si>
    <t>Nordstrom</t>
  </si>
  <si>
    <t>4.37</t>
  </si>
  <si>
    <t>Thomson</t>
  </si>
  <si>
    <t>10.2</t>
  </si>
  <si>
    <t>Securitas</t>
  </si>
  <si>
    <t>7.57</t>
  </si>
  <si>
    <t>6.08</t>
  </si>
  <si>
    <t>Koe Group</t>
  </si>
  <si>
    <t>Tatneft</t>
  </si>
  <si>
    <t>2.63</t>
  </si>
  <si>
    <t>Wharf (Holdings) Hong</t>
  </si>
  <si>
    <t>Orkla</t>
  </si>
  <si>
    <t>7.67</t>
  </si>
  <si>
    <t>Alliance UniChem</t>
  </si>
  <si>
    <t>QBE Insurance Group</t>
  </si>
  <si>
    <t>11.44</t>
  </si>
  <si>
    <t>Siam Cement</t>
  </si>
  <si>
    <t>5.18</t>
  </si>
  <si>
    <t>Luxottica Group</t>
  </si>
  <si>
    <t>3.77</t>
  </si>
  <si>
    <t>Bank Hapoalim</t>
  </si>
  <si>
    <t>55.11</t>
  </si>
  <si>
    <t>WR Berkley</t>
  </si>
  <si>
    <t>Rockwell Automation</t>
  </si>
  <si>
    <t>4.14</t>
  </si>
  <si>
    <t>Komatsu</t>
  </si>
  <si>
    <t>Cable &amp; Wireless</t>
  </si>
  <si>
    <t>-10.32</t>
  </si>
  <si>
    <t>11.59</t>
  </si>
  <si>
    <t>Telecom of New Zealand</t>
  </si>
  <si>
    <t>New Zealand</t>
  </si>
  <si>
    <t>2.64</t>
  </si>
  <si>
    <t>Bank of East Asia</t>
  </si>
  <si>
    <t>25.56</t>
  </si>
  <si>
    <t>4.72</t>
  </si>
  <si>
    <t>Yamaha Motor</t>
  </si>
  <si>
    <t>3.1</t>
  </si>
  <si>
    <t>Agilent Technologies</t>
  </si>
  <si>
    <t>6.06</t>
  </si>
  <si>
    <t>-1.79</t>
  </si>
  <si>
    <t>Serono</t>
  </si>
  <si>
    <t>4.4</t>
  </si>
  <si>
    <t>11.93</t>
  </si>
  <si>
    <t>Sanmina-SCI</t>
  </si>
  <si>
    <t>Cooper Industries</t>
  </si>
  <si>
    <t>4.06</t>
  </si>
  <si>
    <t>5.24</t>
  </si>
  <si>
    <t>Public Bank</t>
  </si>
  <si>
    <t>1.13</t>
  </si>
  <si>
    <t>Fanuc</t>
  </si>
  <si>
    <t>5.94</t>
  </si>
  <si>
    <t>Olympus</t>
  </si>
  <si>
    <t>EchoStar Commun</t>
  </si>
  <si>
    <t>18.86</t>
  </si>
  <si>
    <t>Scana</t>
  </si>
  <si>
    <t>Sherwin-Williams</t>
  </si>
  <si>
    <t>5.28</t>
  </si>
  <si>
    <t>Allied Waste Inds</t>
  </si>
  <si>
    <t>13.79</t>
  </si>
  <si>
    <t>2.74</t>
  </si>
  <si>
    <t>Sudzucker</t>
  </si>
  <si>
    <t>Yahoo</t>
  </si>
  <si>
    <t>30.5</t>
  </si>
  <si>
    <t>PacifiCare Health</t>
  </si>
  <si>
    <t>Westfield Trust</t>
  </si>
  <si>
    <t>9.49</t>
  </si>
  <si>
    <t>SunGard Data Systems</t>
  </si>
  <si>
    <t>Barrick Gold</t>
  </si>
  <si>
    <t>2.06</t>
  </si>
  <si>
    <t>11.24</t>
  </si>
  <si>
    <t>Shimizu</t>
  </si>
  <si>
    <t>15.18</t>
  </si>
  <si>
    <t>MeadWestvaco</t>
  </si>
  <si>
    <t>TDK</t>
  </si>
  <si>
    <t>Obayashi</t>
  </si>
  <si>
    <t>11.34</t>
  </si>
  <si>
    <t>16.11</t>
  </si>
  <si>
    <t>Samsung Fire &amp; Marine</t>
  </si>
  <si>
    <t>4.54</t>
  </si>
  <si>
    <t>Formosa Chems &amp; Fibre</t>
  </si>
  <si>
    <t>All Nippon Airways</t>
  </si>
  <si>
    <t>10.29</t>
  </si>
  <si>
    <t>-0.24</t>
  </si>
  <si>
    <t>Nikko Cordial</t>
  </si>
  <si>
    <t>48.16</t>
  </si>
  <si>
    <t>9.74</t>
  </si>
  <si>
    <t>Providian Financial</t>
  </si>
  <si>
    <t>14.28</t>
  </si>
  <si>
    <t>Dentsu</t>
  </si>
  <si>
    <t>2.42</t>
  </si>
  <si>
    <t>Bankgesellschaft Berlin</t>
  </si>
  <si>
    <t>-0.74</t>
  </si>
  <si>
    <t>182.69</t>
  </si>
  <si>
    <t>AMR</t>
  </si>
  <si>
    <t>17.15</t>
  </si>
  <si>
    <t>-1.65</t>
  </si>
  <si>
    <t>29.94</t>
  </si>
  <si>
    <t>Rentokil Initial</t>
  </si>
  <si>
    <t>2.79</t>
  </si>
  <si>
    <t>Korea Exchange Bank</t>
  </si>
  <si>
    <t>54.39</t>
  </si>
  <si>
    <t>Interpublic Group</t>
  </si>
  <si>
    <t>-0.33</t>
  </si>
  <si>
    <t>Jones Apparel Group</t>
  </si>
  <si>
    <t>Macquarie Bank</t>
  </si>
  <si>
    <t>1.8</t>
  </si>
  <si>
    <t>Swatch Group</t>
  </si>
  <si>
    <t>Toray Industries</t>
  </si>
  <si>
    <t>8.74</t>
  </si>
  <si>
    <t>10.58</t>
  </si>
  <si>
    <t>Nissho Iwai-Nichimen</t>
  </si>
  <si>
    <t>54.72</t>
  </si>
  <si>
    <t>26.8</t>
  </si>
  <si>
    <t>Kobe Steel</t>
  </si>
  <si>
    <t>0.01</t>
  </si>
  <si>
    <t>15.5</t>
  </si>
  <si>
    <t>Grupo Carso</t>
  </si>
  <si>
    <t>Canadian Pacific Railway</t>
  </si>
  <si>
    <t>Autoliv</t>
  </si>
  <si>
    <t>4.18</t>
  </si>
  <si>
    <t>Hilton Hotels</t>
  </si>
  <si>
    <t>8.34</t>
  </si>
  <si>
    <t>Shanghai Pudong Dev Bk</t>
  </si>
  <si>
    <t>33.64</t>
  </si>
  <si>
    <t>Taiyo Life Insurance</t>
  </si>
  <si>
    <t>54.64</t>
  </si>
  <si>
    <t>Daiwa House Industry</t>
  </si>
  <si>
    <t>10.02</t>
  </si>
  <si>
    <t>-0.77</t>
  </si>
  <si>
    <t>Vornado Realty</t>
  </si>
  <si>
    <t>Man Group Plc</t>
  </si>
  <si>
    <t>1.59</t>
  </si>
  <si>
    <t>Pioneer</t>
  </si>
  <si>
    <t>6.03</t>
  </si>
  <si>
    <t>5.17</t>
  </si>
  <si>
    <t>British Land</t>
  </si>
  <si>
    <t>14.3</t>
  </si>
  <si>
    <t>Family Dollar Stores</t>
  </si>
  <si>
    <t>6.63</t>
  </si>
  <si>
    <t>Ameritrade Holding</t>
  </si>
  <si>
    <t>7.05</t>
  </si>
  <si>
    <t>Sanlam South</t>
  </si>
  <si>
    <t>Africa</t>
  </si>
  <si>
    <t>21.17</t>
  </si>
  <si>
    <t>Antarchile</t>
  </si>
  <si>
    <t>Chile</t>
  </si>
  <si>
    <t>3.39</t>
  </si>
  <si>
    <t>Corporation Mapfre</t>
  </si>
  <si>
    <t>15.45</t>
  </si>
  <si>
    <t>Next</t>
  </si>
  <si>
    <t>7.24</t>
  </si>
  <si>
    <t>Fujisawa Pharmaceutical</t>
  </si>
  <si>
    <t>Credit Foncier</t>
  </si>
  <si>
    <t>46.07</t>
  </si>
  <si>
    <t>2.93</t>
  </si>
  <si>
    <t>Archstone-Smith</t>
  </si>
  <si>
    <t>Veritas Software</t>
  </si>
  <si>
    <t>Newell Rubbermaid</t>
  </si>
  <si>
    <t>6.94</t>
  </si>
  <si>
    <t>Mediobanca</t>
  </si>
  <si>
    <t>37.7</t>
  </si>
  <si>
    <t>9.34</t>
  </si>
  <si>
    <t>Black &amp; Decker</t>
  </si>
  <si>
    <t>Quanta Computer</t>
  </si>
  <si>
    <t>Arab Bank</t>
  </si>
  <si>
    <t>Jordan</t>
  </si>
  <si>
    <t>22.78</t>
  </si>
  <si>
    <t>Marui</t>
  </si>
  <si>
    <t>Great Eastern Holdings</t>
  </si>
  <si>
    <t>Mitsui Trust</t>
  </si>
  <si>
    <t>3.42</t>
  </si>
  <si>
    <t>-0.82</t>
  </si>
  <si>
    <t>102.63</t>
  </si>
  <si>
    <t>Inco</t>
  </si>
  <si>
    <t>InterContinental Hotels</t>
  </si>
  <si>
    <t>4.88</t>
  </si>
  <si>
    <t>8.55</t>
  </si>
  <si>
    <t>Corning</t>
  </si>
  <si>
    <t>16.67</t>
  </si>
  <si>
    <t>Computer Associates</t>
  </si>
  <si>
    <t>Skanska</t>
  </si>
  <si>
    <t>Daikin Industries</t>
  </si>
  <si>
    <t>4.84</t>
  </si>
  <si>
    <t>Kubota</t>
  </si>
  <si>
    <t>7.84</t>
  </si>
  <si>
    <t>Exel</t>
  </si>
  <si>
    <t>MGIC Investment</t>
  </si>
  <si>
    <t>1.78</t>
  </si>
  <si>
    <t>5.92</t>
  </si>
  <si>
    <t>CenturyTel</t>
  </si>
  <si>
    <t>2.38</t>
  </si>
  <si>
    <t>Commerce Bancorp</t>
  </si>
  <si>
    <t>22.71</t>
  </si>
  <si>
    <t>RMC Group</t>
  </si>
  <si>
    <t>7.25</t>
  </si>
  <si>
    <t>Insurance Australia Group</t>
  </si>
  <si>
    <t>10.83</t>
  </si>
  <si>
    <t>Banca Lombarda Group</t>
  </si>
  <si>
    <t>31.48</t>
  </si>
  <si>
    <t>Formosa Plastics</t>
  </si>
  <si>
    <t>5.02</t>
  </si>
  <si>
    <t>Solectron</t>
  </si>
  <si>
    <t>-3.51</t>
  </si>
  <si>
    <t>Manpower</t>
  </si>
  <si>
    <t>4.38</t>
  </si>
  <si>
    <t>Corus Group</t>
  </si>
  <si>
    <t>3.62</t>
  </si>
  <si>
    <t>Telus</t>
  </si>
  <si>
    <t>Ecolab</t>
  </si>
  <si>
    <t>7.04</t>
  </si>
  <si>
    <t>Bbloise Group</t>
  </si>
  <si>
    <t>6.25</t>
  </si>
  <si>
    <t>-0.46</t>
  </si>
  <si>
    <t>2.72</t>
  </si>
  <si>
    <t>Monsanto</t>
  </si>
  <si>
    <t>RadioShack</t>
  </si>
  <si>
    <t>New York Times</t>
  </si>
  <si>
    <t>Severn Trent</t>
  </si>
  <si>
    <t>Boston Properties</t>
  </si>
  <si>
    <t>Shizuoka Bank</t>
  </si>
  <si>
    <t>69.1</t>
  </si>
  <si>
    <t>Oxford Health Plans</t>
  </si>
  <si>
    <t>OTP Bank</t>
  </si>
  <si>
    <t>Hungary</t>
  </si>
  <si>
    <t>Smurfit-Stone</t>
  </si>
  <si>
    <t>GKN</t>
  </si>
  <si>
    <t>Konica Minolta</t>
  </si>
  <si>
    <t>S-Oil South</t>
  </si>
  <si>
    <t>Korea</t>
  </si>
  <si>
    <t>6.26</t>
  </si>
  <si>
    <t>General Growth Prop</t>
  </si>
  <si>
    <t>Northeast Utilities</t>
  </si>
  <si>
    <t>Korea Gas</t>
  </si>
  <si>
    <t>7.87</t>
  </si>
  <si>
    <t>1.76</t>
  </si>
  <si>
    <t>MOL</t>
  </si>
  <si>
    <t>3.15</t>
  </si>
  <si>
    <t>First American</t>
  </si>
  <si>
    <t>5.98</t>
  </si>
  <si>
    <t>Sumitomo Realty &amp; Dev</t>
  </si>
  <si>
    <t>16.92</t>
  </si>
  <si>
    <t>Hibernia</t>
  </si>
  <si>
    <t>17.57</t>
  </si>
  <si>
    <t>Rallye</t>
  </si>
  <si>
    <t>29.89</t>
  </si>
  <si>
    <t>0.07</t>
  </si>
  <si>
    <t>Tobu Railway</t>
  </si>
  <si>
    <t>3.25</t>
  </si>
  <si>
    <t>Symantec</t>
  </si>
  <si>
    <t>12.52</t>
  </si>
  <si>
    <t>Washington Post</t>
  </si>
  <si>
    <t>M-real</t>
  </si>
  <si>
    <t>Agfa-Gevaert</t>
  </si>
  <si>
    <t>4.09</t>
  </si>
  <si>
    <t>Tomkins</t>
  </si>
  <si>
    <t>KB Home</t>
  </si>
  <si>
    <t>Altana</t>
  </si>
  <si>
    <t>Amersham</t>
  </si>
  <si>
    <t>Koram Bank</t>
  </si>
  <si>
    <t>Sappi</t>
  </si>
  <si>
    <t>3.14</t>
  </si>
  <si>
    <t>Investor</t>
  </si>
  <si>
    <t>8.27</t>
  </si>
  <si>
    <t>Reuters Group</t>
  </si>
  <si>
    <t>5.76</t>
  </si>
  <si>
    <t>-0.65</t>
  </si>
  <si>
    <t>9.63</t>
  </si>
  <si>
    <t>Caesars Entertainment</t>
  </si>
  <si>
    <t>9.55</t>
  </si>
  <si>
    <t>Ball</t>
  </si>
  <si>
    <t>Knight Ridder</t>
  </si>
  <si>
    <t>6.14</t>
  </si>
  <si>
    <t>Daikyo</t>
  </si>
  <si>
    <t>2.85</t>
  </si>
  <si>
    <t>3.27</t>
  </si>
  <si>
    <t>Softbank</t>
  </si>
  <si>
    <t>-0.85</t>
  </si>
  <si>
    <t>13.17</t>
  </si>
  <si>
    <t>Delta Air Lines</t>
  </si>
  <si>
    <t>25.76</t>
  </si>
  <si>
    <t>Oriental Land</t>
  </si>
  <si>
    <t>Leggett &amp; Platt</t>
  </si>
  <si>
    <t>Taisho Pharmaceutical</t>
  </si>
  <si>
    <t>4.71</t>
  </si>
  <si>
    <t>Deutsche Boerse</t>
  </si>
  <si>
    <t>1.23</t>
  </si>
  <si>
    <t>6.86</t>
  </si>
  <si>
    <t>Sealed Air</t>
  </si>
  <si>
    <t>3.53</t>
  </si>
  <si>
    <t>Bank Leumi Group</t>
  </si>
  <si>
    <t>51.9</t>
  </si>
  <si>
    <t>2.8</t>
  </si>
  <si>
    <t>Health Net</t>
  </si>
  <si>
    <t>BPER-Emilia Romagna</t>
  </si>
  <si>
    <t>37.76</t>
  </si>
  <si>
    <t>W&amp;W-Wustenrot</t>
  </si>
  <si>
    <t>-0.08</t>
  </si>
  <si>
    <t>56.44</t>
  </si>
  <si>
    <t>Nippon Mining</t>
  </si>
  <si>
    <t>18.3</t>
  </si>
  <si>
    <t>13.45</t>
  </si>
  <si>
    <t>2.34</t>
  </si>
  <si>
    <t>Acciona</t>
  </si>
  <si>
    <t>6.11</t>
  </si>
  <si>
    <t>Pirelli &amp; C</t>
  </si>
  <si>
    <t>Doral Financial</t>
  </si>
  <si>
    <t>UAL</t>
  </si>
  <si>
    <t>13.58</t>
  </si>
  <si>
    <t>-3.78</t>
  </si>
  <si>
    <t>22.37</t>
  </si>
  <si>
    <t>Reliant Resources</t>
  </si>
  <si>
    <t>16.62</t>
  </si>
  <si>
    <t>Banco de Chile</t>
  </si>
  <si>
    <t>Constellation Brands</t>
  </si>
  <si>
    <t>Bangkok Bank</t>
  </si>
  <si>
    <t>RJ Reynolds Tobacco</t>
  </si>
  <si>
    <t>-3.57</t>
  </si>
  <si>
    <t>Brookfield Properties</t>
  </si>
  <si>
    <t>1.46</t>
  </si>
  <si>
    <t>Whitbread Holdings</t>
  </si>
  <si>
    <t>2.83</t>
  </si>
  <si>
    <t>Krung-Thai Bank</t>
  </si>
  <si>
    <t>24.55</t>
  </si>
  <si>
    <t>Pinnacle West</t>
  </si>
  <si>
    <t>2.95</t>
  </si>
  <si>
    <t>9.11</t>
  </si>
  <si>
    <t>Keppel</t>
  </si>
  <si>
    <t>3.5</t>
  </si>
  <si>
    <t>Astoria Financial</t>
  </si>
  <si>
    <t>22.46</t>
  </si>
  <si>
    <t>Remgro</t>
  </si>
  <si>
    <t>Univision Commun</t>
  </si>
  <si>
    <t>Maxim Integrated Prods</t>
  </si>
  <si>
    <t>2.6</t>
  </si>
  <si>
    <t>17.32</t>
  </si>
  <si>
    <t>US Steel</t>
  </si>
  <si>
    <t>-0.41</t>
  </si>
  <si>
    <t>Cap Gemini Ernst &amp; Young</t>
  </si>
  <si>
    <t>-0.54</t>
  </si>
  <si>
    <t>5.44</t>
  </si>
  <si>
    <t>6.27</t>
  </si>
  <si>
    <t>Legg Mason</t>
  </si>
  <si>
    <t>6.81</t>
  </si>
  <si>
    <t>Zimmer Holdings</t>
  </si>
  <si>
    <t>1.24</t>
  </si>
  <si>
    <t>18.74</t>
  </si>
  <si>
    <t>Rinker Group</t>
  </si>
  <si>
    <t>Bankinter</t>
  </si>
  <si>
    <t>1.37</t>
  </si>
  <si>
    <t>30.05</t>
  </si>
  <si>
    <t>3.26</t>
  </si>
  <si>
    <t>Abertis Infraestructuras</t>
  </si>
  <si>
    <t>6.78</t>
  </si>
  <si>
    <t>AmBev</t>
  </si>
  <si>
    <t>2.07</t>
  </si>
  <si>
    <t>Freeport Copper</t>
  </si>
  <si>
    <t>2.21</t>
  </si>
  <si>
    <t>Asustek Computer</t>
  </si>
  <si>
    <t>3.31</t>
  </si>
  <si>
    <t>Laboratory Corp Amer</t>
  </si>
  <si>
    <t>Johnson Matthey</t>
  </si>
  <si>
    <t>3.2</t>
  </si>
  <si>
    <t>Kone</t>
  </si>
  <si>
    <t>4.56</t>
  </si>
  <si>
    <t>Paychex</t>
  </si>
  <si>
    <t>Micron Technology</t>
  </si>
  <si>
    <t>-0.96</t>
  </si>
  <si>
    <t>Kawasaki Heavy Inds</t>
  </si>
  <si>
    <t>WW Grainger</t>
  </si>
  <si>
    <t>Metalurgica Gerdau</t>
  </si>
  <si>
    <t>IKB</t>
  </si>
  <si>
    <t>39.59</t>
  </si>
  <si>
    <t>PKN Orlen</t>
  </si>
  <si>
    <t>Poland</t>
  </si>
  <si>
    <t>3.99</t>
  </si>
  <si>
    <t>Axis Capital Holdings</t>
  </si>
  <si>
    <t>Iberia</t>
  </si>
  <si>
    <t>Associated Banc-Corp</t>
  </si>
  <si>
    <t>Radian Group</t>
  </si>
  <si>
    <t>4.32</t>
  </si>
  <si>
    <t>CDW</t>
  </si>
  <si>
    <t>5.6</t>
  </si>
  <si>
    <t>Odakyu Electric Railway</t>
  </si>
  <si>
    <t>St Jude Medical</t>
  </si>
  <si>
    <t>1.93</t>
  </si>
  <si>
    <t>ProLogis</t>
  </si>
  <si>
    <t>5.86</t>
  </si>
  <si>
    <t>Unibail</t>
  </si>
  <si>
    <t>Phelps Dodge</t>
  </si>
  <si>
    <t>7.27</t>
  </si>
  <si>
    <t>Friedman Billings</t>
  </si>
  <si>
    <t>11.33</t>
  </si>
  <si>
    <t>HHG</t>
  </si>
  <si>
    <t>51.65</t>
  </si>
  <si>
    <t>Outokumpu</t>
  </si>
  <si>
    <t>6.57</t>
  </si>
  <si>
    <t>Carlsberg</t>
  </si>
  <si>
    <t>6.51</t>
  </si>
  <si>
    <t>Ashland</t>
  </si>
  <si>
    <t>7.52</t>
  </si>
  <si>
    <t>Abitibi Consolidated</t>
  </si>
  <si>
    <t>7.63</t>
  </si>
  <si>
    <t>China Minsheng Banking</t>
  </si>
  <si>
    <t>NTL</t>
  </si>
  <si>
    <t>Hyundai Mobis</t>
  </si>
  <si>
    <t>3.52</t>
  </si>
  <si>
    <t>Public Storage</t>
  </si>
  <si>
    <t>Goodyear</t>
  </si>
  <si>
    <t>14.74</t>
  </si>
  <si>
    <t>-1.44</t>
  </si>
  <si>
    <t>14.6</t>
  </si>
  <si>
    <t>Liz Claiborne</t>
  </si>
  <si>
    <t>Fluor</t>
  </si>
  <si>
    <t>MTN Group</t>
  </si>
  <si>
    <t>Kerr-McGee</t>
  </si>
  <si>
    <t>EOG Resources</t>
  </si>
  <si>
    <t>Coventry Health Care</t>
  </si>
  <si>
    <t>3.79</t>
  </si>
  <si>
    <t>Transocean</t>
  </si>
  <si>
    <t>Cayman Islands</t>
  </si>
  <si>
    <t>0.02</t>
  </si>
  <si>
    <t>11.66</t>
  </si>
  <si>
    <t>9.26</t>
  </si>
  <si>
    <t>OPAP</t>
  </si>
  <si>
    <t>Owens-Illinois</t>
  </si>
  <si>
    <t>10.24</t>
  </si>
  <si>
    <t>1.66</t>
  </si>
  <si>
    <t>Commerce Bancshs</t>
  </si>
  <si>
    <t>14.29</t>
  </si>
  <si>
    <t>3.37</t>
  </si>
  <si>
    <t>Telekom Austria</t>
  </si>
  <si>
    <t>Shinsegae</t>
  </si>
  <si>
    <t>Mercantile Bkshs</t>
  </si>
  <si>
    <t>13.7</t>
  </si>
  <si>
    <t>TCF Financial</t>
  </si>
  <si>
    <t>3.67</t>
  </si>
  <si>
    <t>Banco BPI</t>
  </si>
  <si>
    <t>26.96</t>
  </si>
  <si>
    <t>EMI Group</t>
  </si>
  <si>
    <t>PICC Property &amp; Casualty</t>
  </si>
  <si>
    <t>8.63</t>
  </si>
  <si>
    <t>Janus Capital Group</t>
  </si>
  <si>
    <t>0.95</t>
  </si>
  <si>
    <t>Suzuken</t>
  </si>
  <si>
    <t>IFIL</t>
  </si>
  <si>
    <t>-0.39</t>
  </si>
  <si>
    <t>Hanwha</t>
  </si>
  <si>
    <t>31.88</t>
  </si>
  <si>
    <t>American Finl Group</t>
  </si>
  <si>
    <t>Darden Restaurants</t>
  </si>
  <si>
    <t>Samsung South</t>
  </si>
  <si>
    <t>34.77</t>
  </si>
  <si>
    <t>1.52</t>
  </si>
  <si>
    <t>Goodrich</t>
  </si>
  <si>
    <t>Rite Aid</t>
  </si>
  <si>
    <t>General Property Trust</t>
  </si>
  <si>
    <t>Health Management</t>
  </si>
  <si>
    <t>Chiron</t>
  </si>
  <si>
    <t>9.6</t>
  </si>
  <si>
    <t>TRW Automotive Holdings</t>
  </si>
  <si>
    <t>Cez</t>
  </si>
  <si>
    <t>Czech Republic</t>
  </si>
  <si>
    <t>Bank Central Asia</t>
  </si>
  <si>
    <t>13.03</t>
  </si>
  <si>
    <t>Hong Kong &amp; China Gas</t>
  </si>
  <si>
    <t>Nitto Denko</t>
  </si>
  <si>
    <t>8.08</t>
  </si>
  <si>
    <t>Amazon.com</t>
  </si>
  <si>
    <t>18.71</t>
  </si>
  <si>
    <t>Ingram Micro</t>
  </si>
  <si>
    <t>21.74</t>
  </si>
  <si>
    <t>Kasikornbank</t>
  </si>
  <si>
    <t>Seibu Railway</t>
  </si>
  <si>
    <t>Turkiye Garanti Bankasi</t>
  </si>
  <si>
    <t>Apollo-Education Group</t>
  </si>
  <si>
    <t>Rogers Communications</t>
  </si>
  <si>
    <t>Onex</t>
  </si>
  <si>
    <t>-0.09</t>
  </si>
  <si>
    <t>12.24</t>
  </si>
  <si>
    <t>1.87</t>
  </si>
  <si>
    <t>Li &amp; Fung</t>
  </si>
  <si>
    <t>Concord EFS</t>
  </si>
  <si>
    <t>Visteon</t>
  </si>
  <si>
    <t>17.66</t>
  </si>
  <si>
    <t>-1.21</t>
  </si>
  <si>
    <t>Royal Numico</t>
  </si>
  <si>
    <t>5.31</t>
  </si>
  <si>
    <t>Quebecor</t>
  </si>
  <si>
    <t>Moody`s</t>
  </si>
  <si>
    <t>1.17</t>
  </si>
  <si>
    <t>Turkcell</t>
  </si>
  <si>
    <t>iStar Financial</t>
  </si>
  <si>
    <t>Intuit</t>
  </si>
  <si>
    <t>1.68</t>
  </si>
  <si>
    <t>Linear Technology</t>
  </si>
  <si>
    <t>2.14</t>
  </si>
  <si>
    <t>13.19</t>
  </si>
  <si>
    <t>NVR</t>
  </si>
  <si>
    <t>3.68</t>
  </si>
  <si>
    <t>Banca Popolare di Milano</t>
  </si>
  <si>
    <t>34.03</t>
  </si>
  <si>
    <t>IMS Health</t>
  </si>
  <si>
    <t>Commerce Asset Holding</t>
  </si>
  <si>
    <t>Kmart Holding</t>
  </si>
  <si>
    <t>-1.99</t>
  </si>
  <si>
    <t>2.58</t>
  </si>
  <si>
    <t>Grupo Financiero Banorte</t>
  </si>
  <si>
    <t>18.94</t>
  </si>
  <si>
    <t>Nabors Industries</t>
  </si>
  <si>
    <t>Ross Stores</t>
  </si>
  <si>
    <t>Publishing &amp; Broadcasting</t>
  </si>
  <si>
    <t>Tokyo Electron</t>
  </si>
  <si>
    <t>3.9</t>
  </si>
  <si>
    <t>CSR Group</t>
  </si>
  <si>
    <t>Biomet</t>
  </si>
  <si>
    <t>1.75</t>
  </si>
  <si>
    <t>China Development Finl</t>
  </si>
  <si>
    <t>Alliant Energy</t>
  </si>
  <si>
    <t>RenaissanceRe Holdings</t>
  </si>
  <si>
    <t>Smith &amp; Nephew</t>
  </si>
  <si>
    <t>Rockwell Collins</t>
  </si>
  <si>
    <t>2.61</t>
  </si>
  <si>
    <t>George Wimpey</t>
  </si>
  <si>
    <t>Synthes-Stratec</t>
  </si>
  <si>
    <t>Cosmo Oil</t>
  </si>
  <si>
    <t>UNY</t>
  </si>
  <si>
    <t>9.99</t>
  </si>
  <si>
    <t>Yamaha</t>
  </si>
  <si>
    <t>4.44</t>
  </si>
  <si>
    <t>Taiwan Cellular</t>
  </si>
  <si>
    <t>Kimco Realty</t>
  </si>
  <si>
    <t>Bunzl</t>
  </si>
  <si>
    <t>3.83</t>
  </si>
  <si>
    <t>Xstrata</t>
  </si>
  <si>
    <t>Bluescope Steel</t>
  </si>
  <si>
    <t>Protective Life</t>
  </si>
  <si>
    <t>1.9</t>
  </si>
  <si>
    <t>23.3</t>
  </si>
  <si>
    <t>Foot Locker</t>
  </si>
  <si>
    <t>Xilinx</t>
  </si>
  <si>
    <t>1.3</t>
  </si>
  <si>
    <t>Omnicare</t>
  </si>
  <si>
    <t>Hypo Real Estate Holding</t>
  </si>
  <si>
    <t>183.47</t>
  </si>
  <si>
    <t>Showa Denko</t>
  </si>
  <si>
    <t>Malaysia Intl Shipping</t>
  </si>
  <si>
    <t>1.43</t>
  </si>
  <si>
    <t>Taiheiyo Cement</t>
  </si>
  <si>
    <t>Navistar Intl</t>
  </si>
  <si>
    <t>-0.02</t>
  </si>
  <si>
    <t>Republic Services</t>
  </si>
  <si>
    <t>Verbund-Austrian Electric</t>
  </si>
  <si>
    <t>Taylor Woodrow</t>
  </si>
  <si>
    <t>3.56</t>
  </si>
  <si>
    <t>Vulcan Materials</t>
  </si>
  <si>
    <t>2.89</t>
  </si>
  <si>
    <t>mg technologies</t>
  </si>
  <si>
    <t>-0.13</t>
  </si>
  <si>
    <t>Eiffage</t>
  </si>
  <si>
    <t>1.84</t>
  </si>
  <si>
    <t>Sagem</t>
  </si>
  <si>
    <t>UST</t>
  </si>
  <si>
    <t>WellChoice</t>
  </si>
  <si>
    <t>5.38</t>
  </si>
  <si>
    <t>Yue Yuen Industrial</t>
  </si>
  <si>
    <t>2.53</t>
  </si>
  <si>
    <t>Tele2</t>
  </si>
  <si>
    <t>Sime Darby</t>
  </si>
  <si>
    <t>Cintas</t>
  </si>
  <si>
    <t>Wendy`s International</t>
  </si>
  <si>
    <t>Teijin</t>
  </si>
  <si>
    <t>8.72</t>
  </si>
  <si>
    <t>2.67</t>
  </si>
  <si>
    <t>Hormel Foods</t>
  </si>
  <si>
    <t>Compal Electronics</t>
  </si>
  <si>
    <t>MediaTek</t>
  </si>
  <si>
    <t>Wolters Kluwer</t>
  </si>
  <si>
    <t>Engelhard</t>
  </si>
  <si>
    <t>Rexam</t>
  </si>
  <si>
    <t>4.5</t>
  </si>
  <si>
    <t>ALFA</t>
  </si>
  <si>
    <t>Brown-Forman</t>
  </si>
  <si>
    <t>Nagoya Railroad</t>
  </si>
  <si>
    <t>10.62</t>
  </si>
  <si>
    <t>Adobe Systems</t>
  </si>
  <si>
    <t>City National</t>
  </si>
  <si>
    <t>13.02</t>
  </si>
  <si>
    <t>First Financial Holding</t>
  </si>
  <si>
    <t>-0.71</t>
  </si>
  <si>
    <t>Taishin Financial Holding</t>
  </si>
  <si>
    <t>15.91</t>
  </si>
  <si>
    <t>Gold Fields</t>
  </si>
  <si>
    <t>NCR</t>
  </si>
  <si>
    <t>Canadian Tire</t>
  </si>
  <si>
    <t>5.06</t>
  </si>
  <si>
    <t>Impala Platinum Holdings</t>
  </si>
  <si>
    <t>Norske Skogindustrier</t>
  </si>
  <si>
    <t>Converium Holding</t>
  </si>
  <si>
    <t>Weatherford Intl</t>
  </si>
  <si>
    <t>Rouse</t>
  </si>
  <si>
    <t>Tomen</t>
  </si>
  <si>
    <t>17.62</t>
  </si>
  <si>
    <t>Nucor</t>
  </si>
  <si>
    <t>ArvinMeritor</t>
  </si>
  <si>
    <t>8.26</t>
  </si>
  <si>
    <t>Fuji Television Network</t>
  </si>
  <si>
    <t>Hankyu</t>
  </si>
  <si>
    <t>-0.76</t>
  </si>
  <si>
    <t>Mitsubishi Materials</t>
  </si>
  <si>
    <t>8.16</t>
  </si>
  <si>
    <t>-0.23</t>
  </si>
  <si>
    <t>2.15</t>
  </si>
  <si>
    <t>CMS Energy</t>
  </si>
  <si>
    <t>-1.01</t>
  </si>
  <si>
    <t>Hua Nan Financial</t>
  </si>
  <si>
    <t>1.55</t>
  </si>
  <si>
    <t>38.48</t>
  </si>
  <si>
    <t>Fast Retailing</t>
  </si>
  <si>
    <t>Rheinmetall</t>
  </si>
  <si>
    <t>Takashimaya</t>
  </si>
  <si>
    <t>Galeries Lafayette</t>
  </si>
  <si>
    <t>Italmobiliare</t>
  </si>
  <si>
    <t>Embraer</t>
  </si>
  <si>
    <t>Australian Gas Light</t>
  </si>
  <si>
    <t>Tele Norte Leste</t>
  </si>
  <si>
    <t>-0.12</t>
  </si>
  <si>
    <t>BJ Services</t>
  </si>
  <si>
    <t>2.27</t>
  </si>
  <si>
    <t>6.79</t>
  </si>
  <si>
    <t>Kesko Group</t>
  </si>
  <si>
    <t>Noranda</t>
  </si>
  <si>
    <t>-0.45</t>
  </si>
  <si>
    <t>GAIL (India)</t>
  </si>
  <si>
    <t>GlobalSantaFe</t>
  </si>
  <si>
    <t>1.91</t>
  </si>
  <si>
    <t>Unitrin</t>
  </si>
  <si>
    <t>Aluminum Corp of China</t>
  </si>
  <si>
    <t>2.03</t>
  </si>
  <si>
    <t>Advanced Micro</t>
  </si>
  <si>
    <t>Toyo Seikan Kaisha</t>
  </si>
  <si>
    <t>NStar</t>
  </si>
  <si>
    <t>2.91</t>
  </si>
  <si>
    <t>Hyundai Heavy Industries</t>
  </si>
  <si>
    <t>7.47</t>
  </si>
  <si>
    <t>Liberty International</t>
  </si>
  <si>
    <t>4.21</t>
  </si>
  <si>
    <t>Charter Commun</t>
  </si>
  <si>
    <t>4.79</t>
  </si>
  <si>
    <t>21.45</t>
  </si>
  <si>
    <t>Ishikawajima-Harima</t>
  </si>
  <si>
    <t>8.62</t>
  </si>
  <si>
    <t>Mylan Labs</t>
  </si>
  <si>
    <t>Coca-Cola HBC</t>
  </si>
  <si>
    <t>Furukawa Electric</t>
  </si>
  <si>
    <t>Assa Abloy</t>
  </si>
  <si>
    <t>Avaya</t>
  </si>
  <si>
    <t>4.1</t>
  </si>
  <si>
    <t>Tate &amp; Lyle Group</t>
  </si>
  <si>
    <t>Daito Trust Construction</t>
  </si>
  <si>
    <t>Hoya</t>
  </si>
  <si>
    <t>Continental Airlines</t>
  </si>
  <si>
    <t>10.65</t>
  </si>
  <si>
    <t>Isuzu Motors</t>
  </si>
  <si>
    <t>-1.22</t>
  </si>
  <si>
    <t>8.61</t>
  </si>
  <si>
    <t>Tele &amp; Data Systems</t>
  </si>
  <si>
    <t>Invensys</t>
  </si>
  <si>
    <t>-2.28</t>
  </si>
  <si>
    <t>6.5</t>
  </si>
  <si>
    <t>Bank Negara Indonesia</t>
  </si>
  <si>
    <t>2.02</t>
  </si>
  <si>
    <t>EW Scripps</t>
  </si>
  <si>
    <t>8.05</t>
  </si>
  <si>
    <t>Eastman Chemical</t>
  </si>
  <si>
    <t>Nexen</t>
  </si>
  <si>
    <t>1.97</t>
  </si>
  <si>
    <t>4.01</t>
  </si>
  <si>
    <t>Chiba Bank</t>
  </si>
  <si>
    <t>66.85</t>
  </si>
  <si>
    <t>Ryder System</t>
  </si>
  <si>
    <t>Biogen Idec</t>
  </si>
  <si>
    <t>Mirant</t>
  </si>
  <si>
    <t>-4.45</t>
  </si>
  <si>
    <t>Avnet</t>
  </si>
  <si>
    <t>Astra International</t>
  </si>
  <si>
    <t>Canara Bank</t>
  </si>
  <si>
    <t>17.53</t>
  </si>
  <si>
    <t>Dynegy</t>
  </si>
  <si>
    <t>-0.47</t>
  </si>
  <si>
    <t>13.84</t>
  </si>
  <si>
    <t>Allmerica Financial</t>
  </si>
  <si>
    <t>25.01</t>
  </si>
  <si>
    <t>Keio Electric Railway</t>
  </si>
  <si>
    <t>Keyence</t>
  </si>
  <si>
    <t>Julius Baer Holding</t>
  </si>
  <si>
    <t>Hua Xia Bank</t>
  </si>
  <si>
    <t>Host Marriott</t>
  </si>
  <si>
    <t>DST Systems</t>
  </si>
  <si>
    <t>Hynix Semiconductor</t>
  </si>
  <si>
    <t>Hochtief</t>
  </si>
  <si>
    <t>12.61</t>
  </si>
  <si>
    <t>Pactiv</t>
  </si>
  <si>
    <t>Bank of Greece</t>
  </si>
  <si>
    <t>36.74</t>
  </si>
  <si>
    <t>Mediolanum</t>
  </si>
  <si>
    <t>Nippon TV Network</t>
  </si>
  <si>
    <t>Punjab National Bank</t>
  </si>
  <si>
    <t>18.54</t>
  </si>
  <si>
    <t>Advanced Info Service</t>
  </si>
  <si>
    <t>2.92</t>
  </si>
  <si>
    <t>Sekisui Chemical</t>
  </si>
  <si>
    <t>6.77</t>
  </si>
  <si>
    <t>0.08</t>
  </si>
  <si>
    <t>Korean Air</t>
  </si>
  <si>
    <t>11.83</t>
  </si>
  <si>
    <t>Pioneer Natural Res</t>
  </si>
  <si>
    <t>Plum Creek Timber</t>
  </si>
  <si>
    <t>Thornburg Mortgage</t>
  </si>
  <si>
    <t>19.12</t>
  </si>
  <si>
    <t>Gecina</t>
  </si>
  <si>
    <t>PMI Group</t>
  </si>
  <si>
    <t>Toll Brothers</t>
  </si>
  <si>
    <t>2.76</t>
  </si>
  <si>
    <t>Bidvest Group</t>
  </si>
  <si>
    <t>Kesa Electricals</t>
  </si>
  <si>
    <t>XTO Energy</t>
  </si>
  <si>
    <t>Petrol Ofisi</t>
  </si>
  <si>
    <t>Hermes International</t>
  </si>
  <si>
    <t>Omron</t>
  </si>
  <si>
    <t>Jabil Circuit</t>
  </si>
  <si>
    <t>Lend Lease</t>
  </si>
  <si>
    <t>-0.48</t>
  </si>
  <si>
    <t>Tupras-Turkiye Petrol</t>
  </si>
  <si>
    <t>3.01</t>
  </si>
  <si>
    <t>LG Corp</t>
  </si>
  <si>
    <t>2.33</t>
  </si>
  <si>
    <t>Essilor International</t>
  </si>
  <si>
    <t>Duke Realty</t>
  </si>
  <si>
    <t>AU Optronics</t>
  </si>
  <si>
    <t>Brunswick</t>
  </si>
  <si>
    <t>Smith International</t>
  </si>
  <si>
    <t>ITC</t>
  </si>
  <si>
    <t>Dogan Holding</t>
  </si>
  <si>
    <t>7.77</t>
  </si>
  <si>
    <t>1.35</t>
  </si>
  <si>
    <t>Scor</t>
  </si>
  <si>
    <t>Acer</t>
  </si>
  <si>
    <t>Level 3 Commun</t>
  </si>
  <si>
    <t>Barratt Developments</t>
  </si>
  <si>
    <t>Universal Health</t>
  </si>
  <si>
    <t>Brisa</t>
  </si>
  <si>
    <t>Helvetia Patria</t>
  </si>
  <si>
    <t>-0.26</t>
  </si>
  <si>
    <t>18.88</t>
  </si>
  <si>
    <t>Infosys Technologies</t>
  </si>
  <si>
    <t>Boise Cascade</t>
  </si>
  <si>
    <t>KKPC-Korea Kumho</t>
  </si>
  <si>
    <t>Brinker International</t>
  </si>
  <si>
    <t>Thai Airways Intl</t>
  </si>
  <si>
    <t>Banca Popolare di Lodi</t>
  </si>
  <si>
    <t>37.74</t>
  </si>
  <si>
    <t>Kelda Group</t>
  </si>
  <si>
    <t>1.08</t>
  </si>
  <si>
    <t>Avalonbay Communities</t>
  </si>
  <si>
    <t>Webster Financial</t>
  </si>
  <si>
    <t>AmerUs Group</t>
  </si>
  <si>
    <t>21.54</t>
  </si>
  <si>
    <t>Dainippon Ink &amp; Chems</t>
  </si>
  <si>
    <t>China Resources Ent</t>
  </si>
  <si>
    <t>IKON Office Solutions</t>
  </si>
  <si>
    <t>Alps Electric</t>
  </si>
  <si>
    <t>Imerys</t>
  </si>
  <si>
    <t>Nikon</t>
  </si>
  <si>
    <t>Smithfield Foods</t>
  </si>
  <si>
    <t>Funai Electric</t>
  </si>
  <si>
    <t>RR Donnelley &amp; Sons</t>
  </si>
  <si>
    <t>T Rowe Price</t>
  </si>
  <si>
    <t>Sky Financial Group</t>
  </si>
  <si>
    <t>Daiichi Pharmaceutical</t>
  </si>
  <si>
    <t>Franz Colruyt</t>
  </si>
  <si>
    <t>Wipro</t>
  </si>
  <si>
    <t>Bank of India</t>
  </si>
  <si>
    <t>Triad Hospitals</t>
  </si>
  <si>
    <t>Premcor</t>
  </si>
  <si>
    <t>Arrow Electronics</t>
  </si>
  <si>
    <t>Mitchells &amp; Butlers</t>
  </si>
  <si>
    <t>Aareal Bank</t>
  </si>
  <si>
    <t>39.14</t>
  </si>
  <si>
    <t>Sonae SGPS</t>
  </si>
  <si>
    <t>6.59</t>
  </si>
  <si>
    <t>Diamond Lease</t>
  </si>
  <si>
    <t>Enterprise Inns</t>
  </si>
  <si>
    <t>Coca-Cola Amatil</t>
  </si>
  <si>
    <t>Coach</t>
  </si>
  <si>
    <t>Check Point</t>
  </si>
  <si>
    <t>1.71</t>
  </si>
  <si>
    <t>Hillenbrand Inds</t>
  </si>
  <si>
    <t>5.41</t>
  </si>
  <si>
    <t>KLM</t>
  </si>
  <si>
    <t>Bank of Baroda</t>
  </si>
  <si>
    <t>Hachijuni Bank</t>
  </si>
  <si>
    <t>48.17</t>
  </si>
  <si>
    <t>Persimmon</t>
  </si>
  <si>
    <t>2.99</t>
  </si>
  <si>
    <t>Flagstar Bancorp</t>
  </si>
  <si>
    <t>Adolph Coors</t>
  </si>
  <si>
    <t>Hasbro</t>
  </si>
  <si>
    <t>Aker Kvaerner</t>
  </si>
  <si>
    <t>Clariant</t>
  </si>
  <si>
    <t>Dollar Tree Stores</t>
  </si>
  <si>
    <t>Banca Carige</t>
  </si>
  <si>
    <t>BOK Financial</t>
  </si>
  <si>
    <t>Slough Estates</t>
  </si>
  <si>
    <t>Industrivarden</t>
  </si>
  <si>
    <t>Celanese</t>
  </si>
  <si>
    <t>Hagemeyer</t>
  </si>
  <si>
    <t>Banque Nat de Belgique</t>
  </si>
  <si>
    <t>39.5</t>
  </si>
  <si>
    <t>Apartment Investment</t>
  </si>
  <si>
    <t>KLA-Tencor</t>
  </si>
  <si>
    <t>Oneok</t>
  </si>
  <si>
    <t>Espirito Santo Finl</t>
  </si>
  <si>
    <t>47.89</t>
  </si>
  <si>
    <t>Groupe Bruxelles Lambert</t>
  </si>
  <si>
    <t>Vendex KBB</t>
  </si>
  <si>
    <t>HDFC-Housing Devel</t>
  </si>
  <si>
    <t>Citizens Commun</t>
  </si>
  <si>
    <t>Lyondell Chemical</t>
  </si>
  <si>
    <t>Nippon Meat Packers</t>
  </si>
  <si>
    <t>Altera</t>
  </si>
  <si>
    <t>Barnes &amp; Noble</t>
  </si>
  <si>
    <t>SAS Group</t>
  </si>
  <si>
    <t>Joyo Bank</t>
  </si>
  <si>
    <t>56.68</t>
  </si>
  <si>
    <t>Colonial BancGroup</t>
  </si>
  <si>
    <t>15.83</t>
  </si>
  <si>
    <t>Rhodia</t>
  </si>
  <si>
    <t>McCormick &amp; Co</t>
  </si>
  <si>
    <t>Nippon Shinpan</t>
  </si>
  <si>
    <t>41.78</t>
  </si>
  <si>
    <t>Maxis Communications</t>
  </si>
  <si>
    <t>Steel Authority of India</t>
  </si>
  <si>
    <t>4.94</t>
  </si>
  <si>
    <t>Valley Natl Bancorp</t>
  </si>
  <si>
    <t>9.87</t>
  </si>
  <si>
    <t>Fuji Electric</t>
  </si>
  <si>
    <t>Thermo Electron</t>
  </si>
  <si>
    <t>2.1</t>
  </si>
  <si>
    <t>Crown Holdings</t>
  </si>
  <si>
    <t>Rank Group</t>
  </si>
  <si>
    <t>Whole Foods Market</t>
  </si>
  <si>
    <t>1.28</t>
  </si>
  <si>
    <t>PeopleSoft</t>
  </si>
  <si>
    <t>8.2</t>
  </si>
  <si>
    <t>Hiroshima Bank</t>
  </si>
  <si>
    <t>47.69</t>
  </si>
  <si>
    <t>Hanwha Chemical</t>
  </si>
  <si>
    <t>28.78</t>
  </si>
  <si>
    <t>Bank of Fukuoka</t>
  </si>
  <si>
    <t>58.63</t>
  </si>
  <si>
    <t>Technip</t>
  </si>
  <si>
    <t>CarMax</t>
  </si>
  <si>
    <t>Energizer Holdings</t>
  </si>
  <si>
    <t>Dillard`s</t>
  </si>
  <si>
    <t>Wiener Stadtische</t>
  </si>
  <si>
    <t>Kumho Industrial</t>
  </si>
  <si>
    <t>Pakistan Telecom</t>
  </si>
  <si>
    <t>Pakistan</t>
  </si>
  <si>
    <t>2.35</t>
  </si>
  <si>
    <t>Tech Data</t>
  </si>
  <si>
    <t>16.5</t>
  </si>
  <si>
    <t>Annaly Mortgage Mgmt</t>
  </si>
  <si>
    <t>12.99</t>
  </si>
  <si>
    <t>Kawasaki Kisen Kaisha</t>
  </si>
  <si>
    <t>KT&amp;G</t>
  </si>
  <si>
    <t>Ryanair Holdings</t>
  </si>
  <si>
    <t>Alitalia Group</t>
  </si>
  <si>
    <t>Kuraya Sanseido</t>
  </si>
  <si>
    <t>Brother Inds</t>
  </si>
  <si>
    <t>MedImmune</t>
  </si>
  <si>
    <t>6.44</t>
  </si>
  <si>
    <t>ITV</t>
  </si>
  <si>
    <t>New Century Financial</t>
  </si>
  <si>
    <t>Chang Hwa Com Bank</t>
  </si>
  <si>
    <t>Amdocs</t>
  </si>
  <si>
    <t>Amvescap</t>
  </si>
  <si>
    <t>US Airways Group</t>
  </si>
  <si>
    <t>Orient</t>
  </si>
  <si>
    <t>34.55</t>
  </si>
  <si>
    <t>Amadeus Global Travel</t>
  </si>
  <si>
    <t>Schindler Holding</t>
  </si>
  <si>
    <t>Placer Dome</t>
  </si>
  <si>
    <t>Westfield Holdings</t>
  </si>
  <si>
    <t>Watson Pharma</t>
  </si>
  <si>
    <t>Shoppers Drug Mart</t>
  </si>
  <si>
    <t>International Power</t>
  </si>
  <si>
    <t>Tiffany</t>
  </si>
  <si>
    <t>Signet Group</t>
  </si>
  <si>
    <t>Sacyr-Vallehermoso</t>
  </si>
  <si>
    <t>Cattolica Assicurazioni</t>
  </si>
  <si>
    <t>Daily Mail &amp; General</t>
  </si>
  <si>
    <t>SMC</t>
  </si>
  <si>
    <t>Coca-Cola Femsa</t>
  </si>
  <si>
    <t>TECO Energy</t>
  </si>
  <si>
    <t>10.46</t>
  </si>
  <si>
    <t>Peninsular &amp; Oriental</t>
  </si>
  <si>
    <t>Seiyu</t>
  </si>
  <si>
    <t>Cesky Telecom</t>
  </si>
  <si>
    <t>Imperial Holdings</t>
  </si>
  <si>
    <t>Circuit City Stores</t>
  </si>
  <si>
    <t>Benq</t>
  </si>
  <si>
    <t>Ono Pharmaceutical</t>
  </si>
  <si>
    <t>Hyundai Merchant Marine</t>
  </si>
  <si>
    <t>Federal-Mogul</t>
  </si>
  <si>
    <t>Severstal</t>
  </si>
  <si>
    <t>Gudang Garam</t>
  </si>
  <si>
    <t>PepsiAmericas</t>
  </si>
  <si>
    <t>Hovnanian Enterprises</t>
  </si>
  <si>
    <t>Markel</t>
  </si>
  <si>
    <t>2.09</t>
  </si>
  <si>
    <t>New World Development Hong</t>
  </si>
  <si>
    <t>IndyMac Bancorp</t>
  </si>
  <si>
    <t>12.07</t>
  </si>
  <si>
    <t>Phoenix Cos</t>
  </si>
  <si>
    <t>-0.04</t>
  </si>
  <si>
    <t>27.56</t>
  </si>
  <si>
    <t>1.26</t>
  </si>
  <si>
    <t>Credit Saison</t>
  </si>
  <si>
    <t>Barloworld</t>
  </si>
  <si>
    <t>Nippon Electric Glass</t>
  </si>
  <si>
    <t>Michaels Stores</t>
  </si>
  <si>
    <t>SEM-Samsung Electro</t>
  </si>
  <si>
    <t>First BanCorp</t>
  </si>
  <si>
    <t>StanCorp Financial</t>
  </si>
  <si>
    <t>Buhrmann</t>
  </si>
  <si>
    <t>10.13</t>
  </si>
  <si>
    <t>US Commercial</t>
  </si>
  <si>
    <t>1.5</t>
  </si>
  <si>
    <t>Oki Electric Industry</t>
  </si>
  <si>
    <t>Kerry Group</t>
  </si>
  <si>
    <t>Chesapeake Energy</t>
  </si>
  <si>
    <t>Alberto-Culver</t>
  </si>
  <si>
    <t>Hammerson</t>
  </si>
  <si>
    <t>FirstMerit</t>
  </si>
  <si>
    <t>Credito Emiliano</t>
  </si>
  <si>
    <t>19.99</t>
  </si>
  <si>
    <t>Applera-Applied Biosys</t>
  </si>
  <si>
    <t>Genzyme-General</t>
  </si>
  <si>
    <t>Nurnberger Beteiligungs</t>
  </si>
  <si>
    <t>Outback Steakhouse</t>
  </si>
  <si>
    <t>Westcorp</t>
  </si>
  <si>
    <t>14.62</t>
  </si>
  <si>
    <t>CH Robinson Worldwide</t>
  </si>
  <si>
    <t>Grupo Mexico</t>
  </si>
  <si>
    <t>BCV Group</t>
  </si>
  <si>
    <t>SGS</t>
  </si>
  <si>
    <t>LG International</t>
  </si>
  <si>
    <t>22.57</t>
  </si>
  <si>
    <t>PCCW</t>
  </si>
  <si>
    <t>Bank of Hawaii</t>
  </si>
  <si>
    <t>9.46</t>
  </si>
  <si>
    <t>Daewoo Ship &amp; Marine</t>
  </si>
  <si>
    <t>Garmin</t>
  </si>
  <si>
    <t>Investec</t>
  </si>
  <si>
    <t>United Kingdom/ South Africa</t>
  </si>
  <si>
    <t>23.46</t>
  </si>
  <si>
    <t>Grupo Televisa</t>
  </si>
  <si>
    <t>Fulton Financial</t>
  </si>
  <si>
    <t>Givaudan</t>
  </si>
  <si>
    <t>Noble Corp</t>
  </si>
  <si>
    <t>Acerinox</t>
  </si>
  <si>
    <t>3.05</t>
  </si>
  <si>
    <t>Beckman Coulter</t>
  </si>
  <si>
    <t>H Lundbeck</t>
  </si>
  <si>
    <t>Eurotunnel</t>
  </si>
  <si>
    <t>France/ United Kingdom</t>
  </si>
  <si>
    <t>-2.83</t>
  </si>
  <si>
    <t>14.88</t>
  </si>
  <si>
    <t>Saks</t>
  </si>
  <si>
    <t>Uniqa</t>
  </si>
  <si>
    <t>Williams-Sonoma</t>
  </si>
  <si>
    <t>Ryland Group</t>
  </si>
  <si>
    <t>Singapore Press</t>
  </si>
  <si>
    <t>Nok</t>
  </si>
  <si>
    <t>Owens Corning</t>
  </si>
  <si>
    <t>Inchcape</t>
  </si>
  <si>
    <t>Jacobs Engineering</t>
  </si>
  <si>
    <t>Domtar</t>
  </si>
  <si>
    <t>Cummins</t>
  </si>
  <si>
    <t>Toyoda Gosei</t>
  </si>
  <si>
    <t>American Axle &amp; Mfg</t>
  </si>
  <si>
    <t>American Natl Ins</t>
  </si>
  <si>
    <t>Gunma Bank</t>
  </si>
  <si>
    <t>William Hill Org</t>
  </si>
  <si>
    <t>Wilmington Trust</t>
  </si>
  <si>
    <t>Scientific-Atlanta</t>
  </si>
  <si>
    <t>Henry Schein</t>
  </si>
  <si>
    <t>Network Appliance</t>
  </si>
  <si>
    <t>Expeditors Intl</t>
  </si>
  <si>
    <t>Amer Power Conversion</t>
  </si>
  <si>
    <t>Kawasho</t>
  </si>
  <si>
    <t>Ispat International</t>
  </si>
  <si>
    <t>Barr Pharmaceuticals</t>
  </si>
  <si>
    <t>Polo Ralph Lauren</t>
  </si>
  <si>
    <t>CR Bard</t>
  </si>
  <si>
    <t>Synopsys</t>
  </si>
  <si>
    <t>Sage Group</t>
  </si>
  <si>
    <t>Holmen</t>
  </si>
  <si>
    <t>BorgWarner</t>
  </si>
  <si>
    <t>Mandalay Resort Group</t>
  </si>
  <si>
    <t>Tata Iron &amp; Steel</t>
  </si>
  <si>
    <t>Chugoku Bank</t>
  </si>
  <si>
    <t>46.1</t>
  </si>
  <si>
    <t>Atos Origin</t>
  </si>
  <si>
    <t>Randstad Holding</t>
  </si>
  <si>
    <t>LandAmerica Financial</t>
  </si>
  <si>
    <t>Pilkington</t>
  </si>
  <si>
    <t>Louisiana-Pacific</t>
  </si>
  <si>
    <t>Harman International</t>
  </si>
  <si>
    <t>Iscor</t>
  </si>
  <si>
    <t>Sapporo Hokuyo</t>
  </si>
  <si>
    <t>55.89</t>
  </si>
  <si>
    <t>Waters</t>
  </si>
  <si>
    <t>Neiman Marcus Group</t>
  </si>
  <si>
    <t>Empire</t>
  </si>
  <si>
    <t>7.41</t>
  </si>
  <si>
    <t>Varian Medical Systems</t>
  </si>
  <si>
    <t>MONY Group</t>
  </si>
  <si>
    <t>21.32</t>
  </si>
  <si>
    <t>Pusan Bank</t>
  </si>
  <si>
    <t>Tokyu Land</t>
  </si>
  <si>
    <t>Independence Community</t>
  </si>
  <si>
    <t>Legend Group</t>
  </si>
  <si>
    <t>Boral</t>
  </si>
  <si>
    <t>Sigma-Aldrich</t>
  </si>
  <si>
    <t>Ssangyong Motor</t>
  </si>
  <si>
    <t>Vedior</t>
  </si>
  <si>
    <t>UTStarcom</t>
  </si>
  <si>
    <t>1.96</t>
  </si>
  <si>
    <t>Storebrand</t>
  </si>
  <si>
    <t>Indl Dev Bank of India</t>
  </si>
  <si>
    <t>15.49</t>
  </si>
  <si>
    <t>Potash of Saskatchewan</t>
  </si>
  <si>
    <t>4.57</t>
  </si>
  <si>
    <t>Finansbank</t>
  </si>
  <si>
    <t>Hokugin Financial Group</t>
  </si>
  <si>
    <t>Agricultural Bank Greece</t>
  </si>
  <si>
    <t>17.48</t>
  </si>
  <si>
    <t>SNCF Participations</t>
  </si>
  <si>
    <t>Microchip Technology</t>
  </si>
  <si>
    <t>Aracruz Celulose</t>
  </si>
  <si>
    <t>Bank</t>
  </si>
  <si>
    <t>44.08</t>
  </si>
  <si>
    <t>Manor Care</t>
  </si>
  <si>
    <t>AG Edwards</t>
  </si>
  <si>
    <t>Puma</t>
  </si>
  <si>
    <t>voestalpine</t>
  </si>
  <si>
    <t>M6-Metropole Television</t>
  </si>
  <si>
    <t>Daegu Bank</t>
  </si>
  <si>
    <t>13.87</t>
  </si>
  <si>
    <t>NCC Group</t>
  </si>
  <si>
    <t>Cimpor-Cimentos Portugal</t>
  </si>
  <si>
    <t>Maytag</t>
  </si>
  <si>
    <t>3.02</t>
  </si>
  <si>
    <t>USG</t>
  </si>
  <si>
    <t>Hays</t>
  </si>
  <si>
    <t>TransAlta</t>
  </si>
  <si>
    <t>4.67</t>
  </si>
  <si>
    <t>Financiere de l`Odet</t>
  </si>
  <si>
    <t>Esprit Holdings</t>
  </si>
  <si>
    <t>Arch Capital Group</t>
  </si>
  <si>
    <t>AMB Property</t>
  </si>
  <si>
    <t>OGE Energy</t>
  </si>
  <si>
    <t>Keihin Electric Express</t>
  </si>
  <si>
    <t>Johnson Electric Holdings</t>
  </si>
  <si>
    <t>Beijing Datang Power</t>
  </si>
  <si>
    <t>Iyo Bank</t>
  </si>
  <si>
    <t>34.98</t>
  </si>
  <si>
    <t>W Holding</t>
  </si>
  <si>
    <t>11.52</t>
  </si>
  <si>
    <t>Air Canada</t>
  </si>
  <si>
    <t>-0.53</t>
  </si>
  <si>
    <t>Bank of Kyoto</t>
  </si>
  <si>
    <t>38.87</t>
  </si>
  <si>
    <t>Impac Mortgage Holding</t>
  </si>
  <si>
    <t>Lite-On Technology</t>
  </si>
  <si>
    <t>BancorpSouth</t>
  </si>
  <si>
    <t>Yamaguchi Bank</t>
  </si>
  <si>
    <t>37.31</t>
  </si>
  <si>
    <t>Mitsukoshi</t>
  </si>
  <si>
    <t>Fuji Fire &amp; Marine</t>
  </si>
  <si>
    <t>Nissay Dowa General Ins</t>
  </si>
  <si>
    <t>Singapore Technologies</t>
  </si>
  <si>
    <t>Developers Diversified Realty</t>
  </si>
  <si>
    <t>3.12</t>
  </si>
  <si>
    <t>Provident Finl Group</t>
  </si>
  <si>
    <t>17.61</t>
  </si>
  <si>
    <t>BJ`s Wholesale Club</t>
  </si>
  <si>
    <t>Cullen/Frost Bankers</t>
  </si>
  <si>
    <t>Hyundai South</t>
  </si>
  <si>
    <t>Kanematsu</t>
  </si>
  <si>
    <t>Advance Auto Parts</t>
  </si>
  <si>
    <t>Perodua</t>
  </si>
  <si>
    <t>Nanto Bank</t>
  </si>
  <si>
    <t>Reebok International</t>
  </si>
  <si>
    <t>Bilfinger &amp; Berger</t>
  </si>
  <si>
    <t>Investors Financial</t>
  </si>
  <si>
    <t>Daishi Bank</t>
  </si>
  <si>
    <t>34.29</t>
  </si>
  <si>
    <t>Danisco</t>
  </si>
  <si>
    <t>Japan Securities Fin</t>
  </si>
  <si>
    <t>34.1</t>
  </si>
  <si>
    <t>UBE Industries</t>
  </si>
  <si>
    <t>Kimberly-Clark de Mexico</t>
  </si>
  <si>
    <t>Petsmart</t>
  </si>
  <si>
    <t>WPS Resources</t>
  </si>
  <si>
    <t>Dun &amp; Bradstreet</t>
  </si>
  <si>
    <t>1.51</t>
  </si>
  <si>
    <t>Pogo Producing</t>
  </si>
  <si>
    <t>Fremont General</t>
  </si>
  <si>
    <t>Juroku Bank</t>
  </si>
  <si>
    <t>-0.28</t>
  </si>
  <si>
    <t>Nishi-Nippon Bank</t>
  </si>
  <si>
    <t>32.93</t>
  </si>
  <si>
    <t>Tiger Brands</t>
  </si>
  <si>
    <t>Ranbaxy Laboratories</t>
  </si>
  <si>
    <t>Nishimatsu Construction</t>
  </si>
  <si>
    <t>6.23</t>
  </si>
  <si>
    <t>Petronas Gas</t>
  </si>
  <si>
    <t>Enagas</t>
  </si>
  <si>
    <t>MDU Resources</t>
  </si>
  <si>
    <t>Shiga Bank</t>
  </si>
  <si>
    <t>32.06</t>
  </si>
  <si>
    <t>Shenzhen Development Bk</t>
  </si>
  <si>
    <t>Canary Wharf Group</t>
  </si>
  <si>
    <t>Doosan</t>
  </si>
  <si>
    <t>Lincare Holdings</t>
  </si>
  <si>
    <t>Commercial Bank of Greece</t>
  </si>
  <si>
    <t>Terumo</t>
  </si>
  <si>
    <t>Hyakugo Bank</t>
  </si>
  <si>
    <t>Beazer Homes USA</t>
  </si>
  <si>
    <t>ASML Holding</t>
  </si>
  <si>
    <t>9.44</t>
  </si>
  <si>
    <t>San-In Godo Bank</t>
  </si>
  <si>
    <t>30.4</t>
  </si>
  <si>
    <t>Metso</t>
  </si>
  <si>
    <t>-0.32</t>
  </si>
  <si>
    <t>CapitaLand</t>
  </si>
  <si>
    <t>Molex</t>
  </si>
  <si>
    <t>Hyakujushi Bank</t>
  </si>
  <si>
    <t>28.87</t>
  </si>
  <si>
    <t>Federated Investors</t>
  </si>
  <si>
    <t>Union Bank of India</t>
  </si>
  <si>
    <t>NSK</t>
  </si>
  <si>
    <t>Kaneka</t>
  </si>
  <si>
    <t>IVAX</t>
  </si>
  <si>
    <t>Banca CR Firenze</t>
  </si>
  <si>
    <t>Israel Discount Bank</t>
  </si>
  <si>
    <t>29.27</t>
  </si>
  <si>
    <t>Montpelier Re Holdings</t>
  </si>
  <si>
    <t>Leucadia National</t>
  </si>
  <si>
    <t>Yamada Denki</t>
  </si>
  <si>
    <t>6.72</t>
  </si>
  <si>
    <t>SembCorp Industries</t>
  </si>
  <si>
    <t>FirstGroup</t>
  </si>
  <si>
    <t>Hokkaido Bank</t>
  </si>
  <si>
    <t>28.65</t>
  </si>
  <si>
    <t>Kanebo</t>
  </si>
  <si>
    <t>Grupo Bimbo</t>
  </si>
  <si>
    <t>Winn-Dixie Stores</t>
  </si>
  <si>
    <t>Higo Bank</t>
  </si>
  <si>
    <t>28.13</t>
  </si>
  <si>
    <t>Ogaki Kyoritsu Bank</t>
  </si>
  <si>
    <t>27.96</t>
  </si>
  <si>
    <t>Sumitomo Metal Mining</t>
  </si>
  <si>
    <t>-0.01</t>
  </si>
  <si>
    <t>Shinko Securities</t>
  </si>
  <si>
    <t>Tokyo Leasing</t>
  </si>
  <si>
    <t>9.02</t>
  </si>
  <si>
    <t>Tesoro Petroleum</t>
  </si>
  <si>
    <t>BW Bank</t>
  </si>
  <si>
    <t>27.41</t>
  </si>
  <si>
    <t>Liberty Property</t>
  </si>
  <si>
    <t>Provident Financial Plc</t>
  </si>
  <si>
    <t>EON-Edaran Otomobil</t>
  </si>
  <si>
    <t>Nomura Research Institute</t>
  </si>
  <si>
    <t>Taiwan Business Bank</t>
  </si>
  <si>
    <t>26.67</t>
  </si>
  <si>
    <t>Autogrill</t>
  </si>
  <si>
    <t>Tatung</t>
  </si>
  <si>
    <t>Seino Transportation</t>
  </si>
  <si>
    <t>Bemis</t>
  </si>
  <si>
    <t>Schroders</t>
  </si>
  <si>
    <t>San Miguel</t>
  </si>
  <si>
    <t>Philippines</t>
  </si>
  <si>
    <t>Storage Technology</t>
  </si>
  <si>
    <t>MDC Holdings</t>
  </si>
  <si>
    <t>CJ</t>
  </si>
  <si>
    <t>Molson</t>
  </si>
  <si>
    <t>Intl Flavors &amp; Frags</t>
  </si>
  <si>
    <t>CSM</t>
  </si>
  <si>
    <t>Van Lanschot</t>
  </si>
  <si>
    <t>Yanzhou Coal Mining</t>
  </si>
  <si>
    <t>Fraser &amp; Neave</t>
  </si>
  <si>
    <t>Grupo Financiero Inbursa</t>
  </si>
  <si>
    <t>Western Digital</t>
  </si>
  <si>
    <t>Great A&amp;P Tea</t>
  </si>
  <si>
    <t>NOVA Chemicals</t>
  </si>
  <si>
    <t>Genting</t>
  </si>
  <si>
    <t>Diebold</t>
  </si>
  <si>
    <t>People`s Bank</t>
  </si>
  <si>
    <t>Nidec</t>
  </si>
  <si>
    <t>Gilead Sciences</t>
  </si>
  <si>
    <t>Toda</t>
  </si>
  <si>
    <t>Fisher Scientific</t>
  </si>
  <si>
    <t>Kagoshima Bank</t>
  </si>
  <si>
    <t>25.42</t>
  </si>
  <si>
    <t>Regal Entertainment Group</t>
  </si>
  <si>
    <t>Allergan</t>
  </si>
  <si>
    <t>Hong Leong Credit</t>
  </si>
  <si>
    <t>12.53</t>
  </si>
  <si>
    <t>Washington Federal</t>
  </si>
  <si>
    <t>GTech Holdings</t>
  </si>
  <si>
    <t>Equifax</t>
  </si>
  <si>
    <t>Broadcom</t>
  </si>
  <si>
    <t>11.7</t>
  </si>
  <si>
    <t>Dentsply Intl</t>
  </si>
  <si>
    <t>EMAP</t>
  </si>
  <si>
    <t>Neptune Orient Lines</t>
  </si>
  <si>
    <t>-0.34</t>
  </si>
  <si>
    <t>Nissin Food Products</t>
  </si>
  <si>
    <t>Patterson Dental</t>
  </si>
  <si>
    <t>Fukuoka City Bank</t>
  </si>
  <si>
    <t>24.63</t>
  </si>
  <si>
    <t>Cephalon</t>
  </si>
  <si>
    <t>Downey Financial</t>
  </si>
  <si>
    <t>11.65</t>
  </si>
  <si>
    <t>Hokkoku Bank</t>
  </si>
  <si>
    <t>Jean Coutu Group</t>
  </si>
  <si>
    <t>Guoco Group</t>
  </si>
  <si>
    <t>Allete</t>
  </si>
  <si>
    <t>Dassault Systemes</t>
  </si>
  <si>
    <t>Dow Jones</t>
  </si>
  <si>
    <t>City Developments</t>
  </si>
  <si>
    <t>Isetan</t>
  </si>
  <si>
    <t>Leopalace21</t>
  </si>
  <si>
    <t>Jaccs</t>
  </si>
  <si>
    <t>23.63</t>
  </si>
  <si>
    <t>Suruga Bank</t>
  </si>
  <si>
    <t>Hanjin Shipping</t>
  </si>
  <si>
    <t>Musashino Bank</t>
  </si>
  <si>
    <t>23.43</t>
  </si>
  <si>
    <t>Sonic Automotive</t>
  </si>
  <si>
    <t>Metro Inc</t>
  </si>
  <si>
    <t>Kiyo Bank</t>
  </si>
  <si>
    <t>Sumisho Lease</t>
  </si>
  <si>
    <t>AmeriCredit</t>
  </si>
  <si>
    <t>Toho Bank</t>
  </si>
  <si>
    <t>23.25</t>
  </si>
  <si>
    <t>Weight Watchers Intl</t>
  </si>
  <si>
    <t>Pentair</t>
  </si>
  <si>
    <t>BEA Systems</t>
  </si>
  <si>
    <t>Momiji Holdings</t>
  </si>
  <si>
    <t>22.83</t>
  </si>
  <si>
    <t>Group 4 Falck</t>
  </si>
  <si>
    <t>Shanghai Automotive</t>
  </si>
  <si>
    <t>Bank of Nagoya</t>
  </si>
  <si>
    <t>Maxtor</t>
  </si>
  <si>
    <t>Shire Pharmaceuticals</t>
  </si>
  <si>
    <t>-0.95</t>
  </si>
  <si>
    <t>Central Leasing</t>
  </si>
  <si>
    <t>Fresh Del Monte</t>
  </si>
  <si>
    <t>Sankyo (machinery)</t>
  </si>
  <si>
    <t>Kyushu-Shinwa Holdings</t>
  </si>
  <si>
    <t>22.4</t>
  </si>
  <si>
    <t>Denway Motors</t>
  </si>
  <si>
    <t>Bank of Bermuda</t>
  </si>
  <si>
    <t>Juniper Networks</t>
  </si>
  <si>
    <t>Keiyo Bank</t>
  </si>
  <si>
    <t>22.22</t>
  </si>
  <si>
    <t>Ebara</t>
  </si>
  <si>
    <t>Erie Indemnity</t>
  </si>
  <si>
    <t>Kumagai Gumi</t>
  </si>
  <si>
    <t>-2.5</t>
  </si>
  <si>
    <t>Travis Perkins</t>
  </si>
  <si>
    <t>Jyske Bank</t>
  </si>
  <si>
    <t>Maruha</t>
  </si>
  <si>
    <t>Shionogi &amp; Co</t>
  </si>
  <si>
    <t>Teekay Shipping</t>
  </si>
  <si>
    <t>Bahamas</t>
  </si>
  <si>
    <t>Rent-A-Center</t>
  </si>
  <si>
    <t>TabCorp Holdings</t>
  </si>
  <si>
    <t>QLogic</t>
  </si>
  <si>
    <t>Health Care Property</t>
  </si>
  <si>
    <t>Transmontaigne</t>
  </si>
  <si>
    <t>9.13</t>
  </si>
  <si>
    <t>IDB Holding</t>
  </si>
  <si>
    <t>Yamazaki Baking</t>
  </si>
  <si>
    <t>Buderus</t>
  </si>
  <si>
    <t>SEI Investments</t>
  </si>
  <si>
    <t>Oita Bank</t>
  </si>
  <si>
    <t>Kuhne &amp; Nagel Intl</t>
  </si>
  <si>
    <t>Hyundai Eng &amp; Const</t>
  </si>
  <si>
    <t>Puget Energy</t>
  </si>
  <si>
    <t>Shikoku Bank</t>
  </si>
  <si>
    <t>20.84</t>
  </si>
  <si>
    <t>Community Health Sys</t>
  </si>
  <si>
    <t>Awa Bank</t>
  </si>
  <si>
    <t>20.75</t>
  </si>
  <si>
    <t>Toto</t>
  </si>
  <si>
    <t>JSR</t>
  </si>
  <si>
    <t>Stanley Works</t>
  </si>
  <si>
    <t>AWG</t>
  </si>
  <si>
    <t>Yamanashi Chou Bank</t>
  </si>
  <si>
    <t>20.35</t>
  </si>
  <si>
    <t>Maeda</t>
  </si>
  <si>
    <t>Macerich</t>
  </si>
  <si>
    <t>Jiangsu Expressway</t>
  </si>
  <si>
    <t>R&amp;G Financial</t>
  </si>
  <si>
    <t>Questar</t>
  </si>
  <si>
    <t>Britannic Group</t>
  </si>
  <si>
    <t>Marconi</t>
  </si>
  <si>
    <t>-1.76</t>
  </si>
  <si>
    <t>Hanshin Construction</t>
  </si>
  <si>
    <t>Tokyo Tomin Bank</t>
  </si>
  <si>
    <t>19.26</t>
  </si>
  <si>
    <t>Teck Cominco</t>
  </si>
  <si>
    <t>Service Corp Intl</t>
  </si>
  <si>
    <t>Bank of Iwate</t>
  </si>
  <si>
    <t>Hudson United Bancorp</t>
  </si>
  <si>
    <t>Swedish Match</t>
  </si>
  <si>
    <t>Aichi Bank</t>
  </si>
  <si>
    <t>19.07</t>
  </si>
  <si>
    <t>AK Steel Holding</t>
  </si>
  <si>
    <t>-0.56</t>
  </si>
  <si>
    <t>Sonoco Products</t>
  </si>
  <si>
    <t>Casio Computer</t>
  </si>
  <si>
    <t>Abercrombie &amp; Fitch</t>
  </si>
  <si>
    <t>BPB</t>
  </si>
  <si>
    <t>Commercial Federal</t>
  </si>
  <si>
    <t>12.19</t>
  </si>
  <si>
    <t>Intl Bancshares</t>
  </si>
  <si>
    <t>Soriana</t>
  </si>
  <si>
    <t>Akita Bank</t>
  </si>
  <si>
    <t>18.77</t>
  </si>
  <si>
    <t>United Auto Group</t>
  </si>
  <si>
    <t>Endurance Specialty</t>
  </si>
  <si>
    <t>South Financial Group</t>
  </si>
  <si>
    <t>CNF</t>
  </si>
  <si>
    <t>5.1</t>
  </si>
  <si>
    <t>Sumitomo Heavy Inds</t>
  </si>
  <si>
    <t>INI Steel</t>
  </si>
  <si>
    <t>Great Plains Energy</t>
  </si>
  <si>
    <t>Rashid Hussain</t>
  </si>
  <si>
    <t>Eighteenth Bank</t>
  </si>
  <si>
    <t>DaVita</t>
  </si>
  <si>
    <t>Seat-Pagine Gialle</t>
  </si>
  <si>
    <t>Aomori Bank</t>
  </si>
  <si>
    <t>Big Food Group</t>
  </si>
  <si>
    <t>Enka</t>
  </si>
  <si>
    <t>Allegheny Energy</t>
  </si>
  <si>
    <t>Convergys</t>
  </si>
  <si>
    <t>Mabuchi Motor</t>
  </si>
  <si>
    <t>Pall</t>
  </si>
  <si>
    <t>National Fuel Gas</t>
  </si>
  <si>
    <t>ChoicePoint</t>
  </si>
  <si>
    <t>Vimpel Communications</t>
  </si>
  <si>
    <t>Chi Mei Optoelectronics</t>
  </si>
  <si>
    <t>Shin Kong Financial</t>
  </si>
  <si>
    <t>17.47</t>
  </si>
  <si>
    <t>Mitsui Engineering &amp; Ship</t>
  </si>
  <si>
    <t>Trustmark</t>
  </si>
  <si>
    <t>Fukui Bank</t>
  </si>
  <si>
    <t>17.34</t>
  </si>
  <si>
    <t>Pacific Century Regional</t>
  </si>
  <si>
    <t>Standard Pacific</t>
  </si>
  <si>
    <t>Redwood Trust</t>
  </si>
  <si>
    <t>Shaw Communications</t>
  </si>
  <si>
    <t>DPL</t>
  </si>
  <si>
    <t>YTL</t>
  </si>
  <si>
    <t>Minara Resources</t>
  </si>
  <si>
    <t>Salzgitter</t>
  </si>
  <si>
    <t>Santos</t>
  </si>
  <si>
    <t>Tochigi Bank</t>
  </si>
  <si>
    <t>16.78</t>
  </si>
  <si>
    <t>Hawaiian Electric</t>
  </si>
  <si>
    <t>Gambro</t>
  </si>
  <si>
    <t>Moore Wallace</t>
  </si>
  <si>
    <t>Nippon Light Metal</t>
  </si>
  <si>
    <t>LogicaCMG</t>
  </si>
  <si>
    <t>-1.48</t>
  </si>
  <si>
    <t>Chiba Kogyo Bank</t>
  </si>
  <si>
    <t>Guangdong Electric Power</t>
  </si>
  <si>
    <t>Michinoku Bank</t>
  </si>
  <si>
    <t>ISS</t>
  </si>
  <si>
    <t>Career Education</t>
  </si>
  <si>
    <t>Basler Kantonalbank</t>
  </si>
  <si>
    <t>Sumikin Bussan</t>
  </si>
  <si>
    <t>Bowater</t>
  </si>
  <si>
    <t>Somerfield</t>
  </si>
  <si>
    <t>United Mizrahi Bank</t>
  </si>
  <si>
    <t>16.26</t>
  </si>
  <si>
    <t>CSK</t>
  </si>
  <si>
    <t>Mercury General</t>
  </si>
  <si>
    <t>Ensco International</t>
  </si>
  <si>
    <t>Belo</t>
  </si>
  <si>
    <t>Bank of Ikeda</t>
  </si>
  <si>
    <t>Hyosung South</t>
  </si>
  <si>
    <t>Merloni Elettrodomestici</t>
  </si>
  <si>
    <t>Bank of Saga</t>
  </si>
  <si>
    <t>ServiceMaster</t>
  </si>
  <si>
    <t>Hokuetsu Bank</t>
  </si>
  <si>
    <t>Mercantil Servicios Fin</t>
  </si>
  <si>
    <t>Venezuela</t>
  </si>
  <si>
    <t>Arriva</t>
  </si>
  <si>
    <t>International Steel Group</t>
  </si>
  <si>
    <t>Metro Cash and Carry South</t>
  </si>
  <si>
    <t>Siam Commercial Bank</t>
  </si>
  <si>
    <t>Pixar</t>
  </si>
  <si>
    <t>Aplus</t>
  </si>
  <si>
    <t>Woodside Petroleum</t>
  </si>
  <si>
    <t>AVA</t>
  </si>
  <si>
    <t>McClatchy</t>
  </si>
  <si>
    <t>Central European Media</t>
  </si>
  <si>
    <t>Trizec Properties</t>
  </si>
  <si>
    <t>Bayerische Immobilien</t>
  </si>
  <si>
    <t>Cosco Pacific</t>
  </si>
  <si>
    <t>MyTravel Group</t>
  </si>
  <si>
    <t>-1.52</t>
  </si>
  <si>
    <t>Piraeus Bank</t>
  </si>
  <si>
    <t>Northumbrian Water</t>
  </si>
  <si>
    <t>Tosoh</t>
  </si>
  <si>
    <t>Far EasTone Telecom</t>
  </si>
  <si>
    <t>Nisshin Steel</t>
  </si>
  <si>
    <t>Del Monte Foods</t>
  </si>
  <si>
    <t>Kangwon Land</t>
  </si>
  <si>
    <t>AMMB Holdings</t>
  </si>
  <si>
    <t>15.24</t>
  </si>
  <si>
    <t>Ceridian</t>
  </si>
  <si>
    <t>Vishay Intertech</t>
  </si>
  <si>
    <t>Viad</t>
  </si>
  <si>
    <t>SPAR Handels</t>
  </si>
  <si>
    <t>Newfield Exploration</t>
  </si>
  <si>
    <t>Yamagata Bank</t>
  </si>
  <si>
    <t>15.06</t>
  </si>
  <si>
    <t>Sierra Pacific Res</t>
  </si>
  <si>
    <t>Advantest</t>
  </si>
  <si>
    <t>Farmers Bank of China</t>
  </si>
  <si>
    <t>14.89</t>
  </si>
  <si>
    <t>Banco Pastor</t>
  </si>
  <si>
    <t>13.12</t>
  </si>
  <si>
    <t>Daimaru</t>
  </si>
  <si>
    <t>Samsung Heavy Industries</t>
  </si>
  <si>
    <t>Balfour Beatty</t>
  </si>
  <si>
    <t>Towa Bank</t>
  </si>
  <si>
    <t>Red Eectrica de Espaqa</t>
  </si>
  <si>
    <t>China Motor</t>
  </si>
  <si>
    <t>Daio Paper</t>
  </si>
  <si>
    <t>5.51</t>
  </si>
  <si>
    <t>Old National Bncp</t>
  </si>
  <si>
    <t>Dah Sing Financial</t>
  </si>
  <si>
    <t>AEM</t>
  </si>
  <si>
    <t>Antofagasta</t>
  </si>
  <si>
    <t>Research In Motion</t>
  </si>
  <si>
    <t>Nippon Steel Trading</t>
  </si>
  <si>
    <t>6.56</t>
  </si>
  <si>
    <t>SpectraSite</t>
  </si>
  <si>
    <t>Capitol Federal Finl</t>
  </si>
  <si>
    <t>Laidlaw International</t>
  </si>
  <si>
    <t>Higashi-Nippon Bank</t>
  </si>
  <si>
    <t>14.24</t>
  </si>
  <si>
    <t>Tokyo Broadcasting System</t>
  </si>
  <si>
    <t>Investkredit Bank</t>
  </si>
  <si>
    <t>CBD-Brasil Distribuieco</t>
  </si>
  <si>
    <t>WMC Resources</t>
  </si>
  <si>
    <t>Brasil Telecom</t>
  </si>
  <si>
    <t>BEKB-BCBE</t>
  </si>
  <si>
    <t>Stockland Australia</t>
  </si>
  <si>
    <t>Miyazaki Bank</t>
  </si>
  <si>
    <t>Associated British Ports</t>
  </si>
  <si>
    <t>Equitable Resources</t>
  </si>
  <si>
    <t>Siebel Systems</t>
  </si>
  <si>
    <t>Mahanagar Telephone Nigam</t>
  </si>
  <si>
    <t>Greater Bay Bancorp</t>
  </si>
  <si>
    <t>Meiji Dairies</t>
  </si>
  <si>
    <t>Natl Semiconductor</t>
  </si>
  <si>
    <t>Borders</t>
  </si>
  <si>
    <t>FIBI Holding</t>
  </si>
  <si>
    <t>13.76</t>
  </si>
  <si>
    <t>Snow Brand Milk</t>
  </si>
  <si>
    <t>JDS Uniphase</t>
  </si>
  <si>
    <t>Arthur J Gallagher</t>
  </si>
  <si>
    <t>LG Construction</t>
  </si>
  <si>
    <t>Gamesa</t>
  </si>
  <si>
    <t>Berkeley Group</t>
  </si>
  <si>
    <t>Hanjaya Mandala Sampoerna</t>
  </si>
  <si>
    <t>Agere Systems</t>
  </si>
  <si>
    <t>Daisan Bank</t>
  </si>
  <si>
    <t>13.39</t>
  </si>
  <si>
    <t>OKO Bank</t>
  </si>
  <si>
    <t>13.35</t>
  </si>
  <si>
    <t>First Citizens Bcshs</t>
  </si>
  <si>
    <t>12.56</t>
  </si>
  <si>
    <t>Bausch &amp; Lomb</t>
  </si>
  <si>
    <t>St Galler Kantonalbank</t>
  </si>
  <si>
    <t>13.25</t>
  </si>
  <si>
    <t>Wing Lung Bank</t>
  </si>
  <si>
    <t>Avtovaz</t>
  </si>
  <si>
    <t>Arcelik</t>
  </si>
  <si>
    <t>Buenaventura</t>
  </si>
  <si>
    <t>Peru</t>
  </si>
  <si>
    <t>Whitney Holding</t>
  </si>
  <si>
    <t>Chukyo Bank</t>
  </si>
  <si>
    <t>Axel Springer</t>
  </si>
  <si>
    <t>ICAP</t>
  </si>
  <si>
    <t>Metro-Goldwyn-Mayer</t>
  </si>
  <si>
    <t>Ehime Bank</t>
  </si>
  <si>
    <t>13.1</t>
  </si>
  <si>
    <t>CMPC</t>
  </si>
  <si>
    <t>Finova Group</t>
  </si>
  <si>
    <t>Grupo Imsa</t>
  </si>
  <si>
    <t>Hanwa</t>
  </si>
  <si>
    <t>Hewitt Associates</t>
  </si>
  <si>
    <t>Punch Taverns</t>
  </si>
  <si>
    <t>Falabella</t>
  </si>
  <si>
    <t>Laurus</t>
  </si>
  <si>
    <t>Alliant Techsystems</t>
  </si>
  <si>
    <t>Luzerner Kantonalbank</t>
  </si>
  <si>
    <t>Custodia Holding</t>
  </si>
  <si>
    <t>Iwataya Department Store</t>
  </si>
  <si>
    <t>Laurentian Bank</t>
  </si>
  <si>
    <t>Bca Popolare di Sondrio</t>
  </si>
  <si>
    <t>Valiant Holding</t>
  </si>
  <si>
    <t>Aquila</t>
  </si>
  <si>
    <t>-1.72</t>
  </si>
  <si>
    <t>BayWa</t>
  </si>
  <si>
    <t>Hirose Electric</t>
  </si>
  <si>
    <t>Hellenic Petroleum</t>
  </si>
  <si>
    <t>Performance Food</t>
  </si>
  <si>
    <t>Citrix Systems</t>
  </si>
  <si>
    <t>SEB</t>
  </si>
  <si>
    <t>China Southern Airlines</t>
  </si>
  <si>
    <t>Cameco</t>
  </si>
  <si>
    <t>Neyveli Lignite</t>
  </si>
  <si>
    <t>SinoPac Holdings</t>
  </si>
  <si>
    <t>Universal</t>
  </si>
  <si>
    <t>Daewoo Intl</t>
  </si>
  <si>
    <t>Banco di Sardegna</t>
  </si>
  <si>
    <t>12.01</t>
  </si>
  <si>
    <t>Petroplus Intl</t>
  </si>
  <si>
    <t>CSN-Cia Siderurgica</t>
  </si>
  <si>
    <t>Sumitomo Forestry</t>
  </si>
  <si>
    <t>Bharti Tele-Ventures</t>
  </si>
  <si>
    <t>Indian Overseas Bank</t>
  </si>
  <si>
    <t>Cousins Properties</t>
  </si>
  <si>
    <t>Bank of Ryukyus</t>
  </si>
  <si>
    <t>Bank Philippine Islands</t>
  </si>
  <si>
    <t>Haseko</t>
  </si>
  <si>
    <t>Stanley Electric</t>
  </si>
  <si>
    <t>Mack-Cali Realty</t>
  </si>
  <si>
    <t>Peabody Energy</t>
  </si>
  <si>
    <t>Origin Energy</t>
  </si>
  <si>
    <t>Sogecable</t>
  </si>
  <si>
    <t>Mobilcom</t>
  </si>
  <si>
    <t>-3.62</t>
  </si>
  <si>
    <t>AMEC</t>
  </si>
  <si>
    <t>Siam City Bank</t>
  </si>
  <si>
    <t>Yokogawa Electric</t>
  </si>
  <si>
    <t>Hindalco Industries</t>
  </si>
  <si>
    <t>Nexans</t>
  </si>
  <si>
    <t>Oriental Bank of Commerce</t>
  </si>
  <si>
    <t>k=</t>
  </si>
  <si>
    <t>amplitud</t>
  </si>
  <si>
    <t xml:space="preserve">rango </t>
  </si>
  <si>
    <t>n1</t>
  </si>
  <si>
    <t>Suma de n1</t>
  </si>
  <si>
    <t>Etiquetas de fila</t>
  </si>
  <si>
    <t>(en blanco)</t>
  </si>
  <si>
    <t>Total general</t>
  </si>
  <si>
    <t>Etiquetas de columna</t>
  </si>
  <si>
    <t>xi</t>
  </si>
  <si>
    <t>ni</t>
  </si>
  <si>
    <t>fi</t>
  </si>
  <si>
    <t>total</t>
  </si>
  <si>
    <t>Ni</t>
  </si>
  <si>
    <t>Fi</t>
  </si>
  <si>
    <t>lim_sup</t>
  </si>
  <si>
    <t>lim_inf</t>
  </si>
  <si>
    <t>porcentaje</t>
  </si>
  <si>
    <t>max</t>
  </si>
  <si>
    <t>min</t>
  </si>
  <si>
    <t>n</t>
  </si>
  <si>
    <t>Media aritmética</t>
  </si>
  <si>
    <t>Media geométrica</t>
  </si>
  <si>
    <t>############</t>
  </si>
  <si>
    <t>Media armónica</t>
  </si>
  <si>
    <t>Moda</t>
  </si>
  <si>
    <t>[0 ; 4,02345225]</t>
  </si>
  <si>
    <t>Mediana</t>
  </si>
  <si>
    <t xml:space="preserve">           Medidas de tendencia central</t>
  </si>
  <si>
    <t>Medidas de tendencia no central</t>
  </si>
  <si>
    <t>Q1</t>
  </si>
  <si>
    <t>Q3</t>
  </si>
  <si>
    <t>Percentil 0,3</t>
  </si>
  <si>
    <t>Percentil 0,7</t>
  </si>
  <si>
    <t>Percentil 0,9</t>
  </si>
  <si>
    <t>Q2(mediana)</t>
  </si>
  <si>
    <t>Rango</t>
  </si>
  <si>
    <t>Varianza</t>
  </si>
  <si>
    <t>Desviación Típica</t>
  </si>
  <si>
    <t>Coeficiente de variación</t>
  </si>
  <si>
    <t>IQR</t>
  </si>
  <si>
    <t xml:space="preserve">                   Medidas de dispersión</t>
  </si>
  <si>
    <t>COEFICIENTE DE ASIMETRÍA DE FISHER</t>
  </si>
  <si>
    <t>CURTOSIS</t>
  </si>
  <si>
    <t>entropía de shanon</t>
  </si>
  <si>
    <t>log2(fi)</t>
  </si>
  <si>
    <t>total:</t>
  </si>
  <si>
    <t>lne</t>
  </si>
  <si>
    <t>Entropía = - sumatorio de fi*log2(fi) =  0,8216932</t>
  </si>
  <si>
    <t>prueba</t>
  </si>
  <si>
    <t>fi * log2(fi)</t>
  </si>
  <si>
    <t>xi^2</t>
  </si>
  <si>
    <t>varianza</t>
  </si>
  <si>
    <t>media</t>
  </si>
  <si>
    <t>xi^2*fi</t>
  </si>
  <si>
    <t>xi*fi</t>
  </si>
  <si>
    <t>media^2</t>
  </si>
  <si>
    <t>(xi^2*fi)-media^2</t>
  </si>
  <si>
    <t>VARIANZA</t>
  </si>
  <si>
    <t>mad</t>
  </si>
  <si>
    <t>abs(xi-media)</t>
  </si>
  <si>
    <t>MAD</t>
  </si>
  <si>
    <t>abs(xi-media)*ni</t>
  </si>
  <si>
    <t>Entropía Shannon</t>
  </si>
  <si>
    <t>ÁNALISIS DE DATOS ANÓMALOS</t>
  </si>
  <si>
    <t>1,5IQR</t>
  </si>
  <si>
    <t>UB</t>
  </si>
  <si>
    <t>LB</t>
  </si>
  <si>
    <t>ÍNDICE DE GINNI</t>
  </si>
  <si>
    <t>xi*ni</t>
  </si>
  <si>
    <t>xi*ni(acum)</t>
  </si>
  <si>
    <t>Qi</t>
  </si>
  <si>
    <t>Fi-Qi</t>
  </si>
  <si>
    <t>Num_IG</t>
  </si>
  <si>
    <t>Den_IG</t>
  </si>
  <si>
    <t>IG</t>
  </si>
  <si>
    <t>ahora da mal porque se copío de otro excel</t>
  </si>
  <si>
    <t>conteo</t>
  </si>
  <si>
    <t>Suma de conteo</t>
  </si>
  <si>
    <t>maximo</t>
  </si>
  <si>
    <t>mínimo</t>
  </si>
  <si>
    <t>rango</t>
  </si>
  <si>
    <t>k</t>
  </si>
  <si>
    <t>lim inf</t>
  </si>
  <si>
    <t>lim sup</t>
  </si>
  <si>
    <t>Nºintervalo</t>
  </si>
  <si>
    <t>aprox 12,9</t>
  </si>
  <si>
    <t>xi (marca)</t>
  </si>
  <si>
    <t>fi*log2(fi)</t>
  </si>
  <si>
    <t>entropía de shanon =  - sumatorio (fi*log2(fi))     = 1,198889155</t>
  </si>
  <si>
    <t>SECTORES</t>
  </si>
  <si>
    <t xml:space="preserve">fi </t>
  </si>
  <si>
    <t>Sectores</t>
  </si>
  <si>
    <t>DT</t>
  </si>
  <si>
    <t>(ni-media)^2</t>
  </si>
  <si>
    <t>con anómalos</t>
  </si>
  <si>
    <t>sin anómalos</t>
  </si>
  <si>
    <t xml:space="preserve"> m.aritmética </t>
  </si>
  <si>
    <t>geométrica</t>
  </si>
  <si>
    <t>moda</t>
  </si>
  <si>
    <t>CV</t>
  </si>
  <si>
    <t>País</t>
  </si>
  <si>
    <t>Nacionalidad</t>
  </si>
  <si>
    <t>Suma Total</t>
  </si>
  <si>
    <t xml:space="preserve">con anómalos </t>
  </si>
  <si>
    <t>m.aritmética</t>
  </si>
  <si>
    <t>65 (germany)</t>
  </si>
  <si>
    <t>751   EEUU</t>
  </si>
  <si>
    <t>Banking(313)</t>
  </si>
  <si>
    <t>##############</t>
  </si>
  <si>
    <t>m.geométrica</t>
  </si>
  <si>
    <t>Indice de gini</t>
  </si>
  <si>
    <t>Xi*ni(acum)</t>
  </si>
  <si>
    <t>Fi - Qi</t>
  </si>
  <si>
    <t>[0,02;12,92]</t>
  </si>
  <si>
    <t xml:space="preserve">        Medidas de tendencia no central</t>
  </si>
  <si>
    <t>asimetría fisher</t>
  </si>
  <si>
    <t>Nºint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</si>
</sst>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4" borderId="10" xfId="0" applyFill="1" applyBorder="1"/>
    <xf numFmtId="0" fontId="0" fillId="35" borderId="0" xfId="0" applyFill="1"/>
    <xf numFmtId="0" fontId="0" fillId="35" borderId="11" xfId="0" applyFill="1" applyBorder="1"/>
    <xf numFmtId="0" fontId="0" fillId="36" borderId="0" xfId="0" applyFill="1"/>
    <xf numFmtId="0" fontId="0" fillId="36" borderId="10" xfId="0" applyFill="1" applyBorder="1"/>
    <xf numFmtId="0" fontId="0" fillId="37" borderId="0" xfId="0" applyFill="1" applyAlignment="1">
      <alignment horizontal="left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37" borderId="0" xfId="0" applyFill="1"/>
    <xf numFmtId="0" fontId="16" fillId="0" borderId="0" xfId="0" applyFont="1"/>
    <xf numFmtId="0" fontId="0" fillId="41" borderId="0" xfId="0" applyFill="1"/>
    <xf numFmtId="0" fontId="0" fillId="41" borderId="10" xfId="0" applyFill="1" applyBorder="1"/>
    <xf numFmtId="0" fontId="0" fillId="40" borderId="10" xfId="0" applyFill="1" applyBorder="1"/>
    <xf numFmtId="0" fontId="0" fillId="36" borderId="0" xfId="0" applyFill="1" applyAlignment="1">
      <alignment horizontal="center"/>
    </xf>
    <xf numFmtId="0" fontId="0" fillId="0" borderId="10" xfId="0" applyBorder="1"/>
    <xf numFmtId="0" fontId="0" fillId="43" borderId="10" xfId="0" applyFill="1" applyBorder="1"/>
    <xf numFmtId="0" fontId="0" fillId="34" borderId="11" xfId="0" applyFill="1" applyBorder="1"/>
    <xf numFmtId="0" fontId="0" fillId="34" borderId="0" xfId="0" applyFill="1"/>
    <xf numFmtId="0" fontId="0" fillId="39" borderId="0" xfId="0" applyFill="1"/>
    <xf numFmtId="0" fontId="0" fillId="44" borderId="0" xfId="0" applyFill="1"/>
    <xf numFmtId="0" fontId="0" fillId="44" borderId="0" xfId="0" applyFill="1" applyAlignment="1">
      <alignment horizontal="center"/>
    </xf>
    <xf numFmtId="0" fontId="0" fillId="38" borderId="0" xfId="0" applyFill="1"/>
    <xf numFmtId="0" fontId="0" fillId="45" borderId="10" xfId="0" applyFill="1" applyBorder="1"/>
    <xf numFmtId="0" fontId="0" fillId="45" borderId="0" xfId="0" applyFill="1"/>
    <xf numFmtId="0" fontId="0" fillId="46" borderId="10" xfId="0" applyFill="1" applyBorder="1" applyAlignment="1">
      <alignment horizontal="center"/>
    </xf>
    <xf numFmtId="0" fontId="0" fillId="42" borderId="10" xfId="0" applyFill="1" applyBorder="1" applyAlignment="1">
      <alignment horizontal="center"/>
    </xf>
    <xf numFmtId="0" fontId="0" fillId="39" borderId="10" xfId="0" applyFill="1" applyBorder="1"/>
    <xf numFmtId="0" fontId="0" fillId="42" borderId="10" xfId="0" applyFill="1" applyBorder="1"/>
    <xf numFmtId="0" fontId="0" fillId="44" borderId="10" xfId="0" applyFill="1" applyBorder="1"/>
    <xf numFmtId="0" fontId="0" fillId="0" borderId="0" xfId="0" quotePrefix="1"/>
    <xf numFmtId="0" fontId="0" fillId="40" borderId="0" xfId="0" applyFill="1"/>
    <xf numFmtId="0" fontId="0" fillId="47" borderId="10" xfId="0" applyFill="1" applyBorder="1"/>
    <xf numFmtId="0" fontId="0" fillId="0" borderId="10" xfId="0" applyBorder="1" applyAlignment="1">
      <alignment horizontal="center"/>
    </xf>
    <xf numFmtId="0" fontId="0" fillId="43" borderId="10" xfId="0" applyFill="1" applyBorder="1" applyAlignment="1">
      <alignment horizontal="center"/>
    </xf>
    <xf numFmtId="0" fontId="0" fillId="41" borderId="0" xfId="0" applyFill="1" applyAlignment="1">
      <alignment horizontal="center"/>
    </xf>
    <xf numFmtId="0" fontId="0" fillId="37" borderId="10" xfId="0" applyFill="1" applyBorder="1"/>
    <xf numFmtId="0" fontId="0" fillId="38" borderId="10" xfId="0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40" borderId="0" xfId="0" applyFill="1" applyAlignment="1">
      <alignment horizontal="center"/>
    </xf>
    <xf numFmtId="0" fontId="0" fillId="40" borderId="0" xfId="0" applyFill="1" applyAlignment="1">
      <alignment horizontal="left"/>
    </xf>
    <xf numFmtId="0" fontId="0" fillId="47" borderId="0" xfId="0" applyFill="1" applyAlignment="1">
      <alignment horizontal="left"/>
    </xf>
    <xf numFmtId="0" fontId="0" fillId="38" borderId="16" xfId="0" applyFill="1" applyBorder="1" applyAlignment="1">
      <alignment horizontal="center"/>
    </xf>
    <xf numFmtId="0" fontId="0" fillId="42" borderId="11" xfId="0" applyFill="1" applyBorder="1"/>
    <xf numFmtId="0" fontId="0" fillId="42" borderId="0" xfId="0" applyFill="1"/>
    <xf numFmtId="0" fontId="0" fillId="43" borderId="11" xfId="0" applyFill="1" applyBorder="1"/>
    <xf numFmtId="0" fontId="0" fillId="42" borderId="13" xfId="0" applyFill="1" applyBorder="1" applyAlignment="1">
      <alignment horizontal="center"/>
    </xf>
    <xf numFmtId="0" fontId="0" fillId="42" borderId="14" xfId="0" applyFill="1" applyBorder="1" applyAlignment="1">
      <alignment horizontal="center"/>
    </xf>
    <xf numFmtId="0" fontId="0" fillId="42" borderId="15" xfId="0" applyFill="1" applyBorder="1" applyAlignment="1">
      <alignment horizontal="center"/>
    </xf>
    <xf numFmtId="0" fontId="0" fillId="42" borderId="0" xfId="0" applyFill="1" applyAlignment="1">
      <alignment horizontal="left"/>
    </xf>
    <xf numFmtId="0" fontId="0" fillId="4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diagrama</a:t>
            </a:r>
            <a:r>
              <a:rPr lang="en-US" baseline="0"/>
              <a:t> de sectores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PROFITS!$N$12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BF32-4AC6-9287-B598F48D8A8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BF32-4AC6-9287-B598F48D8A8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BF32-4AC6-9287-B598F48D8A87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BF32-4AC6-9287-B598F48D8A87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BF32-4AC6-9287-B598F48D8A87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BF32-4AC6-9287-B598F48D8A87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BF32-4AC6-9287-B598F48D8A87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BF32-4AC6-9287-B598F48D8A87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BF32-4AC6-9287-B598F48D8A87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accent2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BF32-4AC6-9287-B598F48D8A87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BF32-4AC6-9287-B598F48D8A87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BF32-4AC6-9287-B598F48D8A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PROFITS!$N$13:$N$24</c:f>
              <c:numCache>
                <c:formatCode>General</c:formatCode>
                <c:ptCount val="12"/>
                <c:pt idx="0">
                  <c:v>0.1</c:v>
                </c:pt>
                <c:pt idx="1">
                  <c:v>0.05</c:v>
                </c:pt>
                <c:pt idx="2">
                  <c:v>0.1</c:v>
                </c:pt>
                <c:pt idx="3">
                  <c:v>0.1</c:v>
                </c:pt>
                <c:pt idx="4">
                  <c:v>0.4</c:v>
                </c:pt>
                <c:pt idx="5">
                  <c:v>13.25</c:v>
                </c:pt>
                <c:pt idx="6">
                  <c:v>83.65</c:v>
                </c:pt>
                <c:pt idx="7">
                  <c:v>1.7999999999999998</c:v>
                </c:pt>
                <c:pt idx="8">
                  <c:v>0.4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8-415C-B285-ECA257FAB2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708859094103547E-2"/>
          <c:y val="7.8807431881558115E-2"/>
          <c:w val="0.93894418900116927"/>
          <c:h val="0.791082801613817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0823530131610894"/>
                  <c:y val="-9.31104840205546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913-4E83-8D63-116E3616E70A}"/>
                </c:ext>
              </c:extLst>
            </c:dLbl>
            <c:dLbl>
              <c:idx val="1"/>
              <c:layout>
                <c:manualLayout>
                  <c:x val="-9.7134244770866976E-2"/>
                  <c:y val="-8.5350291044996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913-4E83-8D63-116E3616E70A}"/>
                </c:ext>
              </c:extLst>
            </c:dLbl>
            <c:dLbl>
              <c:idx val="2"/>
              <c:layout>
                <c:manualLayout>
                  <c:x val="-0.1082353013161089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913-4E83-8D63-116E3616E70A}"/>
                </c:ext>
              </c:extLst>
            </c:dLbl>
            <c:dLbl>
              <c:idx val="3"/>
              <c:layout>
                <c:manualLayout>
                  <c:x val="-0.10823530131610894"/>
                  <c:y val="-4.6555242010276488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913-4E83-8D63-116E3616E70A}"/>
                </c:ext>
              </c:extLst>
            </c:dLbl>
            <c:dLbl>
              <c:idx val="4"/>
              <c:layout>
                <c:manualLayout>
                  <c:x val="-0.1137858295887299"/>
                  <c:y val="-4.6555242010276488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913-4E83-8D63-116E3616E70A}"/>
                </c:ext>
              </c:extLst>
            </c:dLbl>
            <c:dLbl>
              <c:idx val="5"/>
              <c:layout>
                <c:manualLayout>
                  <c:x val="-0.12211162199766135"/>
                  <c:y val="-4.655524201027734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913-4E83-8D63-116E3616E70A}"/>
                </c:ext>
              </c:extLst>
            </c:dLbl>
            <c:dLbl>
              <c:idx val="6"/>
              <c:layout>
                <c:manualLayout>
                  <c:x val="-0.10823530131610894"/>
                  <c:y val="1.396657260308320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913-4E83-8D63-116E3616E70A}"/>
                </c:ext>
              </c:extLst>
            </c:dLbl>
            <c:dLbl>
              <c:idx val="7"/>
              <c:layout>
                <c:manualLayout>
                  <c:x val="-0.12488688613397184"/>
                  <c:y val="1.862209680411093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13-4E83-8D63-116E3616E70A}"/>
                </c:ext>
              </c:extLst>
            </c:dLbl>
            <c:dLbl>
              <c:idx val="8"/>
              <c:layout>
                <c:manualLayout>
                  <c:x val="-0.11933635786135087"/>
                  <c:y val="1.396657260308320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13-4E83-8D63-116E3616E70A}"/>
                </c:ext>
              </c:extLst>
            </c:dLbl>
            <c:dLbl>
              <c:idx val="9"/>
              <c:layout>
                <c:manualLayout>
                  <c:x val="-0.11933635786135087"/>
                  <c:y val="1.396657260308320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13-4E83-8D63-116E3616E70A}"/>
                </c:ext>
              </c:extLst>
            </c:dLbl>
            <c:dLbl>
              <c:idx val="10"/>
              <c:layout>
                <c:manualLayout>
                  <c:x val="-0.11656109372504038"/>
                  <c:y val="9.31104840205546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13-4E83-8D63-116E3616E70A}"/>
                </c:ext>
              </c:extLst>
            </c:dLbl>
            <c:dLbl>
              <c:idx val="11"/>
              <c:layout>
                <c:manualLayout>
                  <c:x val="-0.11656109372504038"/>
                  <c:y val="4.6555242010277347E-3"/>
                </c:manualLayout>
              </c:layout>
              <c:tx>
                <c:rich>
                  <a:bodyPr/>
                  <a:lstStyle/>
                  <a:p>
                    <a:fld id="{064ED93B-A198-4976-8030-B5663856EA49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913-4E83-8D63-116E3616E7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PROFITS!$K$13:$K$24</c:f>
              <c:numCache>
                <c:formatCode>General</c:formatCode>
                <c:ptCount val="12"/>
                <c:pt idx="0">
                  <c:v>-23.818273874314531</c:v>
                </c:pt>
                <c:pt idx="1">
                  <c:v>-19.074821874314534</c:v>
                </c:pt>
                <c:pt idx="2">
                  <c:v>-14.074273874314532</c:v>
                </c:pt>
                <c:pt idx="3">
                  <c:v>-10.050773874314533</c:v>
                </c:pt>
                <c:pt idx="4">
                  <c:v>-6.027313874314534</c:v>
                </c:pt>
                <c:pt idx="5">
                  <c:v>-2.0077500000000001</c:v>
                </c:pt>
                <c:pt idx="6">
                  <c:v>2.0117261256854659</c:v>
                </c:pt>
                <c:pt idx="7">
                  <c:v>6.0351761256854664</c:v>
                </c:pt>
                <c:pt idx="8">
                  <c:v>10.058628377056397</c:v>
                </c:pt>
                <c:pt idx="9">
                  <c:v>14.082080628427331</c:v>
                </c:pt>
                <c:pt idx="10">
                  <c:v>18.105532879798265</c:v>
                </c:pt>
                <c:pt idx="11">
                  <c:v>22.128985131169198</c:v>
                </c:pt>
              </c:numCache>
            </c:numRef>
          </c:cat>
          <c:val>
            <c:numRef>
              <c:f>PROFITS!$L$13:$L$24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8</c:v>
                </c:pt>
                <c:pt idx="5">
                  <c:v>265</c:v>
                </c:pt>
                <c:pt idx="6">
                  <c:v>1673</c:v>
                </c:pt>
                <c:pt idx="7">
                  <c:v>36</c:v>
                </c:pt>
                <c:pt idx="8">
                  <c:v>8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3-4E83-8D63-116E3616E7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89125039"/>
        <c:axId val="1041515071"/>
      </c:barChart>
      <c:catAx>
        <c:axId val="6891250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1515071"/>
        <c:crosses val="autoZero"/>
        <c:auto val="1"/>
        <c:lblAlgn val="ctr"/>
        <c:lblOffset val="100"/>
        <c:noMultiLvlLbl val="0"/>
      </c:catAx>
      <c:valAx>
        <c:axId val="1041515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912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PROFITS!$M$13:$M$24</c:f>
              <c:numCache>
                <c:formatCode>General</c:formatCode>
                <c:ptCount val="12"/>
                <c:pt idx="0">
                  <c:v>1E-3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1E-3</c:v>
                </c:pt>
                <c:pt idx="4">
                  <c:v>4.0000000000000001E-3</c:v>
                </c:pt>
                <c:pt idx="5">
                  <c:v>0.13250000000000001</c:v>
                </c:pt>
                <c:pt idx="6">
                  <c:v>0.83650000000000002</c:v>
                </c:pt>
                <c:pt idx="7">
                  <c:v>1.7999999999999999E-2</c:v>
                </c:pt>
                <c:pt idx="8">
                  <c:v>4.0000000000000001E-3</c:v>
                </c:pt>
                <c:pt idx="9">
                  <c:v>5.0000000000000001E-4</c:v>
                </c:pt>
                <c:pt idx="10">
                  <c:v>5.0000000000000001E-4</c:v>
                </c:pt>
                <c:pt idx="11">
                  <c:v>5.0000000000000001E-4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03-45D1-8FE6-FA2907E83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6664703"/>
        <c:axId val="50663167"/>
      </c:lineChart>
      <c:catAx>
        <c:axId val="200666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663167"/>
        <c:crosses val="autoZero"/>
        <c:auto val="1"/>
        <c:lblAlgn val="ctr"/>
        <c:lblOffset val="100"/>
        <c:noMultiLvlLbl val="0"/>
      </c:catAx>
      <c:valAx>
        <c:axId val="5066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666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ASIMETRÍA</a:t>
            </a:r>
            <a:r>
              <a:rPr lang="es-ES" baseline="0"/>
              <a:t> NEGATIVA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PROFITS!$M$13:$M$24</c:f>
              <c:numCache>
                <c:formatCode>General</c:formatCode>
                <c:ptCount val="12"/>
                <c:pt idx="0">
                  <c:v>1E-3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1E-3</c:v>
                </c:pt>
                <c:pt idx="4">
                  <c:v>4.0000000000000001E-3</c:v>
                </c:pt>
                <c:pt idx="5">
                  <c:v>0.13250000000000001</c:v>
                </c:pt>
                <c:pt idx="6">
                  <c:v>0.83650000000000002</c:v>
                </c:pt>
                <c:pt idx="7">
                  <c:v>1.7999999999999999E-2</c:v>
                </c:pt>
                <c:pt idx="8">
                  <c:v>4.0000000000000001E-3</c:v>
                </c:pt>
                <c:pt idx="9">
                  <c:v>5.0000000000000001E-4</c:v>
                </c:pt>
                <c:pt idx="10">
                  <c:v>5.0000000000000001E-4</c:v>
                </c:pt>
                <c:pt idx="11">
                  <c:v>5.0000000000000001E-4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9-49BF-B454-F00636015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206383"/>
        <c:axId val="2012735215"/>
      </c:lineChart>
      <c:catAx>
        <c:axId val="1789206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2735215"/>
        <c:crosses val="autoZero"/>
        <c:auto val="1"/>
        <c:lblAlgn val="ctr"/>
        <c:lblOffset val="100"/>
        <c:noMultiLvlLbl val="0"/>
      </c:catAx>
      <c:valAx>
        <c:axId val="201273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920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</a:t>
            </a:r>
            <a:r>
              <a:rPr lang="es-ES" baseline="0"/>
              <a:t> PLATICÚRTICA</a:t>
            </a:r>
            <a:endParaRPr lang="es-ES"/>
          </a:p>
        </c:rich>
      </c:tx>
      <c:layout>
        <c:manualLayout>
          <c:xMode val="edge"/>
          <c:yMode val="edge"/>
          <c:x val="0.32297737178182168"/>
          <c:y val="2.7894002789400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PROFITS!$M$13:$M$24</c:f>
              <c:numCache>
                <c:formatCode>General</c:formatCode>
                <c:ptCount val="12"/>
                <c:pt idx="0">
                  <c:v>1E-3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1E-3</c:v>
                </c:pt>
                <c:pt idx="4">
                  <c:v>4.0000000000000001E-3</c:v>
                </c:pt>
                <c:pt idx="5">
                  <c:v>0.13250000000000001</c:v>
                </c:pt>
                <c:pt idx="6">
                  <c:v>0.83650000000000002</c:v>
                </c:pt>
                <c:pt idx="7">
                  <c:v>1.7999999999999999E-2</c:v>
                </c:pt>
                <c:pt idx="8">
                  <c:v>4.0000000000000001E-3</c:v>
                </c:pt>
                <c:pt idx="9">
                  <c:v>5.0000000000000001E-4</c:v>
                </c:pt>
                <c:pt idx="10">
                  <c:v>5.0000000000000001E-4</c:v>
                </c:pt>
                <c:pt idx="11">
                  <c:v>5.0000000000000001E-4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39-49BF-B454-F00636015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206383"/>
        <c:axId val="2012735215"/>
      </c:lineChart>
      <c:catAx>
        <c:axId val="1789206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2735215"/>
        <c:crosses val="autoZero"/>
        <c:auto val="1"/>
        <c:lblAlgn val="ctr"/>
        <c:lblOffset val="100"/>
        <c:noMultiLvlLbl val="0"/>
      </c:catAx>
      <c:valAx>
        <c:axId val="201273521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920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ASIMETRÍA</a:t>
            </a:r>
            <a:r>
              <a:rPr lang="es-ES" baseline="0"/>
              <a:t> NEGATIVA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'MARKET VALUE'!$P$3:$P$28</c:f>
              <c:numCache>
                <c:formatCode>General</c:formatCode>
                <c:ptCount val="26"/>
                <c:pt idx="0">
                  <c:v>1600</c:v>
                </c:pt>
                <c:pt idx="1">
                  <c:v>211</c:v>
                </c:pt>
                <c:pt idx="2">
                  <c:v>67</c:v>
                </c:pt>
                <c:pt idx="3">
                  <c:v>38</c:v>
                </c:pt>
                <c:pt idx="4">
                  <c:v>24</c:v>
                </c:pt>
                <c:pt idx="5">
                  <c:v>14</c:v>
                </c:pt>
                <c:pt idx="6">
                  <c:v>14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2</c:v>
                </c:pt>
                <c:pt idx="11">
                  <c:v>0</c:v>
                </c:pt>
                <c:pt idx="12">
                  <c:v>3</c:v>
                </c:pt>
                <c:pt idx="13">
                  <c:v>4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0-4906-ACC5-4CA34D0B4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226176"/>
        <c:axId val="6506400"/>
      </c:lineChart>
      <c:catAx>
        <c:axId val="1390226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06400"/>
        <c:crosses val="autoZero"/>
        <c:auto val="1"/>
        <c:lblAlgn val="ctr"/>
        <c:lblOffset val="100"/>
        <c:noMultiLvlLbl val="0"/>
      </c:catAx>
      <c:valAx>
        <c:axId val="650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022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BOX-PLOT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BOX-PLOT</a:t>
          </a:r>
        </a:p>
      </cx:txPr>
    </cx:title>
    <cx:plotArea>
      <cx:plotAreaRegion>
        <cx:series layoutId="boxWhisker" uniqueId="{EF3E5FB5-1C5D-4BF9-8689-62C9B13476E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BOX-PLOT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BOX-PLOT</a:t>
          </a:r>
        </a:p>
      </cx:txPr>
    </cx:title>
    <cx:plotArea>
      <cx:plotAreaRegion>
        <cx:series layoutId="boxWhisker" uniqueId="{26427FAA-F4EE-4D35-A266-83D6DCB9E59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Boxplot</a:t>
          </a:r>
        </a:p>
      </cx:txPr>
    </cx:title>
    <cx:plotArea>
      <cx:plotAreaRegion>
        <cx:series layoutId="boxWhisker" uniqueId="{A5C976D5-86B7-4434-807B-FED98AC8CAB4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Boxplot</a:t>
          </a:r>
        </a:p>
      </cx:txPr>
    </cx:title>
    <cx:plotArea>
      <cx:plotAreaRegion>
        <cx:series layoutId="boxWhisker" uniqueId="{54BA2C12-7D46-4D82-A98F-A5965AAF1E4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BOX-PLOT SIN DATOS ANÓMALOS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BOX-PLOT SIN DATOS ANÓMALOS</a:t>
          </a:r>
        </a:p>
      </cx:txPr>
    </cx:title>
    <cx:plotArea>
      <cx:plotAreaRegion>
        <cx:series layoutId="boxWhisker" uniqueId="{3FBDDD20-29A9-41AF-B838-AFF045BBBBC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602498</xdr:colOff>
      <xdr:row>29</xdr:row>
      <xdr:rowOff>76296</xdr:rowOff>
    </xdr:from>
    <xdr:to>
      <xdr:col>31</xdr:col>
      <xdr:colOff>15811</xdr:colOff>
      <xdr:row>47</xdr:row>
      <xdr:rowOff>71853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886940-BD8D-2360-90A4-EA9502C0D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426901</xdr:colOff>
      <xdr:row>30</xdr:row>
      <xdr:rowOff>143018</xdr:rowOff>
    </xdr:from>
    <xdr:to>
      <xdr:col>23</xdr:col>
      <xdr:colOff>426902</xdr:colOff>
      <xdr:row>45</xdr:row>
      <xdr:rowOff>180381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6531253-6300-F3CC-A108-645B67F6F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672556</xdr:colOff>
      <xdr:row>27</xdr:row>
      <xdr:rowOff>148107</xdr:rowOff>
    </xdr:from>
    <xdr:to>
      <xdr:col>16</xdr:col>
      <xdr:colOff>488587</xdr:colOff>
      <xdr:row>42</xdr:row>
      <xdr:rowOff>168608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EFA0764-4EB7-0AFA-4920-A5A9FE837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214824</xdr:colOff>
      <xdr:row>27</xdr:row>
      <xdr:rowOff>21688</xdr:rowOff>
    </xdr:from>
    <xdr:to>
      <xdr:col>9</xdr:col>
      <xdr:colOff>765711</xdr:colOff>
      <xdr:row>41</xdr:row>
      <xdr:rowOff>167542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634EC00-2F0D-F083-EACD-CFD262B55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251555</xdr:colOff>
      <xdr:row>27</xdr:row>
      <xdr:rowOff>26768</xdr:rowOff>
    </xdr:from>
    <xdr:to>
      <xdr:col>9</xdr:col>
      <xdr:colOff>797362</xdr:colOff>
      <xdr:row>41</xdr:row>
      <xdr:rowOff>162462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59A23BC-9857-E828-4F41-0F5069390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156681</xdr:colOff>
      <xdr:row>86</xdr:row>
      <xdr:rowOff>75259</xdr:rowOff>
    </xdr:from>
    <xdr:to>
      <xdr:col>13</xdr:col>
      <xdr:colOff>766704</xdr:colOff>
      <xdr:row>97</xdr:row>
      <xdr:rowOff>52916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1EA2A01-477C-6E8E-159E-2A00D039F6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8281" y="15802939"/>
              <a:ext cx="3833283" cy="19893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243840</xdr:colOff>
      <xdr:row>20</xdr:row>
      <xdr:rowOff>91440</xdr:rowOff>
    </xdr:from>
    <xdr:to>
      <xdr:col>10</xdr:col>
      <xdr:colOff>294640</xdr:colOff>
      <xdr:row>33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B819E8-C091-8FDF-3E01-68E25ED87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647700</xdr:colOff>
      <xdr:row>33</xdr:row>
      <xdr:rowOff>133350</xdr:rowOff>
    </xdr:from>
    <xdr:to>
      <xdr:col>15</xdr:col>
      <xdr:colOff>120650</xdr:colOff>
      <xdr:row>43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C21A770-F487-5A34-2345-4C32CF6B52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03080" y="6351270"/>
              <a:ext cx="343535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238125</xdr:colOff>
      <xdr:row>36</xdr:row>
      <xdr:rowOff>41275</xdr:rowOff>
    </xdr:from>
    <xdr:to>
      <xdr:col>22</xdr:col>
      <xdr:colOff>238125</xdr:colOff>
      <xdr:row>51</xdr:row>
      <xdr:rowOff>22224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BC56628E-508F-3F64-5462-6011BFF0B9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15785" y="6624955"/>
              <a:ext cx="4754880" cy="2724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40</xdr:col>
      <xdr:colOff>657451</xdr:colOff>
      <xdr:row>5</xdr:row>
      <xdr:rowOff>13435</xdr:rowOff>
    </xdr:from>
    <xdr:to>
      <xdr:col>45</xdr:col>
      <xdr:colOff>161155</xdr:colOff>
      <xdr:row>20</xdr:row>
      <xdr:rowOff>55784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573A5C8-9F0C-F5E6-35C9-0F4D01D29D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211091" y="927835"/>
              <a:ext cx="5035824" cy="2785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</xdr:col>
      <xdr:colOff>618065</xdr:colOff>
      <xdr:row>67</xdr:row>
      <xdr:rowOff>186264</xdr:rowOff>
    </xdr:from>
    <xdr:to>
      <xdr:col>5</xdr:col>
      <xdr:colOff>1024466</xdr:colOff>
      <xdr:row>81</xdr:row>
      <xdr:rowOff>76198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19161517-2D8C-0243-2ADF-6BD9D35C4A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9785" y="12439224"/>
              <a:ext cx="4315461" cy="2450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olf" refreshedDate="45275.710115624999" createdVersion="8" refreshedVersion="8" minRefreshableVersion="3" recordCount="2001" xr:uid="{CCB01B69-7065-4C7A-88F1-95B79DB1A292}">
  <cacheSource type="worksheet">
    <worksheetSource ref="A1:B1048576" sheet="MARKET VALUE"/>
  </cacheSource>
  <cacheFields count="2">
    <cacheField name="marketvalue" numFmtId="0">
      <sharedItems containsString="0" containsBlank="1" containsNumber="1" minValue="0.02" maxValue="328.54" count="1195">
        <n v="328.54"/>
        <n v="287.02"/>
        <n v="285.27"/>
        <n v="277.02"/>
        <n v="255.3"/>
        <n v="243.74"/>
        <n v="196.87"/>
        <n v="194.87"/>
        <n v="177.96"/>
        <n v="174.61"/>
        <n v="173.54"/>
        <n v="171.54"/>
        <n v="166.09"/>
        <n v="163.44999999999999"/>
        <n v="160.96"/>
        <n v="141.13999999999999"/>
        <n v="131.88999999999999"/>
        <n v="125.37"/>
        <n v="124.79"/>
        <n v="117.55"/>
        <n v="116.64"/>
        <n v="116.43"/>
        <n v="115.4"/>
        <n v="111.02"/>
        <n v="108.76"/>
        <n v="106.55"/>
        <n v="104.3"/>
        <n v="103.97"/>
        <n v="97.53"/>
        <n v="95.38"/>
        <n v="92.49"/>
        <n v="90.49"/>
        <n v="90.21"/>
        <n v="88.46"/>
        <n v="86.73"/>
        <n v="86.39"/>
        <n v="85.07"/>
        <n v="84.18"/>
        <n v="83.03"/>
        <n v="83.02"/>
        <n v="82.93"/>
        <n v="82.53"/>
        <n v="82.29"/>
        <n v="81.94"/>
        <n v="79.62"/>
        <n v="77.95"/>
        <n v="76.84"/>
        <n v="76.13"/>
        <n v="75.77"/>
        <n v="73"/>
        <n v="72.72"/>
        <n v="72.19"/>
        <n v="72.09"/>
        <n v="70.2"/>
        <n v="69.27"/>
        <n v="68.89"/>
        <n v="68.66"/>
        <n v="67.3"/>
        <n v="67.08"/>
        <n v="64.81"/>
        <n v="64.36"/>
        <n v="62.98"/>
        <n v="62.48"/>
        <n v="62.35"/>
        <n v="61.33"/>
        <n v="59.29"/>
        <n v="58.41"/>
        <n v="58.38"/>
        <n v="57.52"/>
        <n v="57.43"/>
        <n v="57.38"/>
        <n v="56.78"/>
        <n v="56.46"/>
        <n v="56.35"/>
        <n v="56.05"/>
        <n v="55.43"/>
        <n v="55.06"/>
        <n v="54.59"/>
        <n v="54.1"/>
        <n v="54.08"/>
        <n v="53.25"/>
        <n v="52.88"/>
        <n v="52.87"/>
        <n v="51.88"/>
        <n v="50.23"/>
        <n v="50.12"/>
        <n v="50.09"/>
        <n v="49.92"/>
        <n v="48.77"/>
        <n v="48.11"/>
        <n v="48.07"/>
        <n v="47.43"/>
        <n v="47.19"/>
        <n v="47.18"/>
        <n v="46.84"/>
        <n v="46.72"/>
        <n v="46.57"/>
        <n v="46.45"/>
        <n v="45.29"/>
        <n v="44.67"/>
        <n v="44.32"/>
        <n v="44.31"/>
        <n v="44.25"/>
        <n v="44.13"/>
        <n v="44.06"/>
        <n v="43.96"/>
        <n v="43.52"/>
        <n v="42.84"/>
        <n v="42.34"/>
        <n v="41.71"/>
        <n v="41.58"/>
        <n v="41.39"/>
        <n v="41.3"/>
        <n v="40.61"/>
        <n v="40.08"/>
        <n v="39.85"/>
        <n v="39.81"/>
        <n v="39.69"/>
        <n v="39.29"/>
        <n v="39.11"/>
        <n v="38.799999999999997"/>
        <n v="38"/>
        <n v="37.96"/>
        <n v="37.67"/>
        <n v="37.520000000000003"/>
        <n v="37.49"/>
        <n v="37.479999999999997"/>
        <n v="37.19"/>
        <n v="36.61"/>
        <n v="36.51"/>
        <n v="36.28"/>
        <n v="35.71"/>
        <n v="35.54"/>
        <n v="35.520000000000003"/>
        <n v="35.380000000000003"/>
        <n v="35.33"/>
        <n v="35.270000000000003"/>
        <n v="35.11"/>
        <n v="35.01"/>
        <n v="34.9"/>
        <n v="34.08"/>
        <n v="33.99"/>
        <n v="33.799999999999997"/>
        <n v="33.53"/>
        <n v="33.49"/>
        <n v="33.020000000000003"/>
        <n v="32.9"/>
        <n v="32.74"/>
        <n v="32.69"/>
        <n v="32.14"/>
        <n v="31.95"/>
        <n v="31.87"/>
        <n v="31.82"/>
        <n v="31.39"/>
        <n v="31.33"/>
        <n v="31.06"/>
        <n v="30.87"/>
        <n v="30.63"/>
        <n v="30.59"/>
        <n v="30.5"/>
        <n v="30.19"/>
        <n v="30"/>
        <n v="29.92"/>
        <n v="29.81"/>
        <n v="29.56"/>
        <n v="29.12"/>
        <n v="29.06"/>
        <n v="29.03"/>
        <n v="28.73"/>
        <n v="28.31"/>
        <n v="27.86"/>
        <n v="27.47"/>
        <n v="27.28"/>
        <n v="27.26"/>
        <n v="27.05"/>
        <n v="26.88"/>
        <n v="26.83"/>
        <n v="26.63"/>
        <n v="26.46"/>
        <n v="26.34"/>
        <n v="26.29"/>
        <n v="26.26"/>
        <n v="26.22"/>
        <n v="25.96"/>
        <n v="25.86"/>
        <n v="25.27"/>
        <n v="24.92"/>
        <n v="24.6"/>
        <n v="24.44"/>
        <n v="24.29"/>
        <n v="24.28"/>
        <n v="24.11"/>
        <n v="24.02"/>
        <n v="23.96"/>
        <n v="23.85"/>
        <n v="23.76"/>
        <n v="23.73"/>
        <n v="23.71"/>
        <n v="23.56"/>
        <n v="23.55"/>
        <n v="23.49"/>
        <n v="23.44"/>
        <n v="23.4"/>
        <n v="23.37"/>
        <n v="23.26"/>
        <n v="23.08"/>
        <n v="23.01"/>
        <n v="22.97"/>
        <n v="22.96"/>
        <n v="22.72"/>
        <n v="22.63"/>
        <n v="22.51"/>
        <n v="22.35"/>
        <n v="22.29"/>
        <n v="22.27"/>
        <n v="22.26"/>
        <n v="22.05"/>
        <n v="22.04"/>
        <n v="21.9"/>
        <n v="21.83"/>
        <n v="21.65"/>
        <n v="21.64"/>
        <n v="21.63"/>
        <n v="21.6"/>
        <n v="21.51"/>
        <n v="21.44"/>
        <n v="21.36"/>
        <n v="21.22"/>
        <n v="21.1"/>
        <n v="21.09"/>
        <n v="21.07"/>
        <n v="20.96"/>
        <n v="20.85"/>
        <n v="20.8"/>
        <n v="20.66"/>
        <n v="20.65"/>
        <n v="20.64"/>
        <n v="20.61"/>
        <n v="20.56"/>
        <n v="20.48"/>
        <n v="20.46"/>
        <n v="20.440000000000001"/>
        <n v="20.43"/>
        <n v="20.2"/>
        <n v="20.149999999999999"/>
        <n v="20.14"/>
        <n v="20.07"/>
        <n v="19.73"/>
        <n v="19.64"/>
        <n v="19.510000000000002"/>
        <n v="19.46"/>
        <n v="19.41"/>
        <n v="19.100000000000001"/>
        <n v="19.03"/>
        <n v="18.989999999999998"/>
        <n v="18.98"/>
        <n v="18.87"/>
        <n v="18.86"/>
        <n v="18.84"/>
        <n v="18.829999999999998"/>
        <n v="18.78"/>
        <n v="18.739999999999998"/>
        <n v="18.73"/>
        <n v="18.71"/>
        <n v="18.559999999999999"/>
        <n v="18.510000000000002"/>
        <n v="18.46"/>
        <n v="18.399999999999999"/>
        <n v="18.39"/>
        <n v="18.36"/>
        <n v="18.27"/>
        <n v="18.21"/>
        <n v="18.170000000000002"/>
        <n v="18.100000000000001"/>
        <n v="17.989999999999998"/>
        <n v="17.95"/>
        <n v="17.8"/>
        <n v="17.79"/>
        <n v="17.64"/>
        <n v="17.559999999999999"/>
        <n v="17.55"/>
        <n v="17.420000000000002"/>
        <n v="17.32"/>
        <n v="17.23"/>
        <n v="17.22"/>
        <n v="17.21"/>
        <n v="17.2"/>
        <n v="17.170000000000002"/>
        <n v="17.09"/>
        <n v="17.079999999999998"/>
        <n v="17.07"/>
        <n v="16.96"/>
        <n v="16.91"/>
        <n v="16.88"/>
        <n v="16.87"/>
        <n v="16.809999999999999"/>
        <n v="16.77"/>
        <n v="16.670000000000002"/>
        <n v="16.600000000000001"/>
        <n v="16.579999999999998"/>
        <n v="16.55"/>
        <n v="16.54"/>
        <n v="16.39"/>
        <n v="16.34"/>
        <n v="16.32"/>
        <n v="16.28"/>
        <n v="16.18"/>
        <n v="16.07"/>
        <n v="15.99"/>
        <n v="15.89"/>
        <n v="15.88"/>
        <n v="15.84"/>
        <n v="15.82"/>
        <n v="15.79"/>
        <n v="15.77"/>
        <n v="15.75"/>
        <n v="15.67"/>
        <n v="15.59"/>
        <n v="15.47"/>
        <n v="15.42"/>
        <n v="15.39"/>
        <n v="15.13"/>
        <n v="15.04"/>
        <n v="15"/>
        <n v="14.91"/>
        <n v="14.84"/>
        <n v="14.81"/>
        <n v="14.69"/>
        <n v="14.66"/>
        <n v="14.65"/>
        <n v="14.63"/>
        <n v="14.54"/>
        <n v="14.49"/>
        <n v="14.48"/>
        <n v="14.46"/>
        <n v="14.44"/>
        <n v="14.42"/>
        <n v="14.38"/>
        <n v="14.31"/>
        <n v="14.25"/>
        <n v="14.21"/>
        <n v="14.17"/>
        <n v="14.12"/>
        <n v="14.09"/>
        <n v="14.05"/>
        <n v="14.02"/>
        <n v="13.98"/>
        <n v="13.95"/>
        <n v="13.93"/>
        <n v="13.86"/>
        <n v="13.68"/>
        <n v="13.63"/>
        <n v="13.57"/>
        <n v="13.52"/>
        <n v="13.5"/>
        <n v="13.46"/>
        <n v="13.43"/>
        <n v="13.41"/>
        <n v="13.38"/>
        <n v="13.37"/>
        <n v="13.3"/>
        <n v="13.29"/>
        <n v="13.28"/>
        <n v="13.27"/>
        <n v="13.23"/>
        <n v="13.22"/>
        <n v="13.21"/>
        <n v="13.19"/>
        <n v="13.18"/>
        <n v="13.17"/>
        <n v="13.07"/>
        <n v="13.01"/>
        <n v="12.93"/>
        <n v="12.92"/>
        <n v="12.9"/>
        <n v="12.86"/>
        <n v="12.84"/>
        <n v="12.82"/>
        <n v="12.81"/>
        <n v="12.8"/>
        <n v="12.77"/>
        <n v="12.76"/>
        <n v="12.74"/>
        <n v="12.72"/>
        <n v="12.71"/>
        <n v="12.64"/>
        <n v="12.6"/>
        <n v="12.52"/>
        <n v="12.51"/>
        <n v="12.49"/>
        <n v="12.41"/>
        <n v="12.38"/>
        <n v="12.37"/>
        <n v="12.36"/>
        <n v="12.35"/>
        <n v="12.34"/>
        <n v="12.32"/>
        <n v="12.31"/>
        <n v="12.3"/>
        <n v="12.22"/>
        <n v="12.16"/>
        <n v="12.12"/>
        <n v="12.09"/>
        <n v="12.03"/>
        <n v="11.99"/>
        <n v="11.98"/>
        <n v="11.95"/>
        <n v="11.93"/>
        <n v="11.89"/>
        <n v="11.86"/>
        <n v="11.84"/>
        <n v="11.82"/>
        <n v="11.81"/>
        <n v="11.74"/>
        <n v="11.73"/>
        <n v="11.72"/>
        <n v="11.71"/>
        <n v="11.7"/>
        <n v="11.69"/>
        <n v="11.64"/>
        <n v="11.62"/>
        <n v="11.61"/>
        <n v="11.56"/>
        <n v="11.55"/>
        <n v="11.54"/>
        <n v="11.51"/>
        <n v="11.49"/>
        <n v="11.46"/>
        <n v="11.43"/>
        <n v="11.38"/>
        <n v="11.37"/>
        <n v="11.35"/>
        <n v="11.31"/>
        <n v="11.28"/>
        <n v="11.24"/>
        <n v="11.19"/>
        <n v="11.16"/>
        <n v="11.14"/>
        <n v="11.12"/>
        <n v="11.1"/>
        <n v="11.02"/>
        <n v="11"/>
        <n v="10.99"/>
        <n v="10.98"/>
        <n v="10.93"/>
        <n v="10.92"/>
        <n v="10.79"/>
        <n v="10.78"/>
        <n v="10.76"/>
        <n v="10.75"/>
        <n v="10.74"/>
        <n v="10.73"/>
        <n v="10.69"/>
        <n v="10.67"/>
        <n v="10.64"/>
        <n v="10.63"/>
        <n v="10.61"/>
        <n v="10.6"/>
        <n v="10.51"/>
        <n v="10.42"/>
        <n v="10.39"/>
        <n v="10.37"/>
        <n v="10.34"/>
        <n v="10.32"/>
        <n v="10.3"/>
        <n v="10.28"/>
        <n v="10.27"/>
        <n v="10.26"/>
        <n v="10.23"/>
        <n v="10.220000000000001"/>
        <n v="10.210000000000001"/>
        <n v="10.17"/>
        <n v="10.16"/>
        <n v="10.11"/>
        <n v="10.08"/>
        <n v="10.07"/>
        <n v="10.039999999999999"/>
        <n v="10.029999999999999"/>
        <n v="9.98"/>
        <n v="9.9499999999999993"/>
        <n v="9.94"/>
        <n v="9.93"/>
        <n v="9.92"/>
        <n v="9.9"/>
        <n v="9.86"/>
        <n v="9.82"/>
        <n v="9.8000000000000007"/>
        <n v="9.7799999999999994"/>
        <n v="9.77"/>
        <n v="9.76"/>
        <n v="9.74"/>
        <n v="9.68"/>
        <n v="9.66"/>
        <n v="9.6300000000000008"/>
        <n v="9.6199999999999992"/>
        <n v="9.61"/>
        <n v="9.6"/>
        <n v="9.59"/>
        <n v="9.58"/>
        <n v="9.57"/>
        <n v="9.56"/>
        <n v="9.5399999999999991"/>
        <n v="9.52"/>
        <n v="9.48"/>
        <n v="9.4700000000000006"/>
        <n v="9.4499999999999993"/>
        <n v="9.44"/>
        <n v="9.43"/>
        <n v="9.3699999999999992"/>
        <n v="9.35"/>
        <n v="9.34"/>
        <n v="9.33"/>
        <n v="9.2899999999999991"/>
        <n v="9.27"/>
        <n v="9.26"/>
        <n v="9.23"/>
        <n v="9.19"/>
        <n v="9.18"/>
        <n v="9.14"/>
        <n v="9.1"/>
        <n v="9.08"/>
        <n v="9.06"/>
        <n v="9.0500000000000007"/>
        <n v="9.0399999999999991"/>
        <n v="9.01"/>
        <n v="8.99"/>
        <n v="8.98"/>
        <n v="8.9499999999999993"/>
        <n v="8.92"/>
        <n v="8.86"/>
        <n v="8.85"/>
        <n v="8.83"/>
        <n v="8.82"/>
        <n v="8.8000000000000007"/>
        <n v="8.7899999999999991"/>
        <n v="8.7799999999999994"/>
        <n v="8.75"/>
        <n v="8.7100000000000009"/>
        <n v="8.68"/>
        <n v="8.67"/>
        <n v="8.66"/>
        <n v="8.6300000000000008"/>
        <n v="8.6"/>
        <n v="8.58"/>
        <n v="8.52"/>
        <n v="8.51"/>
        <n v="8.5"/>
        <n v="8.48"/>
        <n v="8.4600000000000009"/>
        <n v="8.4499999999999993"/>
        <n v="8.44"/>
        <n v="8.43"/>
        <n v="8.42"/>
        <n v="8.39"/>
        <n v="8.3800000000000008"/>
        <n v="8.36"/>
        <n v="8.35"/>
        <n v="8.33"/>
        <n v="8.32"/>
        <n v="8.3000000000000007"/>
        <n v="8.2899999999999991"/>
        <n v="8.2799999999999994"/>
        <n v="8.27"/>
        <n v="8.25"/>
        <n v="8.24"/>
        <n v="8.23"/>
        <n v="8.2200000000000006"/>
        <n v="8.1999999999999993"/>
        <n v="8.17"/>
        <n v="8.15"/>
        <n v="8.1199999999999992"/>
        <n v="8.11"/>
        <n v="8.1"/>
        <n v="8.09"/>
        <n v="8.08"/>
        <n v="8.07"/>
        <n v="8.06"/>
        <n v="8.0500000000000007"/>
        <n v="8.0399999999999991"/>
        <n v="8.01"/>
        <n v="8"/>
        <n v="7.96"/>
        <n v="7.91"/>
        <n v="7.9"/>
        <n v="7.89"/>
        <n v="7.86"/>
        <n v="7.85"/>
        <n v="7.81"/>
        <n v="7.8"/>
        <n v="7.79"/>
        <n v="7.78"/>
        <n v="7.77"/>
        <n v="7.76"/>
        <n v="7.75"/>
        <n v="7.74"/>
        <n v="7.71"/>
        <n v="7.7"/>
        <n v="7.69"/>
        <n v="7.68"/>
        <n v="7.65"/>
        <n v="7.64"/>
        <n v="7.62"/>
        <n v="7.6"/>
        <n v="7.59"/>
        <n v="7.58"/>
        <n v="7.57"/>
        <n v="7.56"/>
        <n v="7.55"/>
        <n v="7.54"/>
        <n v="7.53"/>
        <n v="7.51"/>
        <n v="7.5"/>
        <n v="7.49"/>
        <n v="7.48"/>
        <n v="7.45"/>
        <n v="7.43"/>
        <n v="7.42"/>
        <n v="7.4"/>
        <n v="7.38"/>
        <n v="7.37"/>
        <n v="7.35"/>
        <n v="7.34"/>
        <n v="7.33"/>
        <n v="7.32"/>
        <n v="7.31"/>
        <n v="7.24"/>
        <n v="7.17"/>
        <n v="7.16"/>
        <n v="7.15"/>
        <n v="7.14"/>
        <n v="7.12"/>
        <n v="7.11"/>
        <n v="7.1"/>
        <n v="7.09"/>
        <n v="7.08"/>
        <n v="7.07"/>
        <n v="7.06"/>
        <n v="7.05"/>
        <n v="7.04"/>
        <n v="7.03"/>
        <n v="7.02"/>
        <n v="6.95"/>
        <n v="6.94"/>
        <n v="6.93"/>
        <n v="6.92"/>
        <n v="6.91"/>
        <n v="6.9"/>
        <n v="6.89"/>
        <n v="6.88"/>
        <n v="6.85"/>
        <n v="6.84"/>
        <n v="6.83"/>
        <n v="6.8"/>
        <n v="6.79"/>
        <n v="6.76"/>
        <n v="6.74"/>
        <n v="6.73"/>
        <n v="6.71"/>
        <n v="6.7"/>
        <n v="6.69"/>
        <n v="6.68"/>
        <n v="6.67"/>
        <n v="6.65"/>
        <n v="6.64"/>
        <n v="6.63"/>
        <n v="6.62"/>
        <n v="6.61"/>
        <n v="6.6"/>
        <n v="6.58"/>
        <n v="6.56"/>
        <n v="6.55"/>
        <n v="6.54"/>
        <n v="6.53"/>
        <n v="6.52"/>
        <n v="6.49"/>
        <n v="6.48"/>
        <n v="6.47"/>
        <n v="6.46"/>
        <n v="6.45"/>
        <n v="6.44"/>
        <n v="6.42"/>
        <n v="6.41"/>
        <n v="6.38"/>
        <n v="6.37"/>
        <n v="6.36"/>
        <n v="6.35"/>
        <n v="6.34"/>
        <n v="6.32"/>
        <n v="6.31"/>
        <n v="6.29"/>
        <n v="6.27"/>
        <n v="6.24"/>
        <n v="6.22"/>
        <n v="6.2"/>
        <n v="6.17"/>
        <n v="6.16"/>
        <n v="6.15"/>
        <n v="6.14"/>
        <n v="6.13"/>
        <n v="6.12"/>
        <n v="6.11"/>
        <n v="6.1"/>
        <n v="6.08"/>
        <n v="6.07"/>
        <n v="6.06"/>
        <n v="6.04"/>
        <n v="6.02"/>
        <n v="6.01"/>
        <n v="6"/>
        <n v="5.99"/>
        <n v="5.95"/>
        <n v="5.94"/>
        <n v="5.93"/>
        <n v="5.91"/>
        <n v="5.9"/>
        <n v="5.88"/>
        <n v="5.86"/>
        <n v="5.84"/>
        <n v="5.83"/>
        <n v="5.82"/>
        <n v="5.81"/>
        <n v="5.79"/>
        <n v="5.78"/>
        <n v="5.77"/>
        <n v="5.74"/>
        <n v="5.73"/>
        <n v="5.72"/>
        <n v="5.71"/>
        <n v="5.7"/>
        <n v="5.68"/>
        <n v="5.67"/>
        <n v="5.66"/>
        <n v="5.65"/>
        <n v="5.64"/>
        <n v="5.63"/>
        <n v="5.62"/>
        <n v="5.61"/>
        <n v="5.6"/>
        <n v="5.58"/>
        <n v="5.55"/>
        <n v="5.54"/>
        <n v="5.53"/>
        <n v="5.52"/>
        <n v="5.5"/>
        <n v="5.49"/>
        <n v="5.48"/>
        <n v="5.47"/>
        <n v="5.46"/>
        <n v="5.44"/>
        <n v="5.43"/>
        <n v="5.42"/>
        <n v="5.4"/>
        <n v="5.39"/>
        <n v="5.36"/>
        <n v="5.35"/>
        <n v="5.33"/>
        <n v="5.32"/>
        <n v="5.31"/>
        <n v="5.3"/>
        <n v="5.29"/>
        <n v="5.26"/>
        <n v="5.25"/>
        <n v="5.24"/>
        <n v="5.22"/>
        <n v="5.21"/>
        <n v="5.2"/>
        <n v="5.19"/>
        <n v="5.17"/>
        <n v="5.16"/>
        <n v="5.15"/>
        <n v="5.14"/>
        <n v="5.1100000000000003"/>
        <n v="5.09"/>
        <n v="5.08"/>
        <n v="5.07"/>
        <n v="5.05"/>
        <n v="5.04"/>
        <n v="5.03"/>
        <n v="5.0199999999999996"/>
        <n v="5.01"/>
        <n v="5"/>
        <n v="4.99"/>
        <n v="4.9800000000000004"/>
        <n v="4.95"/>
        <n v="4.9400000000000004"/>
        <n v="4.93"/>
        <n v="4.92"/>
        <n v="4.91"/>
        <n v="4.87"/>
        <n v="4.8600000000000003"/>
        <n v="4.8499999999999996"/>
        <n v="4.83"/>
        <n v="4.82"/>
        <n v="4.8099999999999996"/>
        <n v="4.8"/>
        <n v="4.79"/>
        <n v="4.78"/>
        <n v="4.7699999999999996"/>
        <n v="4.75"/>
        <n v="4.74"/>
        <n v="4.7300000000000004"/>
        <n v="4.72"/>
        <n v="4.71"/>
        <n v="4.7"/>
        <n v="4.6900000000000004"/>
        <n v="4.68"/>
        <n v="4.66"/>
        <n v="4.6500000000000004"/>
        <n v="4.6399999999999997"/>
        <n v="4.63"/>
        <n v="4.6100000000000003"/>
        <n v="4.5999999999999996"/>
        <n v="4.59"/>
        <n v="4.57"/>
        <n v="4.55"/>
        <n v="4.53"/>
        <n v="4.5199999999999996"/>
        <n v="4.51"/>
        <n v="4.5"/>
        <n v="4.49"/>
        <n v="4.47"/>
        <n v="4.46"/>
        <n v="4.45"/>
        <n v="4.4400000000000004"/>
        <n v="4.43"/>
        <n v="4.42"/>
        <n v="4.41"/>
        <n v="4.4000000000000004"/>
        <n v="4.3899999999999997"/>
        <n v="4.38"/>
        <n v="4.37"/>
        <n v="4.3600000000000003"/>
        <n v="4.3499999999999996"/>
        <n v="4.34"/>
        <n v="4.33"/>
        <n v="4.32"/>
        <n v="4.3099999999999996"/>
        <n v="4.3"/>
        <n v="4.29"/>
        <n v="4.28"/>
        <n v="4.26"/>
        <n v="4.25"/>
        <n v="4.24"/>
        <n v="4.2300000000000004"/>
        <n v="4.22"/>
        <n v="4.21"/>
        <n v="4.1900000000000004"/>
        <n v="4.18"/>
        <n v="4.17"/>
        <n v="4.1399999999999997"/>
        <n v="4.13"/>
        <n v="4.12"/>
        <n v="4.1100000000000003"/>
        <n v="4.09"/>
        <n v="4.08"/>
        <n v="4.07"/>
        <n v="4.05"/>
        <n v="4.04"/>
        <n v="4.03"/>
        <n v="4.0199999999999996"/>
        <n v="3.99"/>
        <n v="3.97"/>
        <n v="3.96"/>
        <n v="3.95"/>
        <n v="3.94"/>
        <n v="3.93"/>
        <n v="3.92"/>
        <n v="3.91"/>
        <n v="3.89"/>
        <n v="3.88"/>
        <n v="3.85"/>
        <n v="3.84"/>
        <n v="3.83"/>
        <n v="3.82"/>
        <n v="3.81"/>
        <n v="3.8"/>
        <n v="3.79"/>
        <n v="3.78"/>
        <n v="3.77"/>
        <n v="3.76"/>
        <n v="3.75"/>
        <n v="3.74"/>
        <n v="3.72"/>
        <n v="3.71"/>
        <n v="3.7"/>
        <n v="3.69"/>
        <n v="3.68"/>
        <n v="3.67"/>
        <n v="3.66"/>
        <n v="3.65"/>
        <n v="3.64"/>
        <n v="3.62"/>
        <n v="3.61"/>
        <n v="3.6"/>
        <n v="3.59"/>
        <n v="3.58"/>
        <n v="3.57"/>
        <n v="3.56"/>
        <n v="3.55"/>
        <n v="3.54"/>
        <n v="3.53"/>
        <n v="3.51"/>
        <n v="3.5"/>
        <n v="3.49"/>
        <n v="3.48"/>
        <n v="3.47"/>
        <n v="3.46"/>
        <n v="3.45"/>
        <n v="3.44"/>
        <n v="3.43"/>
        <n v="3.42"/>
        <n v="3.41"/>
        <n v="3.4"/>
        <n v="3.39"/>
        <n v="3.38"/>
        <n v="3.37"/>
        <n v="3.36"/>
        <n v="3.35"/>
        <n v="3.34"/>
        <n v="3.33"/>
        <n v="3.32"/>
        <n v="3.31"/>
        <n v="3.3"/>
        <n v="3.29"/>
        <n v="3.28"/>
        <n v="3.27"/>
        <n v="3.26"/>
        <n v="3.25"/>
        <n v="3.24"/>
        <n v="3.23"/>
        <n v="3.22"/>
        <n v="3.21"/>
        <n v="3.2"/>
        <n v="3.19"/>
        <n v="3.18"/>
        <n v="3.17"/>
        <n v="3.16"/>
        <n v="3.15"/>
        <n v="3.14"/>
        <n v="3.13"/>
        <n v="3.12"/>
        <n v="3.11"/>
        <n v="3.1"/>
        <n v="3.09"/>
        <n v="3.08"/>
        <n v="3.07"/>
        <n v="3.05"/>
        <n v="3.04"/>
        <n v="3.03"/>
        <n v="3.02"/>
        <n v="3.01"/>
        <n v="3"/>
        <n v="2.99"/>
        <n v="2.98"/>
        <n v="2.97"/>
        <n v="2.96"/>
        <n v="2.95"/>
        <n v="2.94"/>
        <n v="2.93"/>
        <n v="2.92"/>
        <n v="2.91"/>
        <n v="2.9"/>
        <n v="2.89"/>
        <n v="2.88"/>
        <n v="2.87"/>
        <n v="2.86"/>
        <n v="2.85"/>
        <n v="2.84"/>
        <n v="2.83"/>
        <n v="2.82"/>
        <n v="2.8"/>
        <n v="2.79"/>
        <n v="2.78"/>
        <n v="2.77"/>
        <n v="2.76"/>
        <n v="2.75"/>
        <n v="2.74"/>
        <n v="2.73"/>
        <n v="2.72"/>
        <n v="2.71"/>
        <n v="2.7"/>
        <n v="2.69"/>
        <n v="2.68"/>
        <n v="2.67"/>
        <n v="2.66"/>
        <n v="2.65"/>
        <n v="2.64"/>
        <n v="2.63"/>
        <n v="2.62"/>
        <n v="2.61"/>
        <n v="2.6"/>
        <n v="2.59"/>
        <n v="2.58"/>
        <n v="2.57"/>
        <n v="2.56"/>
        <n v="2.5499999999999998"/>
        <n v="2.54"/>
        <n v="2.5299999999999998"/>
        <n v="2.52"/>
        <n v="2.5099999999999998"/>
        <n v="2.5"/>
        <n v="2.4900000000000002"/>
        <n v="2.48"/>
        <n v="2.4700000000000002"/>
        <n v="2.46"/>
        <n v="2.4500000000000002"/>
        <n v="2.4300000000000002"/>
        <n v="2.42"/>
        <n v="2.41"/>
        <n v="2.4"/>
        <n v="2.39"/>
        <n v="2.38"/>
        <n v="2.37"/>
        <n v="2.36"/>
        <n v="2.34"/>
        <n v="2.33"/>
        <n v="2.3199999999999998"/>
        <n v="2.31"/>
        <n v="2.2999999999999998"/>
        <n v="2.2799999999999998"/>
        <n v="2.2599999999999998"/>
        <n v="2.25"/>
        <n v="2.2400000000000002"/>
        <n v="2.23"/>
        <n v="2.2200000000000002"/>
        <n v="2.21"/>
        <n v="2.2000000000000002"/>
        <n v="2.19"/>
        <n v="2.1800000000000002"/>
        <n v="2.17"/>
        <n v="2.16"/>
        <n v="2.15"/>
        <n v="2.13"/>
        <n v="2.12"/>
        <n v="2.1"/>
        <n v="2.09"/>
        <n v="2.08"/>
        <n v="2.0699999999999998"/>
        <n v="2.06"/>
        <n v="2.0499999999999998"/>
        <n v="2.0299999999999998"/>
        <n v="2.02"/>
        <n v="2.0099999999999998"/>
        <n v="1.99"/>
        <n v="1.98"/>
        <n v="1.97"/>
        <n v="1.96"/>
        <n v="1.94"/>
        <n v="1.92"/>
        <n v="1.9"/>
        <n v="1.89"/>
        <n v="1.87"/>
        <n v="1.86"/>
        <n v="1.85"/>
        <n v="1.84"/>
        <n v="1.82"/>
        <n v="1.8"/>
        <n v="1.79"/>
        <n v="1.78"/>
        <n v="1.77"/>
        <n v="1.76"/>
        <n v="1.75"/>
        <n v="1.74"/>
        <n v="1.73"/>
        <n v="1.72"/>
        <n v="1.71"/>
        <n v="1.7"/>
        <n v="1.69"/>
        <n v="1.67"/>
        <n v="1.66"/>
        <n v="1.65"/>
        <n v="1.63"/>
        <n v="1.62"/>
        <n v="1.61"/>
        <n v="1.6"/>
        <n v="1.57"/>
        <n v="1.56"/>
        <n v="1.55"/>
        <n v="1.54"/>
        <n v="1.53"/>
        <n v="1.52"/>
        <n v="1.51"/>
        <n v="1.5"/>
        <n v="1.49"/>
        <n v="1.48"/>
        <n v="1.47"/>
        <n v="1.46"/>
        <n v="1.44"/>
        <n v="1.43"/>
        <n v="1.42"/>
        <n v="1.4"/>
        <n v="1.39"/>
        <n v="1.37"/>
        <n v="1.36"/>
        <n v="1.35"/>
        <n v="1.34"/>
        <n v="1.33"/>
        <n v="1.32"/>
        <n v="1.31"/>
        <n v="1.28"/>
        <n v="1.26"/>
        <n v="1.24"/>
        <n v="1.22"/>
        <n v="1.21"/>
        <n v="1.19"/>
        <n v="1.18"/>
        <n v="1.17"/>
        <n v="1.1599999999999999"/>
        <n v="1.1499999999999999"/>
        <n v="1.1399999999999999"/>
        <n v="1.1299999999999999"/>
        <n v="1.1200000000000001"/>
        <n v="1.0900000000000001"/>
        <n v="1.08"/>
        <n v="1.07"/>
        <n v="1.06"/>
        <n v="1.04"/>
        <n v="1.03"/>
        <n v="1.02"/>
        <n v="1.01"/>
        <n v="1"/>
        <n v="0.99"/>
        <n v="0.98"/>
        <n v="0.97"/>
        <n v="0.96"/>
        <n v="0.95"/>
        <n v="0.94"/>
        <n v="0.93"/>
        <n v="0.92"/>
        <n v="0.91"/>
        <n v="0.9"/>
        <n v="0.89"/>
        <n v="0.88"/>
        <n v="0.87"/>
        <n v="0.84"/>
        <n v="0.83"/>
        <n v="0.82"/>
        <n v="0.81"/>
        <n v="0.79"/>
        <n v="0.78"/>
        <n v="0.77"/>
        <n v="0.76"/>
        <n v="0.75"/>
        <n v="0.74"/>
        <n v="0.73"/>
        <n v="0.72"/>
        <n v="0.71"/>
        <n v="0.69"/>
        <n v="0.68"/>
        <n v="0.67"/>
        <n v="0.66"/>
        <n v="0.63"/>
        <n v="0.62"/>
        <n v="0.61"/>
        <n v="0.6"/>
        <n v="0.56999999999999995"/>
        <n v="0.56000000000000005"/>
        <n v="0.55000000000000004"/>
        <n v="0.54"/>
        <n v="0.53"/>
        <n v="0.52"/>
        <n v="0.49"/>
        <n v="0.47"/>
        <n v="0.46"/>
        <n v="0.45"/>
        <n v="0.44"/>
        <n v="0.43"/>
        <n v="0.42"/>
        <n v="0.41"/>
        <n v="0.4"/>
        <n v="0.39"/>
        <n v="0.38"/>
        <n v="0.37"/>
        <n v="0.36"/>
        <n v="0.35"/>
        <n v="0.31"/>
        <n v="0.3"/>
        <n v="0.27"/>
        <n v="0.26"/>
        <n v="0.25"/>
        <n v="0.24"/>
        <n v="0.21"/>
        <n v="0.2"/>
        <n v="0.18"/>
        <n v="0.17"/>
        <n v="0.16"/>
        <n v="0.14000000000000001"/>
        <n v="0.13"/>
        <n v="0.12"/>
        <n v="0.1"/>
        <n v="0.06"/>
        <n v="0.05"/>
        <n v="0.03"/>
        <n v="0.02"/>
        <m/>
      </sharedItems>
    </cacheField>
    <cacheField name="conteo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olf" refreshedDate="45276.784006134258" createdVersion="8" refreshedVersion="8" minRefreshableVersion="3" recordCount="2001" xr:uid="{CAA1B293-1DA5-4EB5-9DF4-28CE94C220F1}">
  <cacheSource type="worksheet">
    <worksheetSource ref="A1:B1048576" sheet="NOMINALES"/>
  </cacheSource>
  <cacheFields count="2">
    <cacheField name="category" numFmtId="0">
      <sharedItems containsBlank="1" count="28">
        <s v="Banking"/>
        <s v="Conglomerates"/>
        <s v="Insurance"/>
        <s v="Oil &amp; gas operations"/>
        <s v="Consumer durables"/>
        <s v="Diversified financials"/>
        <s v="Retailing"/>
        <s v="Technology hardware &amp; equipment"/>
        <s v="Food drink &amp; tobacco"/>
        <s v="Drugs &amp; biotechnology"/>
        <s v="Telecommunications services"/>
        <s v="Software &amp; services"/>
        <s v="Media"/>
        <s v="Household &amp; personal products"/>
        <s v="Semiconductors"/>
        <s v="Utilities"/>
        <s v="Transportation"/>
        <s v="Food markets"/>
        <s v="Chemicals"/>
        <s v="Aerospace &amp; defense"/>
        <s v="Materials"/>
        <s v="Capital goods"/>
        <s v="Business services &amp; supplies"/>
        <s v="Hotels restaurants &amp; leisure"/>
        <s v="Construction"/>
        <s v="Health care equipment &amp; services"/>
        <s v="Trading companies"/>
        <m/>
      </sharedItems>
    </cacheField>
    <cacheField name="conteo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olf" refreshedDate="45276.873358333331" createdVersion="8" refreshedVersion="8" minRefreshableVersion="3" recordCount="2001" xr:uid="{35D42BBD-B845-43B4-83D7-5DB6AB8FE727}">
  <cacheSource type="worksheet">
    <worksheetSource ref="AH1:AI1048576" sheet="NOMINALES"/>
  </cacheSource>
  <cacheFields count="2">
    <cacheField name="country" numFmtId="0">
      <sharedItems containsBlank="1" count="62">
        <s v="United States"/>
        <s v="United Kingdom"/>
        <s v="Japan"/>
        <s v="Switzerland"/>
        <s v="Netherlands"/>
        <s v="Netherlands/ United Kingdom"/>
        <s v="France"/>
        <s v="Germany"/>
        <s v="Italy"/>
        <s v="Spain"/>
        <s v="South Korea"/>
        <s v="China"/>
        <s v="Bermuda"/>
        <s v="Canada"/>
        <s v="Finland"/>
        <s v="Australia"/>
        <s v="Russia"/>
        <s v="Belgium"/>
        <s v="Kong/China"/>
        <s v="Norway"/>
        <s v="Australia/ United Kingdom"/>
        <s v="Brazil"/>
        <s v="Denmark"/>
        <s v="Sweden"/>
        <s v="Hong Kong/China"/>
        <s v="United Kingdom/ Australia"/>
        <s v="Ireland"/>
        <s v="India"/>
        <s v="Panama/ United Kingdom"/>
        <s v="Taiwan"/>
        <s v="Singapore"/>
        <s v="South Africa"/>
        <s v="Austria"/>
        <s v="Mexico"/>
        <s v="Portugal"/>
        <s v="Thailand"/>
        <s v="Malaysia"/>
        <s v="Turkey"/>
        <s v="Greece"/>
        <s v="Luxembourg"/>
        <s v="Islands"/>
        <s v="Liberia"/>
        <s v="Indonesia"/>
        <s v="Israel"/>
        <s v="United Kingdom/ Netherlands"/>
        <s v="New Zealand"/>
        <s v="Africa"/>
        <s v="Chile"/>
        <s v="Jordan"/>
        <s v="Hungary"/>
        <s v="Korea"/>
        <s v="Poland"/>
        <s v="Cayman Islands"/>
        <s v="Czech Republic"/>
        <s v="Pakistan"/>
        <s v="United Kingdom/ South Africa"/>
        <s v="France/ United Kingdom"/>
        <s v="Philippines"/>
        <s v="Bahamas"/>
        <s v="Venezuela"/>
        <s v="Peru"/>
        <m/>
      </sharedItems>
    </cacheField>
    <cacheField name="conteo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6"/>
    <n v="1"/>
  </r>
  <r>
    <x v="57"/>
    <n v="1"/>
  </r>
  <r>
    <x v="58"/>
    <n v="1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1"/>
  </r>
  <r>
    <x v="66"/>
    <n v="1"/>
  </r>
  <r>
    <x v="67"/>
    <n v="1"/>
  </r>
  <r>
    <x v="68"/>
    <n v="1"/>
  </r>
  <r>
    <x v="69"/>
    <n v="1"/>
  </r>
  <r>
    <x v="70"/>
    <n v="1"/>
  </r>
  <r>
    <x v="71"/>
    <n v="1"/>
  </r>
  <r>
    <x v="72"/>
    <n v="1"/>
  </r>
  <r>
    <x v="73"/>
    <n v="1"/>
  </r>
  <r>
    <x v="74"/>
    <n v="1"/>
  </r>
  <r>
    <x v="75"/>
    <n v="1"/>
  </r>
  <r>
    <x v="76"/>
    <n v="1"/>
  </r>
  <r>
    <x v="77"/>
    <n v="1"/>
  </r>
  <r>
    <x v="78"/>
    <n v="1"/>
  </r>
  <r>
    <x v="79"/>
    <n v="1"/>
  </r>
  <r>
    <x v="80"/>
    <n v="1"/>
  </r>
  <r>
    <x v="81"/>
    <n v="1"/>
  </r>
  <r>
    <x v="82"/>
    <n v="1"/>
  </r>
  <r>
    <x v="83"/>
    <n v="1"/>
  </r>
  <r>
    <x v="84"/>
    <n v="1"/>
  </r>
  <r>
    <x v="85"/>
    <n v="1"/>
  </r>
  <r>
    <x v="86"/>
    <n v="1"/>
  </r>
  <r>
    <x v="87"/>
    <n v="1"/>
  </r>
  <r>
    <x v="88"/>
    <n v="1"/>
  </r>
  <r>
    <x v="89"/>
    <n v="1"/>
  </r>
  <r>
    <x v="90"/>
    <n v="1"/>
  </r>
  <r>
    <x v="91"/>
    <n v="1"/>
  </r>
  <r>
    <x v="92"/>
    <n v="1"/>
  </r>
  <r>
    <x v="93"/>
    <n v="1"/>
  </r>
  <r>
    <x v="94"/>
    <n v="1"/>
  </r>
  <r>
    <x v="95"/>
    <n v="1"/>
  </r>
  <r>
    <x v="96"/>
    <n v="1"/>
  </r>
  <r>
    <x v="97"/>
    <n v="1"/>
  </r>
  <r>
    <x v="98"/>
    <n v="1"/>
  </r>
  <r>
    <x v="99"/>
    <n v="1"/>
  </r>
  <r>
    <x v="100"/>
    <n v="1"/>
  </r>
  <r>
    <x v="101"/>
    <n v="1"/>
  </r>
  <r>
    <x v="102"/>
    <n v="1"/>
  </r>
  <r>
    <x v="103"/>
    <n v="1"/>
  </r>
  <r>
    <x v="104"/>
    <n v="1"/>
  </r>
  <r>
    <x v="105"/>
    <n v="1"/>
  </r>
  <r>
    <x v="106"/>
    <n v="1"/>
  </r>
  <r>
    <x v="107"/>
    <n v="1"/>
  </r>
  <r>
    <x v="108"/>
    <n v="1"/>
  </r>
  <r>
    <x v="109"/>
    <n v="1"/>
  </r>
  <r>
    <x v="110"/>
    <n v="1"/>
  </r>
  <r>
    <x v="111"/>
    <n v="1"/>
  </r>
  <r>
    <x v="112"/>
    <n v="1"/>
  </r>
  <r>
    <x v="113"/>
    <n v="1"/>
  </r>
  <r>
    <x v="113"/>
    <n v="1"/>
  </r>
  <r>
    <x v="114"/>
    <n v="1"/>
  </r>
  <r>
    <x v="115"/>
    <n v="1"/>
  </r>
  <r>
    <x v="116"/>
    <n v="1"/>
  </r>
  <r>
    <x v="117"/>
    <n v="1"/>
  </r>
  <r>
    <x v="118"/>
    <n v="1"/>
  </r>
  <r>
    <x v="119"/>
    <n v="1"/>
  </r>
  <r>
    <x v="120"/>
    <n v="1"/>
  </r>
  <r>
    <x v="121"/>
    <n v="1"/>
  </r>
  <r>
    <x v="122"/>
    <n v="1"/>
  </r>
  <r>
    <x v="122"/>
    <n v="1"/>
  </r>
  <r>
    <x v="123"/>
    <n v="1"/>
  </r>
  <r>
    <x v="124"/>
    <n v="1"/>
  </r>
  <r>
    <x v="125"/>
    <n v="1"/>
  </r>
  <r>
    <x v="126"/>
    <n v="1"/>
  </r>
  <r>
    <x v="127"/>
    <n v="1"/>
  </r>
  <r>
    <x v="128"/>
    <n v="1"/>
  </r>
  <r>
    <x v="129"/>
    <n v="1"/>
  </r>
  <r>
    <x v="130"/>
    <n v="1"/>
  </r>
  <r>
    <x v="131"/>
    <n v="1"/>
  </r>
  <r>
    <x v="132"/>
    <n v="1"/>
  </r>
  <r>
    <x v="133"/>
    <n v="1"/>
  </r>
  <r>
    <x v="134"/>
    <n v="1"/>
  </r>
  <r>
    <x v="135"/>
    <n v="1"/>
  </r>
  <r>
    <x v="136"/>
    <n v="1"/>
  </r>
  <r>
    <x v="137"/>
    <n v="1"/>
  </r>
  <r>
    <x v="138"/>
    <n v="1"/>
  </r>
  <r>
    <x v="139"/>
    <n v="1"/>
  </r>
  <r>
    <x v="140"/>
    <n v="1"/>
  </r>
  <r>
    <x v="141"/>
    <n v="1"/>
  </r>
  <r>
    <x v="142"/>
    <n v="1"/>
  </r>
  <r>
    <x v="143"/>
    <n v="1"/>
  </r>
  <r>
    <x v="144"/>
    <n v="1"/>
  </r>
  <r>
    <x v="145"/>
    <n v="1"/>
  </r>
  <r>
    <x v="146"/>
    <n v="1"/>
  </r>
  <r>
    <x v="147"/>
    <n v="1"/>
  </r>
  <r>
    <x v="148"/>
    <n v="1"/>
  </r>
  <r>
    <x v="149"/>
    <n v="1"/>
  </r>
  <r>
    <x v="150"/>
    <n v="1"/>
  </r>
  <r>
    <x v="151"/>
    <n v="1"/>
  </r>
  <r>
    <x v="152"/>
    <n v="1"/>
  </r>
  <r>
    <x v="153"/>
    <n v="1"/>
  </r>
  <r>
    <x v="154"/>
    <n v="1"/>
  </r>
  <r>
    <x v="155"/>
    <n v="1"/>
  </r>
  <r>
    <x v="156"/>
    <n v="1"/>
  </r>
  <r>
    <x v="157"/>
    <n v="1"/>
  </r>
  <r>
    <x v="158"/>
    <n v="1"/>
  </r>
  <r>
    <x v="159"/>
    <n v="1"/>
  </r>
  <r>
    <x v="160"/>
    <n v="1"/>
  </r>
  <r>
    <x v="161"/>
    <n v="1"/>
  </r>
  <r>
    <x v="162"/>
    <n v="1"/>
  </r>
  <r>
    <x v="163"/>
    <n v="1"/>
  </r>
  <r>
    <x v="164"/>
    <n v="1"/>
  </r>
  <r>
    <x v="165"/>
    <n v="1"/>
  </r>
  <r>
    <x v="166"/>
    <n v="1"/>
  </r>
  <r>
    <x v="167"/>
    <n v="1"/>
  </r>
  <r>
    <x v="168"/>
    <n v="1"/>
  </r>
  <r>
    <x v="169"/>
    <n v="1"/>
  </r>
  <r>
    <x v="170"/>
    <n v="1"/>
  </r>
  <r>
    <x v="171"/>
    <n v="1"/>
  </r>
  <r>
    <x v="172"/>
    <n v="1"/>
  </r>
  <r>
    <x v="173"/>
    <n v="1"/>
  </r>
  <r>
    <x v="173"/>
    <n v="1"/>
  </r>
  <r>
    <x v="174"/>
    <n v="1"/>
  </r>
  <r>
    <x v="175"/>
    <n v="1"/>
  </r>
  <r>
    <x v="176"/>
    <n v="1"/>
  </r>
  <r>
    <x v="177"/>
    <n v="1"/>
  </r>
  <r>
    <x v="177"/>
    <n v="1"/>
  </r>
  <r>
    <x v="178"/>
    <n v="1"/>
  </r>
  <r>
    <x v="179"/>
    <n v="1"/>
  </r>
  <r>
    <x v="180"/>
    <n v="1"/>
  </r>
  <r>
    <x v="181"/>
    <n v="1"/>
  </r>
  <r>
    <x v="182"/>
    <n v="1"/>
  </r>
  <r>
    <x v="183"/>
    <n v="1"/>
  </r>
  <r>
    <x v="184"/>
    <n v="1"/>
  </r>
  <r>
    <x v="185"/>
    <n v="1"/>
  </r>
  <r>
    <x v="186"/>
    <n v="1"/>
  </r>
  <r>
    <x v="187"/>
    <n v="1"/>
  </r>
  <r>
    <x v="188"/>
    <n v="1"/>
  </r>
  <r>
    <x v="189"/>
    <n v="1"/>
  </r>
  <r>
    <x v="190"/>
    <n v="1"/>
  </r>
  <r>
    <x v="191"/>
    <n v="1"/>
  </r>
  <r>
    <x v="192"/>
    <n v="1"/>
  </r>
  <r>
    <x v="193"/>
    <n v="1"/>
  </r>
  <r>
    <x v="194"/>
    <n v="1"/>
  </r>
  <r>
    <x v="195"/>
    <n v="1"/>
  </r>
  <r>
    <x v="196"/>
    <n v="1"/>
  </r>
  <r>
    <x v="197"/>
    <n v="1"/>
  </r>
  <r>
    <x v="198"/>
    <n v="1"/>
  </r>
  <r>
    <x v="199"/>
    <n v="1"/>
  </r>
  <r>
    <x v="199"/>
    <n v="1"/>
  </r>
  <r>
    <x v="200"/>
    <n v="1"/>
  </r>
  <r>
    <x v="201"/>
    <n v="1"/>
  </r>
  <r>
    <x v="202"/>
    <n v="1"/>
  </r>
  <r>
    <x v="203"/>
    <n v="1"/>
  </r>
  <r>
    <x v="204"/>
    <n v="1"/>
  </r>
  <r>
    <x v="205"/>
    <n v="1"/>
  </r>
  <r>
    <x v="206"/>
    <n v="1"/>
  </r>
  <r>
    <x v="207"/>
    <n v="1"/>
  </r>
  <r>
    <x v="208"/>
    <n v="1"/>
  </r>
  <r>
    <x v="209"/>
    <n v="1"/>
  </r>
  <r>
    <x v="210"/>
    <n v="1"/>
  </r>
  <r>
    <x v="211"/>
    <n v="1"/>
  </r>
  <r>
    <x v="212"/>
    <n v="1"/>
  </r>
  <r>
    <x v="213"/>
    <n v="1"/>
  </r>
  <r>
    <x v="214"/>
    <n v="1"/>
  </r>
  <r>
    <x v="215"/>
    <n v="1"/>
  </r>
  <r>
    <x v="216"/>
    <n v="1"/>
  </r>
  <r>
    <x v="217"/>
    <n v="1"/>
  </r>
  <r>
    <x v="218"/>
    <n v="1"/>
  </r>
  <r>
    <x v="219"/>
    <n v="1"/>
  </r>
  <r>
    <x v="220"/>
    <n v="1"/>
  </r>
  <r>
    <x v="220"/>
    <n v="1"/>
  </r>
  <r>
    <x v="221"/>
    <n v="1"/>
  </r>
  <r>
    <x v="222"/>
    <n v="1"/>
  </r>
  <r>
    <x v="223"/>
    <n v="1"/>
  </r>
  <r>
    <x v="224"/>
    <n v="1"/>
  </r>
  <r>
    <x v="225"/>
    <n v="1"/>
  </r>
  <r>
    <x v="226"/>
    <n v="1"/>
  </r>
  <r>
    <x v="227"/>
    <n v="1"/>
  </r>
  <r>
    <x v="228"/>
    <n v="1"/>
  </r>
  <r>
    <x v="229"/>
    <n v="1"/>
  </r>
  <r>
    <x v="230"/>
    <n v="1"/>
  </r>
  <r>
    <x v="231"/>
    <n v="1"/>
  </r>
  <r>
    <x v="232"/>
    <n v="1"/>
  </r>
  <r>
    <x v="233"/>
    <n v="1"/>
  </r>
  <r>
    <x v="234"/>
    <n v="1"/>
  </r>
  <r>
    <x v="235"/>
    <n v="1"/>
  </r>
  <r>
    <x v="236"/>
    <n v="1"/>
  </r>
  <r>
    <x v="237"/>
    <n v="1"/>
  </r>
  <r>
    <x v="238"/>
    <n v="1"/>
  </r>
  <r>
    <x v="239"/>
    <n v="1"/>
  </r>
  <r>
    <x v="240"/>
    <n v="1"/>
  </r>
  <r>
    <x v="241"/>
    <n v="1"/>
  </r>
  <r>
    <x v="242"/>
    <n v="1"/>
  </r>
  <r>
    <x v="242"/>
    <n v="1"/>
  </r>
  <r>
    <x v="243"/>
    <n v="1"/>
  </r>
  <r>
    <x v="244"/>
    <n v="1"/>
  </r>
  <r>
    <x v="245"/>
    <n v="1"/>
  </r>
  <r>
    <x v="246"/>
    <n v="1"/>
  </r>
  <r>
    <x v="247"/>
    <n v="1"/>
  </r>
  <r>
    <x v="248"/>
    <n v="1"/>
  </r>
  <r>
    <x v="249"/>
    <n v="1"/>
  </r>
  <r>
    <x v="250"/>
    <n v="1"/>
  </r>
  <r>
    <x v="251"/>
    <n v="1"/>
  </r>
  <r>
    <x v="252"/>
    <n v="1"/>
  </r>
  <r>
    <x v="253"/>
    <n v="1"/>
  </r>
  <r>
    <x v="254"/>
    <n v="1"/>
  </r>
  <r>
    <x v="255"/>
    <n v="1"/>
  </r>
  <r>
    <x v="256"/>
    <n v="1"/>
  </r>
  <r>
    <x v="257"/>
    <n v="1"/>
  </r>
  <r>
    <x v="258"/>
    <n v="1"/>
  </r>
  <r>
    <x v="259"/>
    <n v="1"/>
  </r>
  <r>
    <x v="260"/>
    <n v="1"/>
  </r>
  <r>
    <x v="261"/>
    <n v="1"/>
  </r>
  <r>
    <x v="262"/>
    <n v="1"/>
  </r>
  <r>
    <x v="263"/>
    <n v="1"/>
  </r>
  <r>
    <x v="264"/>
    <n v="1"/>
  </r>
  <r>
    <x v="265"/>
    <n v="1"/>
  </r>
  <r>
    <x v="266"/>
    <n v="1"/>
  </r>
  <r>
    <x v="267"/>
    <n v="1"/>
  </r>
  <r>
    <x v="268"/>
    <n v="1"/>
  </r>
  <r>
    <x v="269"/>
    <n v="1"/>
  </r>
  <r>
    <x v="270"/>
    <n v="1"/>
  </r>
  <r>
    <x v="271"/>
    <n v="1"/>
  </r>
  <r>
    <x v="271"/>
    <n v="1"/>
  </r>
  <r>
    <x v="272"/>
    <n v="1"/>
  </r>
  <r>
    <x v="272"/>
    <n v="1"/>
  </r>
  <r>
    <x v="273"/>
    <n v="1"/>
  </r>
  <r>
    <x v="274"/>
    <n v="1"/>
  </r>
  <r>
    <x v="275"/>
    <n v="1"/>
  </r>
  <r>
    <x v="276"/>
    <n v="1"/>
  </r>
  <r>
    <x v="277"/>
    <n v="1"/>
  </r>
  <r>
    <x v="278"/>
    <n v="1"/>
  </r>
  <r>
    <x v="279"/>
    <n v="1"/>
  </r>
  <r>
    <x v="280"/>
    <n v="1"/>
  </r>
  <r>
    <x v="281"/>
    <n v="1"/>
  </r>
  <r>
    <x v="281"/>
    <n v="1"/>
  </r>
  <r>
    <x v="282"/>
    <n v="1"/>
  </r>
  <r>
    <x v="283"/>
    <n v="1"/>
  </r>
  <r>
    <x v="284"/>
    <n v="1"/>
  </r>
  <r>
    <x v="285"/>
    <n v="1"/>
  </r>
  <r>
    <x v="286"/>
    <n v="1"/>
  </r>
  <r>
    <x v="287"/>
    <n v="1"/>
  </r>
  <r>
    <x v="287"/>
    <n v="1"/>
  </r>
  <r>
    <x v="288"/>
    <n v="1"/>
  </r>
  <r>
    <x v="289"/>
    <n v="1"/>
  </r>
  <r>
    <x v="290"/>
    <n v="1"/>
  </r>
  <r>
    <x v="291"/>
    <n v="1"/>
  </r>
  <r>
    <x v="292"/>
    <n v="1"/>
  </r>
  <r>
    <x v="293"/>
    <n v="1"/>
  </r>
  <r>
    <x v="294"/>
    <n v="1"/>
  </r>
  <r>
    <x v="295"/>
    <n v="1"/>
  </r>
  <r>
    <x v="296"/>
    <n v="1"/>
  </r>
  <r>
    <x v="297"/>
    <n v="1"/>
  </r>
  <r>
    <x v="298"/>
    <n v="1"/>
  </r>
  <r>
    <x v="299"/>
    <n v="1"/>
  </r>
  <r>
    <x v="300"/>
    <n v="1"/>
  </r>
  <r>
    <x v="301"/>
    <n v="1"/>
  </r>
  <r>
    <x v="302"/>
    <n v="1"/>
  </r>
  <r>
    <x v="303"/>
    <n v="1"/>
  </r>
  <r>
    <x v="304"/>
    <n v="1"/>
  </r>
  <r>
    <x v="305"/>
    <n v="1"/>
  </r>
  <r>
    <x v="306"/>
    <n v="1"/>
  </r>
  <r>
    <x v="307"/>
    <n v="1"/>
  </r>
  <r>
    <x v="308"/>
    <n v="1"/>
  </r>
  <r>
    <x v="309"/>
    <n v="1"/>
  </r>
  <r>
    <x v="309"/>
    <n v="1"/>
  </r>
  <r>
    <x v="310"/>
    <n v="1"/>
  </r>
  <r>
    <x v="311"/>
    <n v="1"/>
  </r>
  <r>
    <x v="311"/>
    <n v="1"/>
  </r>
  <r>
    <x v="312"/>
    <n v="1"/>
  </r>
  <r>
    <x v="313"/>
    <n v="1"/>
  </r>
  <r>
    <x v="314"/>
    <n v="1"/>
  </r>
  <r>
    <x v="315"/>
    <n v="1"/>
  </r>
  <r>
    <x v="315"/>
    <n v="1"/>
  </r>
  <r>
    <x v="316"/>
    <n v="1"/>
  </r>
  <r>
    <x v="317"/>
    <n v="1"/>
  </r>
  <r>
    <x v="318"/>
    <n v="1"/>
  </r>
  <r>
    <x v="319"/>
    <n v="1"/>
  </r>
  <r>
    <x v="320"/>
    <n v="1"/>
  </r>
  <r>
    <x v="321"/>
    <n v="1"/>
  </r>
  <r>
    <x v="322"/>
    <n v="1"/>
  </r>
  <r>
    <x v="323"/>
    <n v="1"/>
  </r>
  <r>
    <x v="324"/>
    <n v="1"/>
  </r>
  <r>
    <x v="325"/>
    <n v="1"/>
  </r>
  <r>
    <x v="325"/>
    <n v="1"/>
  </r>
  <r>
    <x v="326"/>
    <n v="1"/>
  </r>
  <r>
    <x v="327"/>
    <n v="1"/>
  </r>
  <r>
    <x v="328"/>
    <n v="1"/>
  </r>
  <r>
    <x v="329"/>
    <n v="1"/>
  </r>
  <r>
    <x v="330"/>
    <n v="1"/>
  </r>
  <r>
    <x v="331"/>
    <n v="1"/>
  </r>
  <r>
    <x v="331"/>
    <n v="1"/>
  </r>
  <r>
    <x v="332"/>
    <n v="1"/>
  </r>
  <r>
    <x v="333"/>
    <n v="1"/>
  </r>
  <r>
    <x v="334"/>
    <n v="1"/>
  </r>
  <r>
    <x v="335"/>
    <n v="1"/>
  </r>
  <r>
    <x v="336"/>
    <n v="1"/>
  </r>
  <r>
    <x v="337"/>
    <n v="1"/>
  </r>
  <r>
    <x v="337"/>
    <n v="1"/>
  </r>
  <r>
    <x v="338"/>
    <n v="1"/>
  </r>
  <r>
    <x v="339"/>
    <n v="1"/>
  </r>
  <r>
    <x v="339"/>
    <n v="1"/>
  </r>
  <r>
    <x v="339"/>
    <n v="1"/>
  </r>
  <r>
    <x v="340"/>
    <n v="1"/>
  </r>
  <r>
    <x v="341"/>
    <n v="1"/>
  </r>
  <r>
    <x v="342"/>
    <n v="1"/>
  </r>
  <r>
    <x v="343"/>
    <n v="1"/>
  </r>
  <r>
    <x v="344"/>
    <n v="1"/>
  </r>
  <r>
    <x v="344"/>
    <n v="1"/>
  </r>
  <r>
    <x v="345"/>
    <n v="1"/>
  </r>
  <r>
    <x v="345"/>
    <n v="1"/>
  </r>
  <r>
    <x v="346"/>
    <n v="1"/>
  </r>
  <r>
    <x v="347"/>
    <n v="1"/>
  </r>
  <r>
    <x v="348"/>
    <n v="1"/>
  </r>
  <r>
    <x v="349"/>
    <n v="1"/>
  </r>
  <r>
    <x v="350"/>
    <n v="1"/>
  </r>
  <r>
    <x v="351"/>
    <n v="1"/>
  </r>
  <r>
    <x v="352"/>
    <n v="1"/>
  </r>
  <r>
    <x v="353"/>
    <n v="1"/>
  </r>
  <r>
    <x v="353"/>
    <n v="1"/>
  </r>
  <r>
    <x v="354"/>
    <n v="1"/>
  </r>
  <r>
    <x v="355"/>
    <n v="1"/>
  </r>
  <r>
    <x v="356"/>
    <n v="1"/>
  </r>
  <r>
    <x v="357"/>
    <n v="1"/>
  </r>
  <r>
    <x v="358"/>
    <n v="1"/>
  </r>
  <r>
    <x v="359"/>
    <n v="1"/>
  </r>
  <r>
    <x v="360"/>
    <n v="1"/>
  </r>
  <r>
    <x v="361"/>
    <n v="1"/>
  </r>
  <r>
    <x v="362"/>
    <n v="1"/>
  </r>
  <r>
    <x v="363"/>
    <n v="1"/>
  </r>
  <r>
    <x v="363"/>
    <n v="1"/>
  </r>
  <r>
    <x v="363"/>
    <n v="1"/>
  </r>
  <r>
    <x v="364"/>
    <n v="1"/>
  </r>
  <r>
    <x v="365"/>
    <n v="1"/>
  </r>
  <r>
    <x v="366"/>
    <n v="1"/>
  </r>
  <r>
    <x v="367"/>
    <n v="1"/>
  </r>
  <r>
    <x v="368"/>
    <n v="1"/>
  </r>
  <r>
    <x v="369"/>
    <n v="1"/>
  </r>
  <r>
    <x v="369"/>
    <n v="1"/>
  </r>
  <r>
    <x v="370"/>
    <n v="1"/>
  </r>
  <r>
    <x v="370"/>
    <n v="1"/>
  </r>
  <r>
    <x v="371"/>
    <n v="1"/>
  </r>
  <r>
    <x v="372"/>
    <n v="1"/>
  </r>
  <r>
    <x v="373"/>
    <n v="1"/>
  </r>
  <r>
    <x v="374"/>
    <n v="1"/>
  </r>
  <r>
    <x v="375"/>
    <n v="1"/>
  </r>
  <r>
    <x v="376"/>
    <n v="1"/>
  </r>
  <r>
    <x v="377"/>
    <n v="1"/>
  </r>
  <r>
    <x v="378"/>
    <n v="1"/>
  </r>
  <r>
    <x v="379"/>
    <n v="1"/>
  </r>
  <r>
    <x v="380"/>
    <n v="1"/>
  </r>
  <r>
    <x v="380"/>
    <n v="1"/>
  </r>
  <r>
    <x v="381"/>
    <n v="1"/>
  </r>
  <r>
    <x v="382"/>
    <n v="1"/>
  </r>
  <r>
    <x v="383"/>
    <n v="1"/>
  </r>
  <r>
    <x v="384"/>
    <n v="1"/>
  </r>
  <r>
    <x v="385"/>
    <n v="1"/>
  </r>
  <r>
    <x v="386"/>
    <n v="1"/>
  </r>
  <r>
    <x v="387"/>
    <n v="1"/>
  </r>
  <r>
    <x v="388"/>
    <n v="1"/>
  </r>
  <r>
    <x v="389"/>
    <n v="1"/>
  </r>
  <r>
    <x v="390"/>
    <n v="1"/>
  </r>
  <r>
    <x v="391"/>
    <n v="1"/>
  </r>
  <r>
    <x v="392"/>
    <n v="1"/>
  </r>
  <r>
    <x v="392"/>
    <n v="1"/>
  </r>
  <r>
    <x v="393"/>
    <n v="1"/>
  </r>
  <r>
    <x v="394"/>
    <n v="1"/>
  </r>
  <r>
    <x v="394"/>
    <n v="1"/>
  </r>
  <r>
    <x v="395"/>
    <n v="1"/>
  </r>
  <r>
    <x v="396"/>
    <n v="1"/>
  </r>
  <r>
    <x v="397"/>
    <n v="1"/>
  </r>
  <r>
    <x v="398"/>
    <n v="1"/>
  </r>
  <r>
    <x v="398"/>
    <n v="1"/>
  </r>
  <r>
    <x v="399"/>
    <n v="1"/>
  </r>
  <r>
    <x v="399"/>
    <n v="1"/>
  </r>
  <r>
    <x v="400"/>
    <n v="1"/>
  </r>
  <r>
    <x v="400"/>
    <n v="1"/>
  </r>
  <r>
    <x v="401"/>
    <n v="1"/>
  </r>
  <r>
    <x v="401"/>
    <n v="1"/>
  </r>
  <r>
    <x v="402"/>
    <n v="1"/>
  </r>
  <r>
    <x v="403"/>
    <n v="1"/>
  </r>
  <r>
    <x v="404"/>
    <n v="1"/>
  </r>
  <r>
    <x v="405"/>
    <n v="1"/>
  </r>
  <r>
    <x v="406"/>
    <n v="1"/>
  </r>
  <r>
    <x v="407"/>
    <n v="1"/>
  </r>
  <r>
    <x v="408"/>
    <n v="1"/>
  </r>
  <r>
    <x v="409"/>
    <n v="1"/>
  </r>
  <r>
    <x v="410"/>
    <n v="1"/>
  </r>
  <r>
    <x v="410"/>
    <n v="1"/>
  </r>
  <r>
    <x v="411"/>
    <n v="1"/>
  </r>
  <r>
    <x v="411"/>
    <n v="1"/>
  </r>
  <r>
    <x v="412"/>
    <n v="1"/>
  </r>
  <r>
    <x v="413"/>
    <n v="1"/>
  </r>
  <r>
    <x v="414"/>
    <n v="1"/>
  </r>
  <r>
    <x v="415"/>
    <n v="1"/>
  </r>
  <r>
    <x v="416"/>
    <n v="1"/>
  </r>
  <r>
    <x v="416"/>
    <n v="1"/>
  </r>
  <r>
    <x v="417"/>
    <n v="1"/>
  </r>
  <r>
    <x v="418"/>
    <n v="1"/>
  </r>
  <r>
    <x v="419"/>
    <n v="1"/>
  </r>
  <r>
    <x v="419"/>
    <n v="1"/>
  </r>
  <r>
    <x v="420"/>
    <n v="1"/>
  </r>
  <r>
    <x v="421"/>
    <n v="1"/>
  </r>
  <r>
    <x v="422"/>
    <n v="1"/>
  </r>
  <r>
    <x v="423"/>
    <n v="1"/>
  </r>
  <r>
    <x v="424"/>
    <n v="1"/>
  </r>
  <r>
    <x v="425"/>
    <n v="1"/>
  </r>
  <r>
    <x v="426"/>
    <n v="1"/>
  </r>
  <r>
    <x v="427"/>
    <n v="1"/>
  </r>
  <r>
    <x v="428"/>
    <n v="1"/>
  </r>
  <r>
    <x v="428"/>
    <n v="1"/>
  </r>
  <r>
    <x v="429"/>
    <n v="1"/>
  </r>
  <r>
    <x v="430"/>
    <n v="1"/>
  </r>
  <r>
    <x v="431"/>
    <n v="1"/>
  </r>
  <r>
    <x v="431"/>
    <n v="1"/>
  </r>
  <r>
    <x v="432"/>
    <n v="1"/>
  </r>
  <r>
    <x v="433"/>
    <n v="1"/>
  </r>
  <r>
    <x v="434"/>
    <n v="1"/>
  </r>
  <r>
    <x v="435"/>
    <n v="1"/>
  </r>
  <r>
    <x v="436"/>
    <n v="1"/>
  </r>
  <r>
    <x v="436"/>
    <n v="1"/>
  </r>
  <r>
    <x v="437"/>
    <n v="1"/>
  </r>
  <r>
    <x v="438"/>
    <n v="1"/>
  </r>
  <r>
    <x v="439"/>
    <n v="1"/>
  </r>
  <r>
    <x v="440"/>
    <n v="1"/>
  </r>
  <r>
    <x v="440"/>
    <n v="1"/>
  </r>
  <r>
    <x v="441"/>
    <n v="1"/>
  </r>
  <r>
    <x v="442"/>
    <n v="1"/>
  </r>
  <r>
    <x v="443"/>
    <n v="1"/>
  </r>
  <r>
    <x v="444"/>
    <n v="1"/>
  </r>
  <r>
    <x v="445"/>
    <n v="1"/>
  </r>
  <r>
    <x v="446"/>
    <n v="1"/>
  </r>
  <r>
    <x v="446"/>
    <n v="1"/>
  </r>
  <r>
    <x v="447"/>
    <n v="1"/>
  </r>
  <r>
    <x v="448"/>
    <n v="1"/>
  </r>
  <r>
    <x v="448"/>
    <n v="1"/>
  </r>
  <r>
    <x v="449"/>
    <n v="1"/>
  </r>
  <r>
    <x v="450"/>
    <n v="1"/>
  </r>
  <r>
    <x v="451"/>
    <n v="1"/>
  </r>
  <r>
    <x v="452"/>
    <n v="1"/>
  </r>
  <r>
    <x v="453"/>
    <n v="1"/>
  </r>
  <r>
    <x v="454"/>
    <n v="1"/>
  </r>
  <r>
    <x v="455"/>
    <n v="1"/>
  </r>
  <r>
    <x v="456"/>
    <n v="1"/>
  </r>
  <r>
    <x v="457"/>
    <n v="1"/>
  </r>
  <r>
    <x v="458"/>
    <n v="1"/>
  </r>
  <r>
    <x v="458"/>
    <n v="1"/>
  </r>
  <r>
    <x v="459"/>
    <n v="1"/>
  </r>
  <r>
    <x v="460"/>
    <n v="1"/>
  </r>
  <r>
    <x v="460"/>
    <n v="1"/>
  </r>
  <r>
    <x v="461"/>
    <n v="1"/>
  </r>
  <r>
    <x v="461"/>
    <n v="1"/>
  </r>
  <r>
    <x v="462"/>
    <n v="1"/>
  </r>
  <r>
    <x v="462"/>
    <n v="1"/>
  </r>
  <r>
    <x v="463"/>
    <n v="1"/>
  </r>
  <r>
    <x v="464"/>
    <n v="1"/>
  </r>
  <r>
    <x v="464"/>
    <n v="1"/>
  </r>
  <r>
    <x v="465"/>
    <n v="1"/>
  </r>
  <r>
    <x v="466"/>
    <n v="1"/>
  </r>
  <r>
    <x v="467"/>
    <n v="1"/>
  </r>
  <r>
    <x v="468"/>
    <n v="1"/>
  </r>
  <r>
    <x v="468"/>
    <n v="1"/>
  </r>
  <r>
    <x v="469"/>
    <n v="1"/>
  </r>
  <r>
    <x v="469"/>
    <n v="1"/>
  </r>
  <r>
    <x v="470"/>
    <n v="1"/>
  </r>
  <r>
    <x v="471"/>
    <n v="1"/>
  </r>
  <r>
    <x v="472"/>
    <n v="1"/>
  </r>
  <r>
    <x v="473"/>
    <n v="1"/>
  </r>
  <r>
    <x v="473"/>
    <n v="1"/>
  </r>
  <r>
    <x v="474"/>
    <n v="1"/>
  </r>
  <r>
    <x v="475"/>
    <n v="1"/>
  </r>
  <r>
    <x v="476"/>
    <n v="1"/>
  </r>
  <r>
    <x v="477"/>
    <n v="1"/>
  </r>
  <r>
    <x v="478"/>
    <n v="1"/>
  </r>
  <r>
    <x v="479"/>
    <n v="1"/>
  </r>
  <r>
    <x v="480"/>
    <n v="1"/>
  </r>
  <r>
    <x v="480"/>
    <n v="1"/>
  </r>
  <r>
    <x v="481"/>
    <n v="1"/>
  </r>
  <r>
    <x v="482"/>
    <n v="1"/>
  </r>
  <r>
    <x v="483"/>
    <n v="1"/>
  </r>
  <r>
    <x v="484"/>
    <n v="1"/>
  </r>
  <r>
    <x v="484"/>
    <n v="1"/>
  </r>
  <r>
    <x v="485"/>
    <n v="1"/>
  </r>
  <r>
    <x v="486"/>
    <n v="1"/>
  </r>
  <r>
    <x v="487"/>
    <n v="1"/>
  </r>
  <r>
    <x v="488"/>
    <n v="1"/>
  </r>
  <r>
    <x v="489"/>
    <n v="1"/>
  </r>
  <r>
    <x v="490"/>
    <n v="1"/>
  </r>
  <r>
    <x v="491"/>
    <n v="1"/>
  </r>
  <r>
    <x v="491"/>
    <n v="1"/>
  </r>
  <r>
    <x v="492"/>
    <n v="1"/>
  </r>
  <r>
    <x v="493"/>
    <n v="1"/>
  </r>
  <r>
    <x v="494"/>
    <n v="1"/>
  </r>
  <r>
    <x v="494"/>
    <n v="1"/>
  </r>
  <r>
    <x v="495"/>
    <n v="1"/>
  </r>
  <r>
    <x v="496"/>
    <n v="1"/>
  </r>
  <r>
    <x v="497"/>
    <n v="1"/>
  </r>
  <r>
    <x v="498"/>
    <n v="1"/>
  </r>
  <r>
    <x v="499"/>
    <n v="1"/>
  </r>
  <r>
    <x v="500"/>
    <n v="1"/>
  </r>
  <r>
    <x v="501"/>
    <n v="1"/>
  </r>
  <r>
    <x v="502"/>
    <n v="1"/>
  </r>
  <r>
    <x v="503"/>
    <n v="1"/>
  </r>
  <r>
    <x v="504"/>
    <n v="1"/>
  </r>
  <r>
    <x v="505"/>
    <n v="1"/>
  </r>
  <r>
    <x v="506"/>
    <n v="1"/>
  </r>
  <r>
    <x v="507"/>
    <n v="1"/>
  </r>
  <r>
    <x v="507"/>
    <n v="1"/>
  </r>
  <r>
    <x v="508"/>
    <n v="1"/>
  </r>
  <r>
    <x v="508"/>
    <n v="1"/>
  </r>
  <r>
    <x v="509"/>
    <n v="1"/>
  </r>
  <r>
    <x v="510"/>
    <n v="1"/>
  </r>
  <r>
    <x v="511"/>
    <n v="1"/>
  </r>
  <r>
    <x v="512"/>
    <n v="1"/>
  </r>
  <r>
    <x v="513"/>
    <n v="1"/>
  </r>
  <r>
    <x v="514"/>
    <n v="1"/>
  </r>
  <r>
    <x v="515"/>
    <n v="1"/>
  </r>
  <r>
    <x v="516"/>
    <n v="1"/>
  </r>
  <r>
    <x v="517"/>
    <n v="1"/>
  </r>
  <r>
    <x v="518"/>
    <n v="1"/>
  </r>
  <r>
    <x v="519"/>
    <n v="1"/>
  </r>
  <r>
    <x v="520"/>
    <n v="1"/>
  </r>
  <r>
    <x v="521"/>
    <n v="1"/>
  </r>
  <r>
    <x v="522"/>
    <n v="1"/>
  </r>
  <r>
    <x v="522"/>
    <n v="1"/>
  </r>
  <r>
    <x v="523"/>
    <n v="1"/>
  </r>
  <r>
    <x v="524"/>
    <n v="1"/>
  </r>
  <r>
    <x v="525"/>
    <n v="1"/>
  </r>
  <r>
    <x v="526"/>
    <n v="1"/>
  </r>
  <r>
    <x v="527"/>
    <n v="1"/>
  </r>
  <r>
    <x v="528"/>
    <n v="1"/>
  </r>
  <r>
    <x v="528"/>
    <n v="1"/>
  </r>
  <r>
    <x v="529"/>
    <n v="1"/>
  </r>
  <r>
    <x v="529"/>
    <n v="1"/>
  </r>
  <r>
    <x v="530"/>
    <n v="1"/>
  </r>
  <r>
    <x v="530"/>
    <n v="1"/>
  </r>
  <r>
    <x v="531"/>
    <n v="1"/>
  </r>
  <r>
    <x v="532"/>
    <n v="1"/>
  </r>
  <r>
    <x v="533"/>
    <n v="1"/>
  </r>
  <r>
    <x v="534"/>
    <n v="1"/>
  </r>
  <r>
    <x v="535"/>
    <n v="1"/>
  </r>
  <r>
    <x v="535"/>
    <n v="1"/>
  </r>
  <r>
    <x v="535"/>
    <n v="1"/>
  </r>
  <r>
    <x v="536"/>
    <n v="1"/>
  </r>
  <r>
    <x v="537"/>
    <n v="1"/>
  </r>
  <r>
    <x v="538"/>
    <n v="1"/>
  </r>
  <r>
    <x v="538"/>
    <n v="1"/>
  </r>
  <r>
    <x v="539"/>
    <n v="1"/>
  </r>
  <r>
    <x v="539"/>
    <n v="1"/>
  </r>
  <r>
    <x v="540"/>
    <n v="1"/>
  </r>
  <r>
    <x v="541"/>
    <n v="1"/>
  </r>
  <r>
    <x v="542"/>
    <n v="1"/>
  </r>
  <r>
    <x v="542"/>
    <n v="1"/>
  </r>
  <r>
    <x v="543"/>
    <n v="1"/>
  </r>
  <r>
    <x v="543"/>
    <n v="1"/>
  </r>
  <r>
    <x v="544"/>
    <n v="1"/>
  </r>
  <r>
    <x v="544"/>
    <n v="1"/>
  </r>
  <r>
    <x v="545"/>
    <n v="1"/>
  </r>
  <r>
    <x v="546"/>
    <n v="1"/>
  </r>
  <r>
    <x v="547"/>
    <n v="1"/>
  </r>
  <r>
    <x v="547"/>
    <n v="1"/>
  </r>
  <r>
    <x v="548"/>
    <n v="1"/>
  </r>
  <r>
    <x v="548"/>
    <n v="1"/>
  </r>
  <r>
    <x v="549"/>
    <n v="1"/>
  </r>
  <r>
    <x v="550"/>
    <n v="1"/>
  </r>
  <r>
    <x v="551"/>
    <n v="1"/>
  </r>
  <r>
    <x v="552"/>
    <n v="1"/>
  </r>
  <r>
    <x v="553"/>
    <n v="1"/>
  </r>
  <r>
    <x v="554"/>
    <n v="1"/>
  </r>
  <r>
    <x v="555"/>
    <n v="1"/>
  </r>
  <r>
    <x v="556"/>
    <n v="1"/>
  </r>
  <r>
    <x v="557"/>
    <n v="1"/>
  </r>
  <r>
    <x v="557"/>
    <n v="1"/>
  </r>
  <r>
    <x v="558"/>
    <n v="1"/>
  </r>
  <r>
    <x v="559"/>
    <n v="1"/>
  </r>
  <r>
    <x v="559"/>
    <n v="1"/>
  </r>
  <r>
    <x v="560"/>
    <n v="1"/>
  </r>
  <r>
    <x v="561"/>
    <n v="1"/>
  </r>
  <r>
    <x v="562"/>
    <n v="1"/>
  </r>
  <r>
    <x v="563"/>
    <n v="1"/>
  </r>
  <r>
    <x v="563"/>
    <n v="1"/>
  </r>
  <r>
    <x v="564"/>
    <n v="1"/>
  </r>
  <r>
    <x v="565"/>
    <n v="1"/>
  </r>
  <r>
    <x v="565"/>
    <n v="1"/>
  </r>
  <r>
    <x v="566"/>
    <n v="1"/>
  </r>
  <r>
    <x v="567"/>
    <n v="1"/>
  </r>
  <r>
    <x v="568"/>
    <n v="1"/>
  </r>
  <r>
    <x v="569"/>
    <n v="1"/>
  </r>
  <r>
    <x v="570"/>
    <n v="1"/>
  </r>
  <r>
    <x v="571"/>
    <n v="1"/>
  </r>
  <r>
    <x v="572"/>
    <n v="1"/>
  </r>
  <r>
    <x v="573"/>
    <n v="1"/>
  </r>
  <r>
    <x v="573"/>
    <n v="1"/>
  </r>
  <r>
    <x v="573"/>
    <n v="1"/>
  </r>
  <r>
    <x v="574"/>
    <n v="1"/>
  </r>
  <r>
    <x v="575"/>
    <n v="1"/>
  </r>
  <r>
    <x v="575"/>
    <n v="1"/>
  </r>
  <r>
    <x v="576"/>
    <n v="1"/>
  </r>
  <r>
    <x v="576"/>
    <n v="1"/>
  </r>
  <r>
    <x v="576"/>
    <n v="1"/>
  </r>
  <r>
    <x v="577"/>
    <n v="1"/>
  </r>
  <r>
    <x v="578"/>
    <n v="1"/>
  </r>
  <r>
    <x v="578"/>
    <n v="1"/>
  </r>
  <r>
    <x v="578"/>
    <n v="1"/>
  </r>
  <r>
    <x v="579"/>
    <n v="1"/>
  </r>
  <r>
    <x v="579"/>
    <n v="1"/>
  </r>
  <r>
    <x v="580"/>
    <n v="1"/>
  </r>
  <r>
    <x v="581"/>
    <n v="1"/>
  </r>
  <r>
    <x v="582"/>
    <n v="1"/>
  </r>
  <r>
    <x v="582"/>
    <n v="1"/>
  </r>
  <r>
    <x v="583"/>
    <n v="1"/>
  </r>
  <r>
    <x v="583"/>
    <n v="1"/>
  </r>
  <r>
    <x v="583"/>
    <n v="1"/>
  </r>
  <r>
    <x v="584"/>
    <n v="1"/>
  </r>
  <r>
    <x v="584"/>
    <n v="1"/>
  </r>
  <r>
    <x v="585"/>
    <n v="1"/>
  </r>
  <r>
    <x v="585"/>
    <n v="1"/>
  </r>
  <r>
    <x v="586"/>
    <n v="1"/>
  </r>
  <r>
    <x v="587"/>
    <n v="1"/>
  </r>
  <r>
    <x v="588"/>
    <n v="1"/>
  </r>
  <r>
    <x v="589"/>
    <n v="1"/>
  </r>
  <r>
    <x v="589"/>
    <n v="1"/>
  </r>
  <r>
    <x v="590"/>
    <n v="1"/>
  </r>
  <r>
    <x v="591"/>
    <n v="1"/>
  </r>
  <r>
    <x v="592"/>
    <n v="1"/>
  </r>
  <r>
    <x v="592"/>
    <n v="1"/>
  </r>
  <r>
    <x v="593"/>
    <n v="1"/>
  </r>
  <r>
    <x v="593"/>
    <n v="1"/>
  </r>
  <r>
    <x v="594"/>
    <n v="1"/>
  </r>
  <r>
    <x v="595"/>
    <n v="1"/>
  </r>
  <r>
    <x v="595"/>
    <n v="1"/>
  </r>
  <r>
    <x v="596"/>
    <n v="1"/>
  </r>
  <r>
    <x v="596"/>
    <n v="1"/>
  </r>
  <r>
    <x v="597"/>
    <n v="1"/>
  </r>
  <r>
    <x v="598"/>
    <n v="1"/>
  </r>
  <r>
    <x v="598"/>
    <n v="1"/>
  </r>
  <r>
    <x v="598"/>
    <n v="1"/>
  </r>
  <r>
    <x v="599"/>
    <n v="1"/>
  </r>
  <r>
    <x v="600"/>
    <n v="1"/>
  </r>
  <r>
    <x v="601"/>
    <n v="1"/>
  </r>
  <r>
    <x v="602"/>
    <n v="1"/>
  </r>
  <r>
    <x v="603"/>
    <n v="1"/>
  </r>
  <r>
    <x v="604"/>
    <n v="1"/>
  </r>
  <r>
    <x v="605"/>
    <n v="1"/>
  </r>
  <r>
    <x v="606"/>
    <n v="1"/>
  </r>
  <r>
    <x v="607"/>
    <n v="1"/>
  </r>
  <r>
    <x v="607"/>
    <n v="1"/>
  </r>
  <r>
    <x v="608"/>
    <n v="1"/>
  </r>
  <r>
    <x v="608"/>
    <n v="1"/>
  </r>
  <r>
    <x v="609"/>
    <n v="1"/>
  </r>
  <r>
    <x v="609"/>
    <n v="1"/>
  </r>
  <r>
    <x v="609"/>
    <n v="1"/>
  </r>
  <r>
    <x v="610"/>
    <n v="1"/>
  </r>
  <r>
    <x v="611"/>
    <n v="1"/>
  </r>
  <r>
    <x v="611"/>
    <n v="1"/>
  </r>
  <r>
    <x v="612"/>
    <n v="1"/>
  </r>
  <r>
    <x v="612"/>
    <n v="1"/>
  </r>
  <r>
    <x v="613"/>
    <n v="1"/>
  </r>
  <r>
    <x v="614"/>
    <n v="1"/>
  </r>
  <r>
    <x v="615"/>
    <n v="1"/>
  </r>
  <r>
    <x v="615"/>
    <n v="1"/>
  </r>
  <r>
    <x v="615"/>
    <n v="1"/>
  </r>
  <r>
    <x v="616"/>
    <n v="1"/>
  </r>
  <r>
    <x v="616"/>
    <n v="1"/>
  </r>
  <r>
    <x v="617"/>
    <n v="1"/>
  </r>
  <r>
    <x v="617"/>
    <n v="1"/>
  </r>
  <r>
    <x v="618"/>
    <n v="1"/>
  </r>
  <r>
    <x v="619"/>
    <n v="1"/>
  </r>
  <r>
    <x v="620"/>
    <n v="1"/>
  </r>
  <r>
    <x v="621"/>
    <n v="1"/>
  </r>
  <r>
    <x v="621"/>
    <n v="1"/>
  </r>
  <r>
    <x v="622"/>
    <n v="1"/>
  </r>
  <r>
    <x v="623"/>
    <n v="1"/>
  </r>
  <r>
    <x v="624"/>
    <n v="1"/>
  </r>
  <r>
    <x v="625"/>
    <n v="1"/>
  </r>
  <r>
    <x v="626"/>
    <n v="1"/>
  </r>
  <r>
    <x v="627"/>
    <n v="1"/>
  </r>
  <r>
    <x v="628"/>
    <n v="1"/>
  </r>
  <r>
    <x v="628"/>
    <n v="1"/>
  </r>
  <r>
    <x v="629"/>
    <n v="1"/>
  </r>
  <r>
    <x v="630"/>
    <n v="1"/>
  </r>
  <r>
    <x v="631"/>
    <n v="1"/>
  </r>
  <r>
    <x v="632"/>
    <n v="1"/>
  </r>
  <r>
    <x v="632"/>
    <n v="1"/>
  </r>
  <r>
    <x v="632"/>
    <n v="1"/>
  </r>
  <r>
    <x v="633"/>
    <n v="1"/>
  </r>
  <r>
    <x v="634"/>
    <n v="1"/>
  </r>
  <r>
    <x v="634"/>
    <n v="1"/>
  </r>
  <r>
    <x v="635"/>
    <n v="1"/>
  </r>
  <r>
    <x v="635"/>
    <n v="1"/>
  </r>
  <r>
    <x v="636"/>
    <n v="1"/>
  </r>
  <r>
    <x v="637"/>
    <n v="1"/>
  </r>
  <r>
    <x v="638"/>
    <n v="1"/>
  </r>
  <r>
    <x v="638"/>
    <n v="1"/>
  </r>
  <r>
    <x v="639"/>
    <n v="1"/>
  </r>
  <r>
    <x v="640"/>
    <n v="1"/>
  </r>
  <r>
    <x v="641"/>
    <n v="1"/>
  </r>
  <r>
    <x v="641"/>
    <n v="1"/>
  </r>
  <r>
    <x v="642"/>
    <n v="1"/>
  </r>
  <r>
    <x v="642"/>
    <n v="1"/>
  </r>
  <r>
    <x v="643"/>
    <n v="1"/>
  </r>
  <r>
    <x v="643"/>
    <n v="1"/>
  </r>
  <r>
    <x v="644"/>
    <n v="1"/>
  </r>
  <r>
    <x v="644"/>
    <n v="1"/>
  </r>
  <r>
    <x v="645"/>
    <n v="1"/>
  </r>
  <r>
    <x v="646"/>
    <n v="1"/>
  </r>
  <r>
    <x v="646"/>
    <n v="1"/>
  </r>
  <r>
    <x v="647"/>
    <n v="1"/>
  </r>
  <r>
    <x v="647"/>
    <n v="1"/>
  </r>
  <r>
    <x v="647"/>
    <n v="1"/>
  </r>
  <r>
    <x v="647"/>
    <n v="1"/>
  </r>
  <r>
    <x v="648"/>
    <n v="1"/>
  </r>
  <r>
    <x v="648"/>
    <n v="1"/>
  </r>
  <r>
    <x v="648"/>
    <n v="1"/>
  </r>
  <r>
    <x v="649"/>
    <n v="1"/>
  </r>
  <r>
    <x v="650"/>
    <n v="1"/>
  </r>
  <r>
    <x v="651"/>
    <n v="1"/>
  </r>
  <r>
    <x v="652"/>
    <n v="1"/>
  </r>
  <r>
    <x v="652"/>
    <n v="1"/>
  </r>
  <r>
    <x v="652"/>
    <n v="1"/>
  </r>
  <r>
    <x v="653"/>
    <n v="1"/>
  </r>
  <r>
    <x v="653"/>
    <n v="1"/>
  </r>
  <r>
    <x v="654"/>
    <n v="1"/>
  </r>
  <r>
    <x v="654"/>
    <n v="1"/>
  </r>
  <r>
    <x v="654"/>
    <n v="1"/>
  </r>
  <r>
    <x v="655"/>
    <n v="1"/>
  </r>
  <r>
    <x v="656"/>
    <n v="1"/>
  </r>
  <r>
    <x v="657"/>
    <n v="1"/>
  </r>
  <r>
    <x v="657"/>
    <n v="1"/>
  </r>
  <r>
    <x v="658"/>
    <n v="1"/>
  </r>
  <r>
    <x v="658"/>
    <n v="1"/>
  </r>
  <r>
    <x v="658"/>
    <n v="1"/>
  </r>
  <r>
    <x v="658"/>
    <n v="1"/>
  </r>
  <r>
    <x v="659"/>
    <n v="1"/>
  </r>
  <r>
    <x v="659"/>
    <n v="1"/>
  </r>
  <r>
    <x v="660"/>
    <n v="1"/>
  </r>
  <r>
    <x v="660"/>
    <n v="1"/>
  </r>
  <r>
    <x v="660"/>
    <n v="1"/>
  </r>
  <r>
    <x v="661"/>
    <n v="1"/>
  </r>
  <r>
    <x v="661"/>
    <n v="1"/>
  </r>
  <r>
    <x v="661"/>
    <n v="1"/>
  </r>
  <r>
    <x v="662"/>
    <n v="1"/>
  </r>
  <r>
    <x v="663"/>
    <n v="1"/>
  </r>
  <r>
    <x v="663"/>
    <n v="1"/>
  </r>
  <r>
    <x v="664"/>
    <n v="1"/>
  </r>
  <r>
    <x v="665"/>
    <n v="1"/>
  </r>
  <r>
    <x v="666"/>
    <n v="1"/>
  </r>
  <r>
    <x v="666"/>
    <n v="1"/>
  </r>
  <r>
    <x v="666"/>
    <n v="1"/>
  </r>
  <r>
    <x v="667"/>
    <n v="1"/>
  </r>
  <r>
    <x v="668"/>
    <n v="1"/>
  </r>
  <r>
    <x v="669"/>
    <n v="1"/>
  </r>
  <r>
    <x v="670"/>
    <n v="1"/>
  </r>
  <r>
    <x v="670"/>
    <n v="1"/>
  </r>
  <r>
    <x v="671"/>
    <n v="1"/>
  </r>
  <r>
    <x v="671"/>
    <n v="1"/>
  </r>
  <r>
    <x v="672"/>
    <n v="1"/>
  </r>
  <r>
    <x v="673"/>
    <n v="1"/>
  </r>
  <r>
    <x v="673"/>
    <n v="1"/>
  </r>
  <r>
    <x v="673"/>
    <n v="1"/>
  </r>
  <r>
    <x v="673"/>
    <n v="1"/>
  </r>
  <r>
    <x v="674"/>
    <n v="1"/>
  </r>
  <r>
    <x v="674"/>
    <n v="1"/>
  </r>
  <r>
    <x v="675"/>
    <n v="1"/>
  </r>
  <r>
    <x v="676"/>
    <n v="1"/>
  </r>
  <r>
    <x v="677"/>
    <n v="1"/>
  </r>
  <r>
    <x v="678"/>
    <n v="1"/>
  </r>
  <r>
    <x v="679"/>
    <n v="1"/>
  </r>
  <r>
    <x v="680"/>
    <n v="1"/>
  </r>
  <r>
    <x v="681"/>
    <n v="1"/>
  </r>
  <r>
    <x v="682"/>
    <n v="1"/>
  </r>
  <r>
    <x v="683"/>
    <n v="1"/>
  </r>
  <r>
    <x v="683"/>
    <n v="1"/>
  </r>
  <r>
    <x v="684"/>
    <n v="1"/>
  </r>
  <r>
    <x v="684"/>
    <n v="1"/>
  </r>
  <r>
    <x v="685"/>
    <n v="1"/>
  </r>
  <r>
    <x v="685"/>
    <n v="1"/>
  </r>
  <r>
    <x v="685"/>
    <n v="1"/>
  </r>
  <r>
    <x v="686"/>
    <n v="1"/>
  </r>
  <r>
    <x v="687"/>
    <n v="1"/>
  </r>
  <r>
    <x v="688"/>
    <n v="1"/>
  </r>
  <r>
    <x v="688"/>
    <n v="1"/>
  </r>
  <r>
    <x v="689"/>
    <n v="1"/>
  </r>
  <r>
    <x v="689"/>
    <n v="1"/>
  </r>
  <r>
    <x v="690"/>
    <n v="1"/>
  </r>
  <r>
    <x v="691"/>
    <n v="1"/>
  </r>
  <r>
    <x v="691"/>
    <n v="1"/>
  </r>
  <r>
    <x v="692"/>
    <n v="1"/>
  </r>
  <r>
    <x v="693"/>
    <n v="1"/>
  </r>
  <r>
    <x v="693"/>
    <n v="1"/>
  </r>
  <r>
    <x v="694"/>
    <n v="1"/>
  </r>
  <r>
    <x v="694"/>
    <n v="1"/>
  </r>
  <r>
    <x v="695"/>
    <n v="1"/>
  </r>
  <r>
    <x v="696"/>
    <n v="1"/>
  </r>
  <r>
    <x v="697"/>
    <n v="1"/>
  </r>
  <r>
    <x v="698"/>
    <n v="1"/>
  </r>
  <r>
    <x v="698"/>
    <n v="1"/>
  </r>
  <r>
    <x v="699"/>
    <n v="1"/>
  </r>
  <r>
    <x v="700"/>
    <n v="1"/>
  </r>
  <r>
    <x v="701"/>
    <n v="1"/>
  </r>
  <r>
    <x v="702"/>
    <n v="1"/>
  </r>
  <r>
    <x v="702"/>
    <n v="1"/>
  </r>
  <r>
    <x v="703"/>
    <n v="1"/>
  </r>
  <r>
    <x v="703"/>
    <n v="1"/>
  </r>
  <r>
    <x v="704"/>
    <n v="1"/>
  </r>
  <r>
    <x v="705"/>
    <n v="1"/>
  </r>
  <r>
    <x v="706"/>
    <n v="1"/>
  </r>
  <r>
    <x v="706"/>
    <n v="1"/>
  </r>
  <r>
    <x v="706"/>
    <n v="1"/>
  </r>
  <r>
    <x v="707"/>
    <n v="1"/>
  </r>
  <r>
    <x v="707"/>
    <n v="1"/>
  </r>
  <r>
    <x v="708"/>
    <n v="1"/>
  </r>
  <r>
    <x v="708"/>
    <n v="1"/>
  </r>
  <r>
    <x v="709"/>
    <n v="1"/>
  </r>
  <r>
    <x v="709"/>
    <n v="1"/>
  </r>
  <r>
    <x v="710"/>
    <n v="1"/>
  </r>
  <r>
    <x v="710"/>
    <n v="1"/>
  </r>
  <r>
    <x v="711"/>
    <n v="1"/>
  </r>
  <r>
    <x v="711"/>
    <n v="1"/>
  </r>
  <r>
    <x v="712"/>
    <n v="1"/>
  </r>
  <r>
    <x v="713"/>
    <n v="1"/>
  </r>
  <r>
    <x v="713"/>
    <n v="1"/>
  </r>
  <r>
    <x v="714"/>
    <n v="1"/>
  </r>
  <r>
    <x v="714"/>
    <n v="1"/>
  </r>
  <r>
    <x v="715"/>
    <n v="1"/>
  </r>
  <r>
    <x v="715"/>
    <n v="1"/>
  </r>
  <r>
    <x v="716"/>
    <n v="1"/>
  </r>
  <r>
    <x v="717"/>
    <n v="1"/>
  </r>
  <r>
    <x v="717"/>
    <n v="1"/>
  </r>
  <r>
    <x v="718"/>
    <n v="1"/>
  </r>
  <r>
    <x v="718"/>
    <n v="1"/>
  </r>
  <r>
    <x v="719"/>
    <n v="1"/>
  </r>
  <r>
    <x v="719"/>
    <n v="1"/>
  </r>
  <r>
    <x v="720"/>
    <n v="1"/>
  </r>
  <r>
    <x v="720"/>
    <n v="1"/>
  </r>
  <r>
    <x v="720"/>
    <n v="1"/>
  </r>
  <r>
    <x v="720"/>
    <n v="1"/>
  </r>
  <r>
    <x v="720"/>
    <n v="1"/>
  </r>
  <r>
    <x v="721"/>
    <n v="1"/>
  </r>
  <r>
    <x v="721"/>
    <n v="1"/>
  </r>
  <r>
    <x v="721"/>
    <n v="1"/>
  </r>
  <r>
    <x v="721"/>
    <n v="1"/>
  </r>
  <r>
    <x v="722"/>
    <n v="1"/>
  </r>
  <r>
    <x v="722"/>
    <n v="1"/>
  </r>
  <r>
    <x v="722"/>
    <n v="1"/>
  </r>
  <r>
    <x v="723"/>
    <n v="1"/>
  </r>
  <r>
    <x v="724"/>
    <n v="1"/>
  </r>
  <r>
    <x v="725"/>
    <n v="1"/>
  </r>
  <r>
    <x v="725"/>
    <n v="1"/>
  </r>
  <r>
    <x v="725"/>
    <n v="1"/>
  </r>
  <r>
    <x v="725"/>
    <n v="1"/>
  </r>
  <r>
    <x v="726"/>
    <n v="1"/>
  </r>
  <r>
    <x v="726"/>
    <n v="1"/>
  </r>
  <r>
    <x v="726"/>
    <n v="1"/>
  </r>
  <r>
    <x v="727"/>
    <n v="1"/>
  </r>
  <r>
    <x v="727"/>
    <n v="1"/>
  </r>
  <r>
    <x v="727"/>
    <n v="1"/>
  </r>
  <r>
    <x v="728"/>
    <n v="1"/>
  </r>
  <r>
    <x v="729"/>
    <n v="1"/>
  </r>
  <r>
    <x v="729"/>
    <n v="1"/>
  </r>
  <r>
    <x v="730"/>
    <n v="1"/>
  </r>
  <r>
    <x v="730"/>
    <n v="1"/>
  </r>
  <r>
    <x v="730"/>
    <n v="1"/>
  </r>
  <r>
    <x v="731"/>
    <n v="1"/>
  </r>
  <r>
    <x v="732"/>
    <n v="1"/>
  </r>
  <r>
    <x v="732"/>
    <n v="1"/>
  </r>
  <r>
    <x v="733"/>
    <n v="1"/>
  </r>
  <r>
    <x v="733"/>
    <n v="1"/>
  </r>
  <r>
    <x v="734"/>
    <n v="1"/>
  </r>
  <r>
    <x v="735"/>
    <n v="1"/>
  </r>
  <r>
    <x v="735"/>
    <n v="1"/>
  </r>
  <r>
    <x v="736"/>
    <n v="1"/>
  </r>
  <r>
    <x v="737"/>
    <n v="1"/>
  </r>
  <r>
    <x v="737"/>
    <n v="1"/>
  </r>
  <r>
    <x v="738"/>
    <n v="1"/>
  </r>
  <r>
    <x v="738"/>
    <n v="1"/>
  </r>
  <r>
    <x v="738"/>
    <n v="1"/>
  </r>
  <r>
    <x v="738"/>
    <n v="1"/>
  </r>
  <r>
    <x v="739"/>
    <n v="1"/>
  </r>
  <r>
    <x v="740"/>
    <n v="1"/>
  </r>
  <r>
    <x v="741"/>
    <n v="1"/>
  </r>
  <r>
    <x v="742"/>
    <n v="1"/>
  </r>
  <r>
    <x v="742"/>
    <n v="1"/>
  </r>
  <r>
    <x v="742"/>
    <n v="1"/>
  </r>
  <r>
    <x v="743"/>
    <n v="1"/>
  </r>
  <r>
    <x v="743"/>
    <n v="1"/>
  </r>
  <r>
    <x v="744"/>
    <n v="1"/>
  </r>
  <r>
    <x v="745"/>
    <n v="1"/>
  </r>
  <r>
    <x v="745"/>
    <n v="1"/>
  </r>
  <r>
    <x v="745"/>
    <n v="1"/>
  </r>
  <r>
    <x v="746"/>
    <n v="1"/>
  </r>
  <r>
    <x v="747"/>
    <n v="1"/>
  </r>
  <r>
    <x v="747"/>
    <n v="1"/>
  </r>
  <r>
    <x v="747"/>
    <n v="1"/>
  </r>
  <r>
    <x v="747"/>
    <n v="1"/>
  </r>
  <r>
    <x v="748"/>
    <n v="1"/>
  </r>
  <r>
    <x v="749"/>
    <n v="1"/>
  </r>
  <r>
    <x v="750"/>
    <n v="1"/>
  </r>
  <r>
    <x v="750"/>
    <n v="1"/>
  </r>
  <r>
    <x v="750"/>
    <n v="1"/>
  </r>
  <r>
    <x v="751"/>
    <n v="1"/>
  </r>
  <r>
    <x v="752"/>
    <n v="1"/>
  </r>
  <r>
    <x v="753"/>
    <n v="1"/>
  </r>
  <r>
    <x v="754"/>
    <n v="1"/>
  </r>
  <r>
    <x v="754"/>
    <n v="1"/>
  </r>
  <r>
    <x v="754"/>
    <n v="1"/>
  </r>
  <r>
    <x v="754"/>
    <n v="1"/>
  </r>
  <r>
    <x v="755"/>
    <n v="1"/>
  </r>
  <r>
    <x v="755"/>
    <n v="1"/>
  </r>
  <r>
    <x v="756"/>
    <n v="1"/>
  </r>
  <r>
    <x v="756"/>
    <n v="1"/>
  </r>
  <r>
    <x v="756"/>
    <n v="1"/>
  </r>
  <r>
    <x v="757"/>
    <n v="1"/>
  </r>
  <r>
    <x v="757"/>
    <n v="1"/>
  </r>
  <r>
    <x v="758"/>
    <n v="1"/>
  </r>
  <r>
    <x v="758"/>
    <n v="1"/>
  </r>
  <r>
    <x v="758"/>
    <n v="1"/>
  </r>
  <r>
    <x v="759"/>
    <n v="1"/>
  </r>
  <r>
    <x v="760"/>
    <n v="1"/>
  </r>
  <r>
    <x v="760"/>
    <n v="1"/>
  </r>
  <r>
    <x v="760"/>
    <n v="1"/>
  </r>
  <r>
    <x v="761"/>
    <n v="1"/>
  </r>
  <r>
    <x v="761"/>
    <n v="1"/>
  </r>
  <r>
    <x v="761"/>
    <n v="1"/>
  </r>
  <r>
    <x v="762"/>
    <n v="1"/>
  </r>
  <r>
    <x v="762"/>
    <n v="1"/>
  </r>
  <r>
    <x v="763"/>
    <n v="1"/>
  </r>
  <r>
    <x v="763"/>
    <n v="1"/>
  </r>
  <r>
    <x v="763"/>
    <n v="1"/>
  </r>
  <r>
    <x v="763"/>
    <n v="1"/>
  </r>
  <r>
    <x v="763"/>
    <n v="1"/>
  </r>
  <r>
    <x v="764"/>
    <n v="1"/>
  </r>
  <r>
    <x v="764"/>
    <n v="1"/>
  </r>
  <r>
    <x v="764"/>
    <n v="1"/>
  </r>
  <r>
    <x v="764"/>
    <n v="1"/>
  </r>
  <r>
    <x v="765"/>
    <n v="1"/>
  </r>
  <r>
    <x v="765"/>
    <n v="1"/>
  </r>
  <r>
    <x v="765"/>
    <n v="1"/>
  </r>
  <r>
    <x v="766"/>
    <n v="1"/>
  </r>
  <r>
    <x v="766"/>
    <n v="1"/>
  </r>
  <r>
    <x v="767"/>
    <n v="1"/>
  </r>
  <r>
    <x v="768"/>
    <n v="1"/>
  </r>
  <r>
    <x v="768"/>
    <n v="1"/>
  </r>
  <r>
    <x v="769"/>
    <n v="1"/>
  </r>
  <r>
    <x v="769"/>
    <n v="1"/>
  </r>
  <r>
    <x v="769"/>
    <n v="1"/>
  </r>
  <r>
    <x v="770"/>
    <n v="1"/>
  </r>
  <r>
    <x v="770"/>
    <n v="1"/>
  </r>
  <r>
    <x v="770"/>
    <n v="1"/>
  </r>
  <r>
    <x v="770"/>
    <n v="1"/>
  </r>
  <r>
    <x v="771"/>
    <n v="1"/>
  </r>
  <r>
    <x v="772"/>
    <n v="1"/>
  </r>
  <r>
    <x v="773"/>
    <n v="1"/>
  </r>
  <r>
    <x v="774"/>
    <n v="1"/>
  </r>
  <r>
    <x v="774"/>
    <n v="1"/>
  </r>
  <r>
    <x v="775"/>
    <n v="1"/>
  </r>
  <r>
    <x v="776"/>
    <n v="1"/>
  </r>
  <r>
    <x v="776"/>
    <n v="1"/>
  </r>
  <r>
    <x v="776"/>
    <n v="1"/>
  </r>
  <r>
    <x v="777"/>
    <n v="1"/>
  </r>
  <r>
    <x v="778"/>
    <n v="1"/>
  </r>
  <r>
    <x v="778"/>
    <n v="1"/>
  </r>
  <r>
    <x v="779"/>
    <n v="1"/>
  </r>
  <r>
    <x v="779"/>
    <n v="1"/>
  </r>
  <r>
    <x v="779"/>
    <n v="1"/>
  </r>
  <r>
    <x v="780"/>
    <n v="1"/>
  </r>
  <r>
    <x v="780"/>
    <n v="1"/>
  </r>
  <r>
    <x v="781"/>
    <n v="1"/>
  </r>
  <r>
    <x v="781"/>
    <n v="1"/>
  </r>
  <r>
    <x v="781"/>
    <n v="1"/>
  </r>
  <r>
    <x v="782"/>
    <n v="1"/>
  </r>
  <r>
    <x v="782"/>
    <n v="1"/>
  </r>
  <r>
    <x v="783"/>
    <n v="1"/>
  </r>
  <r>
    <x v="783"/>
    <n v="1"/>
  </r>
  <r>
    <x v="784"/>
    <n v="1"/>
  </r>
  <r>
    <x v="785"/>
    <n v="1"/>
  </r>
  <r>
    <x v="786"/>
    <n v="1"/>
  </r>
  <r>
    <x v="786"/>
    <n v="1"/>
  </r>
  <r>
    <x v="787"/>
    <n v="1"/>
  </r>
  <r>
    <x v="787"/>
    <n v="1"/>
  </r>
  <r>
    <x v="788"/>
    <n v="1"/>
  </r>
  <r>
    <x v="788"/>
    <n v="1"/>
  </r>
  <r>
    <x v="789"/>
    <n v="1"/>
  </r>
  <r>
    <x v="789"/>
    <n v="1"/>
  </r>
  <r>
    <x v="790"/>
    <n v="1"/>
  </r>
  <r>
    <x v="790"/>
    <n v="1"/>
  </r>
  <r>
    <x v="791"/>
    <n v="1"/>
  </r>
  <r>
    <x v="791"/>
    <n v="1"/>
  </r>
  <r>
    <x v="792"/>
    <n v="1"/>
  </r>
  <r>
    <x v="792"/>
    <n v="1"/>
  </r>
  <r>
    <x v="792"/>
    <n v="1"/>
  </r>
  <r>
    <x v="792"/>
    <n v="1"/>
  </r>
  <r>
    <x v="793"/>
    <n v="1"/>
  </r>
  <r>
    <x v="794"/>
    <n v="1"/>
  </r>
  <r>
    <x v="795"/>
    <n v="1"/>
  </r>
  <r>
    <x v="796"/>
    <n v="1"/>
  </r>
  <r>
    <x v="796"/>
    <n v="1"/>
  </r>
  <r>
    <x v="797"/>
    <n v="1"/>
  </r>
  <r>
    <x v="797"/>
    <n v="1"/>
  </r>
  <r>
    <x v="797"/>
    <n v="1"/>
  </r>
  <r>
    <x v="798"/>
    <n v="1"/>
  </r>
  <r>
    <x v="799"/>
    <n v="1"/>
  </r>
  <r>
    <x v="799"/>
    <n v="1"/>
  </r>
  <r>
    <x v="799"/>
    <n v="1"/>
  </r>
  <r>
    <x v="800"/>
    <n v="1"/>
  </r>
  <r>
    <x v="800"/>
    <n v="1"/>
  </r>
  <r>
    <x v="800"/>
    <n v="1"/>
  </r>
  <r>
    <x v="801"/>
    <n v="1"/>
  </r>
  <r>
    <x v="801"/>
    <n v="1"/>
  </r>
  <r>
    <x v="802"/>
    <n v="1"/>
  </r>
  <r>
    <x v="802"/>
    <n v="1"/>
  </r>
  <r>
    <x v="803"/>
    <n v="1"/>
  </r>
  <r>
    <x v="804"/>
    <n v="1"/>
  </r>
  <r>
    <x v="804"/>
    <n v="1"/>
  </r>
  <r>
    <x v="804"/>
    <n v="1"/>
  </r>
  <r>
    <x v="805"/>
    <n v="1"/>
  </r>
  <r>
    <x v="806"/>
    <n v="1"/>
  </r>
  <r>
    <x v="806"/>
    <n v="1"/>
  </r>
  <r>
    <x v="806"/>
    <n v="1"/>
  </r>
  <r>
    <x v="807"/>
    <n v="1"/>
  </r>
  <r>
    <x v="807"/>
    <n v="1"/>
  </r>
  <r>
    <x v="808"/>
    <n v="1"/>
  </r>
  <r>
    <x v="809"/>
    <n v="1"/>
  </r>
  <r>
    <x v="809"/>
    <n v="1"/>
  </r>
  <r>
    <x v="810"/>
    <n v="1"/>
  </r>
  <r>
    <x v="810"/>
    <n v="1"/>
  </r>
  <r>
    <x v="810"/>
    <n v="1"/>
  </r>
  <r>
    <x v="811"/>
    <n v="1"/>
  </r>
  <r>
    <x v="811"/>
    <n v="1"/>
  </r>
  <r>
    <x v="811"/>
    <n v="1"/>
  </r>
  <r>
    <x v="812"/>
    <n v="1"/>
  </r>
  <r>
    <x v="813"/>
    <n v="1"/>
  </r>
  <r>
    <x v="814"/>
    <n v="1"/>
  </r>
  <r>
    <x v="815"/>
    <n v="1"/>
  </r>
  <r>
    <x v="816"/>
    <n v="1"/>
  </r>
  <r>
    <x v="817"/>
    <n v="1"/>
  </r>
  <r>
    <x v="817"/>
    <n v="1"/>
  </r>
  <r>
    <x v="818"/>
    <n v="1"/>
  </r>
  <r>
    <x v="819"/>
    <n v="1"/>
  </r>
  <r>
    <x v="819"/>
    <n v="1"/>
  </r>
  <r>
    <x v="820"/>
    <n v="1"/>
  </r>
  <r>
    <x v="821"/>
    <n v="1"/>
  </r>
  <r>
    <x v="821"/>
    <n v="1"/>
  </r>
  <r>
    <x v="822"/>
    <n v="1"/>
  </r>
  <r>
    <x v="822"/>
    <n v="1"/>
  </r>
  <r>
    <x v="823"/>
    <n v="1"/>
  </r>
  <r>
    <x v="824"/>
    <n v="1"/>
  </r>
  <r>
    <x v="824"/>
    <n v="1"/>
  </r>
  <r>
    <x v="824"/>
    <n v="1"/>
  </r>
  <r>
    <x v="824"/>
    <n v="1"/>
  </r>
  <r>
    <x v="825"/>
    <n v="1"/>
  </r>
  <r>
    <x v="825"/>
    <n v="1"/>
  </r>
  <r>
    <x v="825"/>
    <n v="1"/>
  </r>
  <r>
    <x v="825"/>
    <n v="1"/>
  </r>
  <r>
    <x v="825"/>
    <n v="1"/>
  </r>
  <r>
    <x v="826"/>
    <n v="1"/>
  </r>
  <r>
    <x v="826"/>
    <n v="1"/>
  </r>
  <r>
    <x v="826"/>
    <n v="1"/>
  </r>
  <r>
    <x v="826"/>
    <n v="1"/>
  </r>
  <r>
    <x v="827"/>
    <n v="1"/>
  </r>
  <r>
    <x v="828"/>
    <n v="1"/>
  </r>
  <r>
    <x v="828"/>
    <n v="1"/>
  </r>
  <r>
    <x v="829"/>
    <n v="1"/>
  </r>
  <r>
    <x v="830"/>
    <n v="1"/>
  </r>
  <r>
    <x v="830"/>
    <n v="1"/>
  </r>
  <r>
    <x v="830"/>
    <n v="1"/>
  </r>
  <r>
    <x v="831"/>
    <n v="1"/>
  </r>
  <r>
    <x v="831"/>
    <n v="1"/>
  </r>
  <r>
    <x v="832"/>
    <n v="1"/>
  </r>
  <r>
    <x v="832"/>
    <n v="1"/>
  </r>
  <r>
    <x v="832"/>
    <n v="1"/>
  </r>
  <r>
    <x v="833"/>
    <n v="1"/>
  </r>
  <r>
    <x v="833"/>
    <n v="1"/>
  </r>
  <r>
    <x v="833"/>
    <n v="1"/>
  </r>
  <r>
    <x v="834"/>
    <n v="1"/>
  </r>
  <r>
    <x v="835"/>
    <n v="1"/>
  </r>
  <r>
    <x v="836"/>
    <n v="1"/>
  </r>
  <r>
    <x v="836"/>
    <n v="1"/>
  </r>
  <r>
    <x v="836"/>
    <n v="1"/>
  </r>
  <r>
    <x v="836"/>
    <n v="1"/>
  </r>
  <r>
    <x v="837"/>
    <n v="1"/>
  </r>
  <r>
    <x v="838"/>
    <n v="1"/>
  </r>
  <r>
    <x v="838"/>
    <n v="1"/>
  </r>
  <r>
    <x v="839"/>
    <n v="1"/>
  </r>
  <r>
    <x v="839"/>
    <n v="1"/>
  </r>
  <r>
    <x v="840"/>
    <n v="1"/>
  </r>
  <r>
    <x v="841"/>
    <n v="1"/>
  </r>
  <r>
    <x v="841"/>
    <n v="1"/>
  </r>
  <r>
    <x v="842"/>
    <n v="1"/>
  </r>
  <r>
    <x v="842"/>
    <n v="1"/>
  </r>
  <r>
    <x v="842"/>
    <n v="1"/>
  </r>
  <r>
    <x v="843"/>
    <n v="1"/>
  </r>
  <r>
    <x v="843"/>
    <n v="1"/>
  </r>
  <r>
    <x v="844"/>
    <n v="1"/>
  </r>
  <r>
    <x v="844"/>
    <n v="1"/>
  </r>
  <r>
    <x v="845"/>
    <n v="1"/>
  </r>
  <r>
    <x v="845"/>
    <n v="1"/>
  </r>
  <r>
    <x v="845"/>
    <n v="1"/>
  </r>
  <r>
    <x v="846"/>
    <n v="1"/>
  </r>
  <r>
    <x v="846"/>
    <n v="1"/>
  </r>
  <r>
    <x v="846"/>
    <n v="1"/>
  </r>
  <r>
    <x v="847"/>
    <n v="1"/>
  </r>
  <r>
    <x v="847"/>
    <n v="1"/>
  </r>
  <r>
    <x v="847"/>
    <n v="1"/>
  </r>
  <r>
    <x v="848"/>
    <n v="1"/>
  </r>
  <r>
    <x v="849"/>
    <n v="1"/>
  </r>
  <r>
    <x v="849"/>
    <n v="1"/>
  </r>
  <r>
    <x v="850"/>
    <n v="1"/>
  </r>
  <r>
    <x v="850"/>
    <n v="1"/>
  </r>
  <r>
    <x v="850"/>
    <n v="1"/>
  </r>
  <r>
    <x v="851"/>
    <n v="1"/>
  </r>
  <r>
    <x v="851"/>
    <n v="1"/>
  </r>
  <r>
    <x v="851"/>
    <n v="1"/>
  </r>
  <r>
    <x v="852"/>
    <n v="1"/>
  </r>
  <r>
    <x v="852"/>
    <n v="1"/>
  </r>
  <r>
    <x v="853"/>
    <n v="1"/>
  </r>
  <r>
    <x v="854"/>
    <n v="1"/>
  </r>
  <r>
    <x v="855"/>
    <n v="1"/>
  </r>
  <r>
    <x v="856"/>
    <n v="1"/>
  </r>
  <r>
    <x v="856"/>
    <n v="1"/>
  </r>
  <r>
    <x v="856"/>
    <n v="1"/>
  </r>
  <r>
    <x v="857"/>
    <n v="1"/>
  </r>
  <r>
    <x v="858"/>
    <n v="1"/>
  </r>
  <r>
    <x v="859"/>
    <n v="1"/>
  </r>
  <r>
    <x v="860"/>
    <n v="1"/>
  </r>
  <r>
    <x v="861"/>
    <n v="1"/>
  </r>
  <r>
    <x v="861"/>
    <n v="1"/>
  </r>
  <r>
    <x v="862"/>
    <n v="1"/>
  </r>
  <r>
    <x v="862"/>
    <n v="1"/>
  </r>
  <r>
    <x v="863"/>
    <n v="1"/>
  </r>
  <r>
    <x v="863"/>
    <n v="1"/>
  </r>
  <r>
    <x v="863"/>
    <n v="1"/>
  </r>
  <r>
    <x v="863"/>
    <n v="1"/>
  </r>
  <r>
    <x v="863"/>
    <n v="1"/>
  </r>
  <r>
    <x v="864"/>
    <n v="1"/>
  </r>
  <r>
    <x v="864"/>
    <n v="1"/>
  </r>
  <r>
    <x v="865"/>
    <n v="1"/>
  </r>
  <r>
    <x v="865"/>
    <n v="1"/>
  </r>
  <r>
    <x v="866"/>
    <n v="1"/>
  </r>
  <r>
    <x v="866"/>
    <n v="1"/>
  </r>
  <r>
    <x v="866"/>
    <n v="1"/>
  </r>
  <r>
    <x v="866"/>
    <n v="1"/>
  </r>
  <r>
    <x v="867"/>
    <n v="1"/>
  </r>
  <r>
    <x v="867"/>
    <n v="1"/>
  </r>
  <r>
    <x v="868"/>
    <n v="1"/>
  </r>
  <r>
    <x v="869"/>
    <n v="1"/>
  </r>
  <r>
    <x v="870"/>
    <n v="1"/>
  </r>
  <r>
    <x v="870"/>
    <n v="1"/>
  </r>
  <r>
    <x v="870"/>
    <n v="1"/>
  </r>
  <r>
    <x v="870"/>
    <n v="1"/>
  </r>
  <r>
    <x v="871"/>
    <n v="1"/>
  </r>
  <r>
    <x v="871"/>
    <n v="1"/>
  </r>
  <r>
    <x v="871"/>
    <n v="1"/>
  </r>
  <r>
    <x v="872"/>
    <n v="1"/>
  </r>
  <r>
    <x v="873"/>
    <n v="1"/>
  </r>
  <r>
    <x v="874"/>
    <n v="1"/>
  </r>
  <r>
    <x v="875"/>
    <n v="1"/>
  </r>
  <r>
    <x v="875"/>
    <n v="1"/>
  </r>
  <r>
    <x v="876"/>
    <n v="1"/>
  </r>
  <r>
    <x v="877"/>
    <n v="1"/>
  </r>
  <r>
    <x v="877"/>
    <n v="1"/>
  </r>
  <r>
    <x v="878"/>
    <n v="1"/>
  </r>
  <r>
    <x v="878"/>
    <n v="1"/>
  </r>
  <r>
    <x v="878"/>
    <n v="1"/>
  </r>
  <r>
    <x v="878"/>
    <n v="1"/>
  </r>
  <r>
    <x v="879"/>
    <n v="1"/>
  </r>
  <r>
    <x v="879"/>
    <n v="1"/>
  </r>
  <r>
    <x v="880"/>
    <n v="1"/>
  </r>
  <r>
    <x v="880"/>
    <n v="1"/>
  </r>
  <r>
    <x v="880"/>
    <n v="1"/>
  </r>
  <r>
    <x v="881"/>
    <n v="1"/>
  </r>
  <r>
    <x v="882"/>
    <n v="1"/>
  </r>
  <r>
    <x v="882"/>
    <n v="1"/>
  </r>
  <r>
    <x v="882"/>
    <n v="1"/>
  </r>
  <r>
    <x v="883"/>
    <n v="1"/>
  </r>
  <r>
    <x v="884"/>
    <n v="1"/>
  </r>
  <r>
    <x v="885"/>
    <n v="1"/>
  </r>
  <r>
    <x v="885"/>
    <n v="1"/>
  </r>
  <r>
    <x v="885"/>
    <n v="1"/>
  </r>
  <r>
    <x v="885"/>
    <n v="1"/>
  </r>
  <r>
    <x v="886"/>
    <n v="1"/>
  </r>
  <r>
    <x v="886"/>
    <n v="1"/>
  </r>
  <r>
    <x v="886"/>
    <n v="1"/>
  </r>
  <r>
    <x v="886"/>
    <n v="1"/>
  </r>
  <r>
    <x v="887"/>
    <n v="1"/>
  </r>
  <r>
    <x v="887"/>
    <n v="1"/>
  </r>
  <r>
    <x v="887"/>
    <n v="1"/>
  </r>
  <r>
    <x v="887"/>
    <n v="1"/>
  </r>
  <r>
    <x v="887"/>
    <n v="1"/>
  </r>
  <r>
    <x v="888"/>
    <n v="1"/>
  </r>
  <r>
    <x v="888"/>
    <n v="1"/>
  </r>
  <r>
    <x v="889"/>
    <n v="1"/>
  </r>
  <r>
    <x v="889"/>
    <n v="1"/>
  </r>
  <r>
    <x v="889"/>
    <n v="1"/>
  </r>
  <r>
    <x v="889"/>
    <n v="1"/>
  </r>
  <r>
    <x v="890"/>
    <n v="1"/>
  </r>
  <r>
    <x v="891"/>
    <n v="1"/>
  </r>
  <r>
    <x v="891"/>
    <n v="1"/>
  </r>
  <r>
    <x v="891"/>
    <n v="1"/>
  </r>
  <r>
    <x v="891"/>
    <n v="1"/>
  </r>
  <r>
    <x v="891"/>
    <n v="1"/>
  </r>
  <r>
    <x v="892"/>
    <n v="1"/>
  </r>
  <r>
    <x v="892"/>
    <n v="1"/>
  </r>
  <r>
    <x v="892"/>
    <n v="1"/>
  </r>
  <r>
    <x v="893"/>
    <n v="1"/>
  </r>
  <r>
    <x v="894"/>
    <n v="1"/>
  </r>
  <r>
    <x v="894"/>
    <n v="1"/>
  </r>
  <r>
    <x v="894"/>
    <n v="1"/>
  </r>
  <r>
    <x v="895"/>
    <n v="1"/>
  </r>
  <r>
    <x v="895"/>
    <n v="1"/>
  </r>
  <r>
    <x v="896"/>
    <n v="1"/>
  </r>
  <r>
    <x v="896"/>
    <n v="1"/>
  </r>
  <r>
    <x v="896"/>
    <n v="1"/>
  </r>
  <r>
    <x v="896"/>
    <n v="1"/>
  </r>
  <r>
    <x v="896"/>
    <n v="1"/>
  </r>
  <r>
    <x v="897"/>
    <n v="1"/>
  </r>
  <r>
    <x v="898"/>
    <n v="1"/>
  </r>
  <r>
    <x v="898"/>
    <n v="1"/>
  </r>
  <r>
    <x v="898"/>
    <n v="1"/>
  </r>
  <r>
    <x v="898"/>
    <n v="1"/>
  </r>
  <r>
    <x v="898"/>
    <n v="1"/>
  </r>
  <r>
    <x v="899"/>
    <n v="1"/>
  </r>
  <r>
    <x v="900"/>
    <n v="1"/>
  </r>
  <r>
    <x v="900"/>
    <n v="1"/>
  </r>
  <r>
    <x v="900"/>
    <n v="1"/>
  </r>
  <r>
    <x v="901"/>
    <n v="1"/>
  </r>
  <r>
    <x v="901"/>
    <n v="1"/>
  </r>
  <r>
    <x v="901"/>
    <n v="1"/>
  </r>
  <r>
    <x v="902"/>
    <n v="1"/>
  </r>
  <r>
    <x v="902"/>
    <n v="1"/>
  </r>
  <r>
    <x v="902"/>
    <n v="1"/>
  </r>
  <r>
    <x v="902"/>
    <n v="1"/>
  </r>
  <r>
    <x v="902"/>
    <n v="1"/>
  </r>
  <r>
    <x v="903"/>
    <n v="1"/>
  </r>
  <r>
    <x v="903"/>
    <n v="1"/>
  </r>
  <r>
    <x v="903"/>
    <n v="1"/>
  </r>
  <r>
    <x v="903"/>
    <n v="1"/>
  </r>
  <r>
    <x v="903"/>
    <n v="1"/>
  </r>
  <r>
    <x v="904"/>
    <n v="1"/>
  </r>
  <r>
    <x v="904"/>
    <n v="1"/>
  </r>
  <r>
    <x v="904"/>
    <n v="1"/>
  </r>
  <r>
    <x v="905"/>
    <n v="1"/>
  </r>
  <r>
    <x v="905"/>
    <n v="1"/>
  </r>
  <r>
    <x v="905"/>
    <n v="1"/>
  </r>
  <r>
    <x v="905"/>
    <n v="1"/>
  </r>
  <r>
    <x v="905"/>
    <n v="1"/>
  </r>
  <r>
    <x v="906"/>
    <n v="1"/>
  </r>
  <r>
    <x v="906"/>
    <n v="1"/>
  </r>
  <r>
    <x v="906"/>
    <n v="1"/>
  </r>
  <r>
    <x v="906"/>
    <n v="1"/>
  </r>
  <r>
    <x v="907"/>
    <n v="1"/>
  </r>
  <r>
    <x v="907"/>
    <n v="1"/>
  </r>
  <r>
    <x v="907"/>
    <n v="1"/>
  </r>
  <r>
    <x v="908"/>
    <n v="1"/>
  </r>
  <r>
    <x v="908"/>
    <n v="1"/>
  </r>
  <r>
    <x v="909"/>
    <n v="1"/>
  </r>
  <r>
    <x v="909"/>
    <n v="1"/>
  </r>
  <r>
    <x v="909"/>
    <n v="1"/>
  </r>
  <r>
    <x v="910"/>
    <n v="1"/>
  </r>
  <r>
    <x v="910"/>
    <n v="1"/>
  </r>
  <r>
    <x v="910"/>
    <n v="1"/>
  </r>
  <r>
    <x v="911"/>
    <n v="1"/>
  </r>
  <r>
    <x v="911"/>
    <n v="1"/>
  </r>
  <r>
    <x v="911"/>
    <n v="1"/>
  </r>
  <r>
    <x v="911"/>
    <n v="1"/>
  </r>
  <r>
    <x v="911"/>
    <n v="1"/>
  </r>
  <r>
    <x v="912"/>
    <n v="1"/>
  </r>
  <r>
    <x v="912"/>
    <n v="1"/>
  </r>
  <r>
    <x v="912"/>
    <n v="1"/>
  </r>
  <r>
    <x v="913"/>
    <n v="1"/>
  </r>
  <r>
    <x v="913"/>
    <n v="1"/>
  </r>
  <r>
    <x v="914"/>
    <n v="1"/>
  </r>
  <r>
    <x v="914"/>
    <n v="1"/>
  </r>
  <r>
    <x v="915"/>
    <n v="1"/>
  </r>
  <r>
    <x v="915"/>
    <n v="1"/>
  </r>
  <r>
    <x v="915"/>
    <n v="1"/>
  </r>
  <r>
    <x v="916"/>
    <n v="1"/>
  </r>
  <r>
    <x v="916"/>
    <n v="1"/>
  </r>
  <r>
    <x v="916"/>
    <n v="1"/>
  </r>
  <r>
    <x v="916"/>
    <n v="1"/>
  </r>
  <r>
    <x v="917"/>
    <n v="1"/>
  </r>
  <r>
    <x v="918"/>
    <n v="1"/>
  </r>
  <r>
    <x v="918"/>
    <n v="1"/>
  </r>
  <r>
    <x v="918"/>
    <n v="1"/>
  </r>
  <r>
    <x v="919"/>
    <n v="1"/>
  </r>
  <r>
    <x v="920"/>
    <n v="1"/>
  </r>
  <r>
    <x v="920"/>
    <n v="1"/>
  </r>
  <r>
    <x v="921"/>
    <n v="1"/>
  </r>
  <r>
    <x v="921"/>
    <n v="1"/>
  </r>
  <r>
    <x v="921"/>
    <n v="1"/>
  </r>
  <r>
    <x v="922"/>
    <n v="1"/>
  </r>
  <r>
    <x v="922"/>
    <n v="1"/>
  </r>
  <r>
    <x v="923"/>
    <n v="1"/>
  </r>
  <r>
    <x v="923"/>
    <n v="1"/>
  </r>
  <r>
    <x v="923"/>
    <n v="1"/>
  </r>
  <r>
    <x v="923"/>
    <n v="1"/>
  </r>
  <r>
    <x v="923"/>
    <n v="1"/>
  </r>
  <r>
    <x v="924"/>
    <n v="1"/>
  </r>
  <r>
    <x v="924"/>
    <n v="1"/>
  </r>
  <r>
    <x v="924"/>
    <n v="1"/>
  </r>
  <r>
    <x v="925"/>
    <n v="1"/>
  </r>
  <r>
    <x v="925"/>
    <n v="1"/>
  </r>
  <r>
    <x v="926"/>
    <n v="1"/>
  </r>
  <r>
    <x v="926"/>
    <n v="1"/>
  </r>
  <r>
    <x v="926"/>
    <n v="1"/>
  </r>
  <r>
    <x v="926"/>
    <n v="1"/>
  </r>
  <r>
    <x v="927"/>
    <n v="1"/>
  </r>
  <r>
    <x v="927"/>
    <n v="1"/>
  </r>
  <r>
    <x v="927"/>
    <n v="1"/>
  </r>
  <r>
    <x v="927"/>
    <n v="1"/>
  </r>
  <r>
    <x v="927"/>
    <n v="1"/>
  </r>
  <r>
    <x v="927"/>
    <n v="1"/>
  </r>
  <r>
    <x v="928"/>
    <n v="1"/>
  </r>
  <r>
    <x v="929"/>
    <n v="1"/>
  </r>
  <r>
    <x v="929"/>
    <n v="1"/>
  </r>
  <r>
    <x v="930"/>
    <n v="1"/>
  </r>
  <r>
    <x v="930"/>
    <n v="1"/>
  </r>
  <r>
    <x v="930"/>
    <n v="1"/>
  </r>
  <r>
    <x v="930"/>
    <n v="1"/>
  </r>
  <r>
    <x v="930"/>
    <n v="1"/>
  </r>
  <r>
    <x v="930"/>
    <n v="1"/>
  </r>
  <r>
    <x v="931"/>
    <n v="1"/>
  </r>
  <r>
    <x v="932"/>
    <n v="1"/>
  </r>
  <r>
    <x v="932"/>
    <n v="1"/>
  </r>
  <r>
    <x v="932"/>
    <n v="1"/>
  </r>
  <r>
    <x v="933"/>
    <n v="1"/>
  </r>
  <r>
    <x v="933"/>
    <n v="1"/>
  </r>
  <r>
    <x v="933"/>
    <n v="1"/>
  </r>
  <r>
    <x v="934"/>
    <n v="1"/>
  </r>
  <r>
    <x v="934"/>
    <n v="1"/>
  </r>
  <r>
    <x v="935"/>
    <n v="1"/>
  </r>
  <r>
    <x v="935"/>
    <n v="1"/>
  </r>
  <r>
    <x v="935"/>
    <n v="1"/>
  </r>
  <r>
    <x v="935"/>
    <n v="1"/>
  </r>
  <r>
    <x v="936"/>
    <n v="1"/>
  </r>
  <r>
    <x v="936"/>
    <n v="1"/>
  </r>
  <r>
    <x v="936"/>
    <n v="1"/>
  </r>
  <r>
    <x v="936"/>
    <n v="1"/>
  </r>
  <r>
    <x v="936"/>
    <n v="1"/>
  </r>
  <r>
    <x v="937"/>
    <n v="1"/>
  </r>
  <r>
    <x v="937"/>
    <n v="1"/>
  </r>
  <r>
    <x v="937"/>
    <n v="1"/>
  </r>
  <r>
    <x v="937"/>
    <n v="1"/>
  </r>
  <r>
    <x v="938"/>
    <n v="1"/>
  </r>
  <r>
    <x v="939"/>
    <n v="1"/>
  </r>
  <r>
    <x v="939"/>
    <n v="1"/>
  </r>
  <r>
    <x v="940"/>
    <n v="1"/>
  </r>
  <r>
    <x v="941"/>
    <n v="1"/>
  </r>
  <r>
    <x v="942"/>
    <n v="1"/>
  </r>
  <r>
    <x v="942"/>
    <n v="1"/>
  </r>
  <r>
    <x v="943"/>
    <n v="1"/>
  </r>
  <r>
    <x v="943"/>
    <n v="1"/>
  </r>
  <r>
    <x v="943"/>
    <n v="1"/>
  </r>
  <r>
    <x v="944"/>
    <n v="1"/>
  </r>
  <r>
    <x v="944"/>
    <n v="1"/>
  </r>
  <r>
    <x v="945"/>
    <n v="1"/>
  </r>
  <r>
    <x v="945"/>
    <n v="1"/>
  </r>
  <r>
    <x v="945"/>
    <n v="1"/>
  </r>
  <r>
    <x v="946"/>
    <n v="1"/>
  </r>
  <r>
    <x v="946"/>
    <n v="1"/>
  </r>
  <r>
    <x v="947"/>
    <n v="1"/>
  </r>
  <r>
    <x v="947"/>
    <n v="1"/>
  </r>
  <r>
    <x v="947"/>
    <n v="1"/>
  </r>
  <r>
    <x v="948"/>
    <n v="1"/>
  </r>
  <r>
    <x v="948"/>
    <n v="1"/>
  </r>
  <r>
    <x v="948"/>
    <n v="1"/>
  </r>
  <r>
    <x v="949"/>
    <n v="1"/>
  </r>
  <r>
    <x v="950"/>
    <n v="1"/>
  </r>
  <r>
    <x v="951"/>
    <n v="1"/>
  </r>
  <r>
    <x v="951"/>
    <n v="1"/>
  </r>
  <r>
    <x v="951"/>
    <n v="1"/>
  </r>
  <r>
    <x v="952"/>
    <n v="1"/>
  </r>
  <r>
    <x v="952"/>
    <n v="1"/>
  </r>
  <r>
    <x v="952"/>
    <n v="1"/>
  </r>
  <r>
    <x v="953"/>
    <n v="1"/>
  </r>
  <r>
    <x v="953"/>
    <n v="1"/>
  </r>
  <r>
    <x v="954"/>
    <n v="1"/>
  </r>
  <r>
    <x v="954"/>
    <n v="1"/>
  </r>
  <r>
    <x v="955"/>
    <n v="1"/>
  </r>
  <r>
    <x v="955"/>
    <n v="1"/>
  </r>
  <r>
    <x v="956"/>
    <n v="1"/>
  </r>
  <r>
    <x v="956"/>
    <n v="1"/>
  </r>
  <r>
    <x v="957"/>
    <n v="1"/>
  </r>
  <r>
    <x v="957"/>
    <n v="1"/>
  </r>
  <r>
    <x v="957"/>
    <n v="1"/>
  </r>
  <r>
    <x v="958"/>
    <n v="1"/>
  </r>
  <r>
    <x v="958"/>
    <n v="1"/>
  </r>
  <r>
    <x v="958"/>
    <n v="1"/>
  </r>
  <r>
    <x v="958"/>
    <n v="1"/>
  </r>
  <r>
    <x v="959"/>
    <n v="1"/>
  </r>
  <r>
    <x v="960"/>
    <n v="1"/>
  </r>
  <r>
    <x v="960"/>
    <n v="1"/>
  </r>
  <r>
    <x v="961"/>
    <n v="1"/>
  </r>
  <r>
    <x v="961"/>
    <n v="1"/>
  </r>
  <r>
    <x v="962"/>
    <n v="1"/>
  </r>
  <r>
    <x v="963"/>
    <n v="1"/>
  </r>
  <r>
    <x v="963"/>
    <n v="1"/>
  </r>
  <r>
    <x v="964"/>
    <n v="1"/>
  </r>
  <r>
    <x v="964"/>
    <n v="1"/>
  </r>
  <r>
    <x v="964"/>
    <n v="1"/>
  </r>
  <r>
    <x v="965"/>
    <n v="1"/>
  </r>
  <r>
    <x v="965"/>
    <n v="1"/>
  </r>
  <r>
    <x v="966"/>
    <n v="1"/>
  </r>
  <r>
    <x v="967"/>
    <n v="1"/>
  </r>
  <r>
    <x v="967"/>
    <n v="1"/>
  </r>
  <r>
    <x v="967"/>
    <n v="1"/>
  </r>
  <r>
    <x v="967"/>
    <n v="1"/>
  </r>
  <r>
    <x v="968"/>
    <n v="1"/>
  </r>
  <r>
    <x v="968"/>
    <n v="1"/>
  </r>
  <r>
    <x v="968"/>
    <n v="1"/>
  </r>
  <r>
    <x v="968"/>
    <n v="1"/>
  </r>
  <r>
    <x v="969"/>
    <n v="1"/>
  </r>
  <r>
    <x v="969"/>
    <n v="1"/>
  </r>
  <r>
    <x v="970"/>
    <n v="1"/>
  </r>
  <r>
    <x v="970"/>
    <n v="1"/>
  </r>
  <r>
    <x v="970"/>
    <n v="1"/>
  </r>
  <r>
    <x v="971"/>
    <n v="1"/>
  </r>
  <r>
    <x v="972"/>
    <n v="1"/>
  </r>
  <r>
    <x v="972"/>
    <n v="1"/>
  </r>
  <r>
    <x v="973"/>
    <n v="1"/>
  </r>
  <r>
    <x v="973"/>
    <n v="1"/>
  </r>
  <r>
    <x v="973"/>
    <n v="1"/>
  </r>
  <r>
    <x v="974"/>
    <n v="1"/>
  </r>
  <r>
    <x v="974"/>
    <n v="1"/>
  </r>
  <r>
    <x v="974"/>
    <n v="1"/>
  </r>
  <r>
    <x v="975"/>
    <n v="1"/>
  </r>
  <r>
    <x v="975"/>
    <n v="1"/>
  </r>
  <r>
    <x v="975"/>
    <n v="1"/>
  </r>
  <r>
    <x v="975"/>
    <n v="1"/>
  </r>
  <r>
    <x v="975"/>
    <n v="1"/>
  </r>
  <r>
    <x v="975"/>
    <n v="1"/>
  </r>
  <r>
    <x v="976"/>
    <n v="1"/>
  </r>
  <r>
    <x v="976"/>
    <n v="1"/>
  </r>
  <r>
    <x v="976"/>
    <n v="1"/>
  </r>
  <r>
    <x v="976"/>
    <n v="1"/>
  </r>
  <r>
    <x v="976"/>
    <n v="1"/>
  </r>
  <r>
    <x v="976"/>
    <n v="1"/>
  </r>
  <r>
    <x v="977"/>
    <n v="1"/>
  </r>
  <r>
    <x v="977"/>
    <n v="1"/>
  </r>
  <r>
    <x v="977"/>
    <n v="1"/>
  </r>
  <r>
    <x v="977"/>
    <n v="1"/>
  </r>
  <r>
    <x v="978"/>
    <n v="1"/>
  </r>
  <r>
    <x v="978"/>
    <n v="1"/>
  </r>
  <r>
    <x v="978"/>
    <n v="1"/>
  </r>
  <r>
    <x v="978"/>
    <n v="1"/>
  </r>
  <r>
    <x v="979"/>
    <n v="1"/>
  </r>
  <r>
    <x v="979"/>
    <n v="1"/>
  </r>
  <r>
    <x v="979"/>
    <n v="1"/>
  </r>
  <r>
    <x v="980"/>
    <n v="1"/>
  </r>
  <r>
    <x v="980"/>
    <n v="1"/>
  </r>
  <r>
    <x v="980"/>
    <n v="1"/>
  </r>
  <r>
    <x v="980"/>
    <n v="1"/>
  </r>
  <r>
    <x v="981"/>
    <n v="1"/>
  </r>
  <r>
    <x v="982"/>
    <n v="1"/>
  </r>
  <r>
    <x v="983"/>
    <n v="1"/>
  </r>
  <r>
    <x v="983"/>
    <n v="1"/>
  </r>
  <r>
    <x v="983"/>
    <n v="1"/>
  </r>
  <r>
    <x v="983"/>
    <n v="1"/>
  </r>
  <r>
    <x v="984"/>
    <n v="1"/>
  </r>
  <r>
    <x v="984"/>
    <n v="1"/>
  </r>
  <r>
    <x v="985"/>
    <n v="1"/>
  </r>
  <r>
    <x v="985"/>
    <n v="1"/>
  </r>
  <r>
    <x v="986"/>
    <n v="1"/>
  </r>
  <r>
    <x v="986"/>
    <n v="1"/>
  </r>
  <r>
    <x v="986"/>
    <n v="1"/>
  </r>
  <r>
    <x v="986"/>
    <n v="1"/>
  </r>
  <r>
    <x v="987"/>
    <n v="1"/>
  </r>
  <r>
    <x v="987"/>
    <n v="1"/>
  </r>
  <r>
    <x v="987"/>
    <n v="1"/>
  </r>
  <r>
    <x v="987"/>
    <n v="1"/>
  </r>
  <r>
    <x v="988"/>
    <n v="1"/>
  </r>
  <r>
    <x v="988"/>
    <n v="1"/>
  </r>
  <r>
    <x v="989"/>
    <n v="1"/>
  </r>
  <r>
    <x v="990"/>
    <n v="1"/>
  </r>
  <r>
    <x v="990"/>
    <n v="1"/>
  </r>
  <r>
    <x v="990"/>
    <n v="1"/>
  </r>
  <r>
    <x v="990"/>
    <n v="1"/>
  </r>
  <r>
    <x v="990"/>
    <n v="1"/>
  </r>
  <r>
    <x v="991"/>
    <n v="1"/>
  </r>
  <r>
    <x v="991"/>
    <n v="1"/>
  </r>
  <r>
    <x v="992"/>
    <n v="1"/>
  </r>
  <r>
    <x v="992"/>
    <n v="1"/>
  </r>
  <r>
    <x v="992"/>
    <n v="1"/>
  </r>
  <r>
    <x v="993"/>
    <n v="1"/>
  </r>
  <r>
    <x v="994"/>
    <n v="1"/>
  </r>
  <r>
    <x v="994"/>
    <n v="1"/>
  </r>
  <r>
    <x v="994"/>
    <n v="1"/>
  </r>
  <r>
    <x v="994"/>
    <n v="1"/>
  </r>
  <r>
    <x v="994"/>
    <n v="1"/>
  </r>
  <r>
    <x v="995"/>
    <n v="1"/>
  </r>
  <r>
    <x v="995"/>
    <n v="1"/>
  </r>
  <r>
    <x v="995"/>
    <n v="1"/>
  </r>
  <r>
    <x v="995"/>
    <n v="1"/>
  </r>
  <r>
    <x v="996"/>
    <n v="1"/>
  </r>
  <r>
    <x v="996"/>
    <n v="1"/>
  </r>
  <r>
    <x v="996"/>
    <n v="1"/>
  </r>
  <r>
    <x v="996"/>
    <n v="1"/>
  </r>
  <r>
    <x v="997"/>
    <n v="1"/>
  </r>
  <r>
    <x v="998"/>
    <n v="1"/>
  </r>
  <r>
    <x v="999"/>
    <n v="1"/>
  </r>
  <r>
    <x v="999"/>
    <n v="1"/>
  </r>
  <r>
    <x v="999"/>
    <n v="1"/>
  </r>
  <r>
    <x v="999"/>
    <n v="1"/>
  </r>
  <r>
    <x v="999"/>
    <n v="1"/>
  </r>
  <r>
    <x v="1000"/>
    <n v="1"/>
  </r>
  <r>
    <x v="1001"/>
    <n v="1"/>
  </r>
  <r>
    <x v="1001"/>
    <n v="1"/>
  </r>
  <r>
    <x v="1001"/>
    <n v="1"/>
  </r>
  <r>
    <x v="1002"/>
    <n v="1"/>
  </r>
  <r>
    <x v="1002"/>
    <n v="1"/>
  </r>
  <r>
    <x v="1002"/>
    <n v="1"/>
  </r>
  <r>
    <x v="1002"/>
    <n v="1"/>
  </r>
  <r>
    <x v="1002"/>
    <n v="1"/>
  </r>
  <r>
    <x v="1003"/>
    <n v="1"/>
  </r>
  <r>
    <x v="1003"/>
    <n v="1"/>
  </r>
  <r>
    <x v="1004"/>
    <n v="1"/>
  </r>
  <r>
    <x v="1004"/>
    <n v="1"/>
  </r>
  <r>
    <x v="1004"/>
    <n v="1"/>
  </r>
  <r>
    <x v="1004"/>
    <n v="1"/>
  </r>
  <r>
    <x v="1004"/>
    <n v="1"/>
  </r>
  <r>
    <x v="1005"/>
    <n v="1"/>
  </r>
  <r>
    <x v="1005"/>
    <n v="1"/>
  </r>
  <r>
    <x v="1005"/>
    <n v="1"/>
  </r>
  <r>
    <x v="1006"/>
    <n v="1"/>
  </r>
  <r>
    <x v="1006"/>
    <n v="1"/>
  </r>
  <r>
    <x v="1006"/>
    <n v="1"/>
  </r>
  <r>
    <x v="1007"/>
    <n v="1"/>
  </r>
  <r>
    <x v="1007"/>
    <n v="1"/>
  </r>
  <r>
    <x v="1007"/>
    <n v="1"/>
  </r>
  <r>
    <x v="1008"/>
    <n v="1"/>
  </r>
  <r>
    <x v="1008"/>
    <n v="1"/>
  </r>
  <r>
    <x v="1008"/>
    <n v="1"/>
  </r>
  <r>
    <x v="1008"/>
    <n v="1"/>
  </r>
  <r>
    <x v="1009"/>
    <n v="1"/>
  </r>
  <r>
    <x v="1009"/>
    <n v="1"/>
  </r>
  <r>
    <x v="1009"/>
    <n v="1"/>
  </r>
  <r>
    <x v="1010"/>
    <n v="1"/>
  </r>
  <r>
    <x v="1010"/>
    <n v="1"/>
  </r>
  <r>
    <x v="1010"/>
    <n v="1"/>
  </r>
  <r>
    <x v="1010"/>
    <n v="1"/>
  </r>
  <r>
    <x v="1011"/>
    <n v="1"/>
  </r>
  <r>
    <x v="1011"/>
    <n v="1"/>
  </r>
  <r>
    <x v="1011"/>
    <n v="1"/>
  </r>
  <r>
    <x v="1012"/>
    <n v="1"/>
  </r>
  <r>
    <x v="1013"/>
    <n v="1"/>
  </r>
  <r>
    <x v="1013"/>
    <n v="1"/>
  </r>
  <r>
    <x v="1013"/>
    <n v="1"/>
  </r>
  <r>
    <x v="1013"/>
    <n v="1"/>
  </r>
  <r>
    <x v="1013"/>
    <n v="1"/>
  </r>
  <r>
    <x v="1013"/>
    <n v="1"/>
  </r>
  <r>
    <x v="1014"/>
    <n v="1"/>
  </r>
  <r>
    <x v="1014"/>
    <n v="1"/>
  </r>
  <r>
    <x v="1015"/>
    <n v="1"/>
  </r>
  <r>
    <x v="1015"/>
    <n v="1"/>
  </r>
  <r>
    <x v="1015"/>
    <n v="1"/>
  </r>
  <r>
    <x v="1015"/>
    <n v="1"/>
  </r>
  <r>
    <x v="1016"/>
    <n v="1"/>
  </r>
  <r>
    <x v="1016"/>
    <n v="1"/>
  </r>
  <r>
    <x v="1016"/>
    <n v="1"/>
  </r>
  <r>
    <x v="1016"/>
    <n v="1"/>
  </r>
  <r>
    <x v="1016"/>
    <n v="1"/>
  </r>
  <r>
    <x v="1017"/>
    <n v="1"/>
  </r>
  <r>
    <x v="1017"/>
    <n v="1"/>
  </r>
  <r>
    <x v="1017"/>
    <n v="1"/>
  </r>
  <r>
    <x v="1017"/>
    <n v="1"/>
  </r>
  <r>
    <x v="1018"/>
    <n v="1"/>
  </r>
  <r>
    <x v="1018"/>
    <n v="1"/>
  </r>
  <r>
    <x v="1018"/>
    <n v="1"/>
  </r>
  <r>
    <x v="1018"/>
    <n v="1"/>
  </r>
  <r>
    <x v="1019"/>
    <n v="1"/>
  </r>
  <r>
    <x v="1020"/>
    <n v="1"/>
  </r>
  <r>
    <x v="1020"/>
    <n v="1"/>
  </r>
  <r>
    <x v="1020"/>
    <n v="1"/>
  </r>
  <r>
    <x v="1021"/>
    <n v="1"/>
  </r>
  <r>
    <x v="1022"/>
    <n v="1"/>
  </r>
  <r>
    <x v="1022"/>
    <n v="1"/>
  </r>
  <r>
    <x v="1022"/>
    <n v="1"/>
  </r>
  <r>
    <x v="1022"/>
    <n v="1"/>
  </r>
  <r>
    <x v="1023"/>
    <n v="1"/>
  </r>
  <r>
    <x v="1023"/>
    <n v="1"/>
  </r>
  <r>
    <x v="1024"/>
    <n v="1"/>
  </r>
  <r>
    <x v="1025"/>
    <n v="1"/>
  </r>
  <r>
    <x v="1025"/>
    <n v="1"/>
  </r>
  <r>
    <x v="1025"/>
    <n v="1"/>
  </r>
  <r>
    <x v="1026"/>
    <n v="1"/>
  </r>
  <r>
    <x v="1026"/>
    <n v="1"/>
  </r>
  <r>
    <x v="1026"/>
    <n v="1"/>
  </r>
  <r>
    <x v="1027"/>
    <n v="1"/>
  </r>
  <r>
    <x v="1027"/>
    <n v="1"/>
  </r>
  <r>
    <x v="1027"/>
    <n v="1"/>
  </r>
  <r>
    <x v="1028"/>
    <n v="1"/>
  </r>
  <r>
    <x v="1029"/>
    <n v="1"/>
  </r>
  <r>
    <x v="1030"/>
    <n v="1"/>
  </r>
  <r>
    <x v="1030"/>
    <n v="1"/>
  </r>
  <r>
    <x v="1030"/>
    <n v="1"/>
  </r>
  <r>
    <x v="1031"/>
    <n v="1"/>
  </r>
  <r>
    <x v="1031"/>
    <n v="1"/>
  </r>
  <r>
    <x v="1032"/>
    <n v="1"/>
  </r>
  <r>
    <x v="1032"/>
    <n v="1"/>
  </r>
  <r>
    <x v="1032"/>
    <n v="1"/>
  </r>
  <r>
    <x v="1033"/>
    <n v="1"/>
  </r>
  <r>
    <x v="1033"/>
    <n v="1"/>
  </r>
  <r>
    <x v="1033"/>
    <n v="1"/>
  </r>
  <r>
    <x v="1034"/>
    <n v="1"/>
  </r>
  <r>
    <x v="1034"/>
    <n v="1"/>
  </r>
  <r>
    <x v="1035"/>
    <n v="1"/>
  </r>
  <r>
    <x v="1035"/>
    <n v="1"/>
  </r>
  <r>
    <x v="1035"/>
    <n v="1"/>
  </r>
  <r>
    <x v="1036"/>
    <n v="1"/>
  </r>
  <r>
    <x v="1037"/>
    <n v="1"/>
  </r>
  <r>
    <x v="1037"/>
    <n v="1"/>
  </r>
  <r>
    <x v="1037"/>
    <n v="1"/>
  </r>
  <r>
    <x v="1037"/>
    <n v="1"/>
  </r>
  <r>
    <x v="1038"/>
    <n v="1"/>
  </r>
  <r>
    <x v="1038"/>
    <n v="1"/>
  </r>
  <r>
    <x v="1038"/>
    <n v="1"/>
  </r>
  <r>
    <x v="1038"/>
    <n v="1"/>
  </r>
  <r>
    <x v="1039"/>
    <n v="1"/>
  </r>
  <r>
    <x v="1039"/>
    <n v="1"/>
  </r>
  <r>
    <x v="1039"/>
    <n v="1"/>
  </r>
  <r>
    <x v="1040"/>
    <n v="1"/>
  </r>
  <r>
    <x v="1040"/>
    <n v="1"/>
  </r>
  <r>
    <x v="1041"/>
    <n v="1"/>
  </r>
  <r>
    <x v="1041"/>
    <n v="1"/>
  </r>
  <r>
    <x v="1041"/>
    <n v="1"/>
  </r>
  <r>
    <x v="1041"/>
    <n v="1"/>
  </r>
  <r>
    <x v="1042"/>
    <n v="1"/>
  </r>
  <r>
    <x v="1043"/>
    <n v="1"/>
  </r>
  <r>
    <x v="1044"/>
    <n v="1"/>
  </r>
  <r>
    <x v="1044"/>
    <n v="1"/>
  </r>
  <r>
    <x v="1044"/>
    <n v="1"/>
  </r>
  <r>
    <x v="1044"/>
    <n v="1"/>
  </r>
  <r>
    <x v="1044"/>
    <n v="1"/>
  </r>
  <r>
    <x v="1045"/>
    <n v="1"/>
  </r>
  <r>
    <x v="1045"/>
    <n v="1"/>
  </r>
  <r>
    <x v="1045"/>
    <n v="1"/>
  </r>
  <r>
    <x v="1046"/>
    <n v="1"/>
  </r>
  <r>
    <x v="1047"/>
    <n v="1"/>
  </r>
  <r>
    <x v="1047"/>
    <n v="1"/>
  </r>
  <r>
    <x v="1047"/>
    <n v="1"/>
  </r>
  <r>
    <x v="1048"/>
    <n v="1"/>
  </r>
  <r>
    <x v="1048"/>
    <n v="1"/>
  </r>
  <r>
    <x v="1049"/>
    <n v="1"/>
  </r>
  <r>
    <x v="1049"/>
    <n v="1"/>
  </r>
  <r>
    <x v="1050"/>
    <n v="1"/>
  </r>
  <r>
    <x v="1050"/>
    <n v="1"/>
  </r>
  <r>
    <x v="1051"/>
    <n v="1"/>
  </r>
  <r>
    <x v="1052"/>
    <n v="1"/>
  </r>
  <r>
    <x v="1052"/>
    <n v="1"/>
  </r>
  <r>
    <x v="1052"/>
    <n v="1"/>
  </r>
  <r>
    <x v="1052"/>
    <n v="1"/>
  </r>
  <r>
    <x v="1053"/>
    <n v="1"/>
  </r>
  <r>
    <x v="1054"/>
    <n v="1"/>
  </r>
  <r>
    <x v="1054"/>
    <n v="1"/>
  </r>
  <r>
    <x v="1055"/>
    <n v="1"/>
  </r>
  <r>
    <x v="1056"/>
    <n v="1"/>
  </r>
  <r>
    <x v="1056"/>
    <n v="1"/>
  </r>
  <r>
    <x v="1056"/>
    <n v="1"/>
  </r>
  <r>
    <x v="1056"/>
    <n v="1"/>
  </r>
  <r>
    <x v="1057"/>
    <n v="1"/>
  </r>
  <r>
    <x v="1058"/>
    <n v="1"/>
  </r>
  <r>
    <x v="1059"/>
    <n v="1"/>
  </r>
  <r>
    <x v="1059"/>
    <n v="1"/>
  </r>
  <r>
    <x v="1059"/>
    <n v="1"/>
  </r>
  <r>
    <x v="1059"/>
    <n v="1"/>
  </r>
  <r>
    <x v="1060"/>
    <n v="1"/>
  </r>
  <r>
    <x v="1060"/>
    <n v="1"/>
  </r>
  <r>
    <x v="1060"/>
    <n v="1"/>
  </r>
  <r>
    <x v="1061"/>
    <n v="1"/>
  </r>
  <r>
    <x v="1062"/>
    <n v="1"/>
  </r>
  <r>
    <x v="1062"/>
    <n v="1"/>
  </r>
  <r>
    <x v="1062"/>
    <n v="1"/>
  </r>
  <r>
    <x v="1063"/>
    <n v="1"/>
  </r>
  <r>
    <x v="1063"/>
    <n v="1"/>
  </r>
  <r>
    <x v="1063"/>
    <n v="1"/>
  </r>
  <r>
    <x v="1064"/>
    <n v="1"/>
  </r>
  <r>
    <x v="1065"/>
    <n v="1"/>
  </r>
  <r>
    <x v="1065"/>
    <n v="1"/>
  </r>
  <r>
    <x v="1066"/>
    <n v="1"/>
  </r>
  <r>
    <x v="1066"/>
    <n v="1"/>
  </r>
  <r>
    <x v="1066"/>
    <n v="1"/>
  </r>
  <r>
    <x v="1066"/>
    <n v="1"/>
  </r>
  <r>
    <x v="1067"/>
    <n v="1"/>
  </r>
  <r>
    <x v="1067"/>
    <n v="1"/>
  </r>
  <r>
    <x v="1068"/>
    <n v="1"/>
  </r>
  <r>
    <x v="1068"/>
    <n v="1"/>
  </r>
  <r>
    <x v="1068"/>
    <n v="1"/>
  </r>
  <r>
    <x v="1068"/>
    <n v="1"/>
  </r>
  <r>
    <x v="1069"/>
    <n v="1"/>
  </r>
  <r>
    <x v="1069"/>
    <n v="1"/>
  </r>
  <r>
    <x v="1070"/>
    <n v="1"/>
  </r>
  <r>
    <x v="1070"/>
    <n v="1"/>
  </r>
  <r>
    <x v="1070"/>
    <n v="1"/>
  </r>
  <r>
    <x v="1071"/>
    <n v="1"/>
  </r>
  <r>
    <x v="1072"/>
    <n v="1"/>
  </r>
  <r>
    <x v="1072"/>
    <n v="1"/>
  </r>
  <r>
    <x v="1073"/>
    <n v="1"/>
  </r>
  <r>
    <x v="1073"/>
    <n v="1"/>
  </r>
  <r>
    <x v="1074"/>
    <n v="1"/>
  </r>
  <r>
    <x v="1074"/>
    <n v="1"/>
  </r>
  <r>
    <x v="1074"/>
    <n v="1"/>
  </r>
  <r>
    <x v="1075"/>
    <n v="1"/>
  </r>
  <r>
    <x v="1075"/>
    <n v="1"/>
  </r>
  <r>
    <x v="1075"/>
    <n v="1"/>
  </r>
  <r>
    <x v="1076"/>
    <n v="1"/>
  </r>
  <r>
    <x v="1077"/>
    <n v="1"/>
  </r>
  <r>
    <x v="1077"/>
    <n v="1"/>
  </r>
  <r>
    <x v="1077"/>
    <n v="1"/>
  </r>
  <r>
    <x v="1078"/>
    <n v="1"/>
  </r>
  <r>
    <x v="1078"/>
    <n v="1"/>
  </r>
  <r>
    <x v="1079"/>
    <n v="1"/>
  </r>
  <r>
    <x v="1079"/>
    <n v="1"/>
  </r>
  <r>
    <x v="1079"/>
    <n v="1"/>
  </r>
  <r>
    <x v="1079"/>
    <n v="1"/>
  </r>
  <r>
    <x v="1079"/>
    <n v="1"/>
  </r>
  <r>
    <x v="1079"/>
    <n v="1"/>
  </r>
  <r>
    <x v="1080"/>
    <n v="1"/>
  </r>
  <r>
    <x v="1080"/>
    <n v="1"/>
  </r>
  <r>
    <x v="1080"/>
    <n v="1"/>
  </r>
  <r>
    <x v="1081"/>
    <n v="1"/>
  </r>
  <r>
    <x v="1081"/>
    <n v="1"/>
  </r>
  <r>
    <x v="1081"/>
    <n v="1"/>
  </r>
  <r>
    <x v="1082"/>
    <n v="1"/>
  </r>
  <r>
    <x v="1082"/>
    <n v="1"/>
  </r>
  <r>
    <x v="1082"/>
    <n v="1"/>
  </r>
  <r>
    <x v="1083"/>
    <n v="1"/>
  </r>
  <r>
    <x v="1083"/>
    <n v="1"/>
  </r>
  <r>
    <x v="1084"/>
    <n v="1"/>
  </r>
  <r>
    <x v="1085"/>
    <n v="1"/>
  </r>
  <r>
    <x v="1085"/>
    <n v="1"/>
  </r>
  <r>
    <x v="1085"/>
    <n v="1"/>
  </r>
  <r>
    <x v="1085"/>
    <n v="1"/>
  </r>
  <r>
    <x v="1085"/>
    <n v="1"/>
  </r>
  <r>
    <x v="1086"/>
    <n v="1"/>
  </r>
  <r>
    <x v="1086"/>
    <n v="1"/>
  </r>
  <r>
    <x v="1087"/>
    <n v="1"/>
  </r>
  <r>
    <x v="1087"/>
    <n v="1"/>
  </r>
  <r>
    <x v="1087"/>
    <n v="1"/>
  </r>
  <r>
    <x v="1087"/>
    <n v="1"/>
  </r>
  <r>
    <x v="1088"/>
    <n v="1"/>
  </r>
  <r>
    <x v="1088"/>
    <n v="1"/>
  </r>
  <r>
    <x v="1089"/>
    <n v="1"/>
  </r>
  <r>
    <x v="1089"/>
    <n v="1"/>
  </r>
  <r>
    <x v="1089"/>
    <n v="1"/>
  </r>
  <r>
    <x v="1089"/>
    <n v="1"/>
  </r>
  <r>
    <x v="1089"/>
    <n v="1"/>
  </r>
  <r>
    <x v="1090"/>
    <n v="1"/>
  </r>
  <r>
    <x v="1091"/>
    <n v="1"/>
  </r>
  <r>
    <x v="1092"/>
    <n v="1"/>
  </r>
  <r>
    <x v="1092"/>
    <n v="1"/>
  </r>
  <r>
    <x v="1093"/>
    <n v="1"/>
  </r>
  <r>
    <x v="1093"/>
    <n v="1"/>
  </r>
  <r>
    <x v="1094"/>
    <n v="1"/>
  </r>
  <r>
    <x v="1094"/>
    <n v="1"/>
  </r>
  <r>
    <x v="1094"/>
    <n v="1"/>
  </r>
  <r>
    <x v="1095"/>
    <n v="1"/>
  </r>
  <r>
    <x v="1095"/>
    <n v="1"/>
  </r>
  <r>
    <x v="1095"/>
    <n v="1"/>
  </r>
  <r>
    <x v="1095"/>
    <n v="1"/>
  </r>
  <r>
    <x v="1095"/>
    <n v="1"/>
  </r>
  <r>
    <x v="1095"/>
    <n v="1"/>
  </r>
  <r>
    <x v="1095"/>
    <n v="1"/>
  </r>
  <r>
    <x v="1096"/>
    <n v="1"/>
  </r>
  <r>
    <x v="1097"/>
    <n v="1"/>
  </r>
  <r>
    <x v="1097"/>
    <n v="1"/>
  </r>
  <r>
    <x v="1097"/>
    <n v="1"/>
  </r>
  <r>
    <x v="1097"/>
    <n v="1"/>
  </r>
  <r>
    <x v="1097"/>
    <n v="1"/>
  </r>
  <r>
    <x v="1098"/>
    <n v="1"/>
  </r>
  <r>
    <x v="1098"/>
    <n v="1"/>
  </r>
  <r>
    <x v="1098"/>
    <n v="1"/>
  </r>
  <r>
    <x v="1099"/>
    <n v="1"/>
  </r>
  <r>
    <x v="1099"/>
    <n v="1"/>
  </r>
  <r>
    <x v="1099"/>
    <n v="1"/>
  </r>
  <r>
    <x v="1100"/>
    <n v="1"/>
  </r>
  <r>
    <x v="1100"/>
    <n v="1"/>
  </r>
  <r>
    <x v="1100"/>
    <n v="1"/>
  </r>
  <r>
    <x v="1100"/>
    <n v="1"/>
  </r>
  <r>
    <x v="1101"/>
    <n v="1"/>
  </r>
  <r>
    <x v="1101"/>
    <n v="1"/>
  </r>
  <r>
    <x v="1102"/>
    <n v="1"/>
  </r>
  <r>
    <x v="1102"/>
    <n v="1"/>
  </r>
  <r>
    <x v="1102"/>
    <n v="1"/>
  </r>
  <r>
    <x v="1102"/>
    <n v="1"/>
  </r>
  <r>
    <x v="1103"/>
    <n v="1"/>
  </r>
  <r>
    <x v="1103"/>
    <n v="1"/>
  </r>
  <r>
    <x v="1103"/>
    <n v="1"/>
  </r>
  <r>
    <x v="1104"/>
    <n v="1"/>
  </r>
  <r>
    <x v="1104"/>
    <n v="1"/>
  </r>
  <r>
    <x v="1104"/>
    <n v="1"/>
  </r>
  <r>
    <x v="1105"/>
    <n v="1"/>
  </r>
  <r>
    <x v="1106"/>
    <n v="1"/>
  </r>
  <r>
    <x v="1106"/>
    <n v="1"/>
  </r>
  <r>
    <x v="1106"/>
    <n v="1"/>
  </r>
  <r>
    <x v="1106"/>
    <n v="1"/>
  </r>
  <r>
    <x v="1107"/>
    <n v="1"/>
  </r>
  <r>
    <x v="1108"/>
    <n v="1"/>
  </r>
  <r>
    <x v="1109"/>
    <n v="1"/>
  </r>
  <r>
    <x v="1109"/>
    <n v="1"/>
  </r>
  <r>
    <x v="1109"/>
    <n v="1"/>
  </r>
  <r>
    <x v="1110"/>
    <n v="1"/>
  </r>
  <r>
    <x v="1111"/>
    <n v="1"/>
  </r>
  <r>
    <x v="1111"/>
    <n v="1"/>
  </r>
  <r>
    <x v="1112"/>
    <n v="1"/>
  </r>
  <r>
    <x v="1113"/>
    <n v="1"/>
  </r>
  <r>
    <x v="1113"/>
    <n v="1"/>
  </r>
  <r>
    <x v="1113"/>
    <n v="1"/>
  </r>
  <r>
    <x v="1113"/>
    <n v="1"/>
  </r>
  <r>
    <x v="1113"/>
    <n v="1"/>
  </r>
  <r>
    <x v="1114"/>
    <n v="1"/>
  </r>
  <r>
    <x v="1114"/>
    <n v="1"/>
  </r>
  <r>
    <x v="1115"/>
    <n v="1"/>
  </r>
  <r>
    <x v="1116"/>
    <n v="1"/>
  </r>
  <r>
    <x v="1116"/>
    <n v="1"/>
  </r>
  <r>
    <x v="1117"/>
    <n v="1"/>
  </r>
  <r>
    <x v="1117"/>
    <n v="1"/>
  </r>
  <r>
    <x v="1118"/>
    <n v="1"/>
  </r>
  <r>
    <x v="1119"/>
    <n v="1"/>
  </r>
  <r>
    <x v="1119"/>
    <n v="1"/>
  </r>
  <r>
    <x v="1120"/>
    <n v="1"/>
  </r>
  <r>
    <x v="1120"/>
    <n v="1"/>
  </r>
  <r>
    <x v="1121"/>
    <n v="1"/>
  </r>
  <r>
    <x v="1122"/>
    <n v="1"/>
  </r>
  <r>
    <x v="1123"/>
    <n v="1"/>
  </r>
  <r>
    <x v="1123"/>
    <n v="1"/>
  </r>
  <r>
    <x v="1123"/>
    <n v="1"/>
  </r>
  <r>
    <x v="1123"/>
    <n v="1"/>
  </r>
  <r>
    <x v="1124"/>
    <n v="1"/>
  </r>
  <r>
    <x v="1124"/>
    <n v="1"/>
  </r>
  <r>
    <x v="1125"/>
    <n v="1"/>
  </r>
  <r>
    <x v="1126"/>
    <n v="1"/>
  </r>
  <r>
    <x v="1126"/>
    <n v="1"/>
  </r>
  <r>
    <x v="1126"/>
    <n v="1"/>
  </r>
  <r>
    <x v="1127"/>
    <n v="1"/>
  </r>
  <r>
    <x v="1127"/>
    <n v="1"/>
  </r>
  <r>
    <x v="1128"/>
    <n v="1"/>
  </r>
  <r>
    <x v="1129"/>
    <n v="1"/>
  </r>
  <r>
    <x v="1129"/>
    <n v="1"/>
  </r>
  <r>
    <x v="1130"/>
    <n v="1"/>
  </r>
  <r>
    <x v="1131"/>
    <n v="1"/>
  </r>
  <r>
    <x v="1132"/>
    <n v="1"/>
  </r>
  <r>
    <x v="1132"/>
    <n v="1"/>
  </r>
  <r>
    <x v="1132"/>
    <n v="1"/>
  </r>
  <r>
    <x v="1133"/>
    <n v="1"/>
  </r>
  <r>
    <x v="1134"/>
    <n v="1"/>
  </r>
  <r>
    <x v="1135"/>
    <n v="1"/>
  </r>
  <r>
    <x v="1136"/>
    <n v="1"/>
  </r>
  <r>
    <x v="1136"/>
    <n v="1"/>
  </r>
  <r>
    <x v="1137"/>
    <n v="1"/>
  </r>
  <r>
    <x v="1138"/>
    <n v="1"/>
  </r>
  <r>
    <x v="1138"/>
    <n v="1"/>
  </r>
  <r>
    <x v="1138"/>
    <n v="1"/>
  </r>
  <r>
    <x v="1138"/>
    <n v="1"/>
  </r>
  <r>
    <x v="1139"/>
    <n v="1"/>
  </r>
  <r>
    <x v="1139"/>
    <n v="1"/>
  </r>
  <r>
    <x v="1140"/>
    <n v="1"/>
  </r>
  <r>
    <x v="1141"/>
    <n v="1"/>
  </r>
  <r>
    <x v="1141"/>
    <n v="1"/>
  </r>
  <r>
    <x v="1142"/>
    <n v="1"/>
  </r>
  <r>
    <x v="1143"/>
    <n v="1"/>
  </r>
  <r>
    <x v="1144"/>
    <n v="1"/>
  </r>
  <r>
    <x v="1144"/>
    <n v="1"/>
  </r>
  <r>
    <x v="1145"/>
    <n v="1"/>
  </r>
  <r>
    <x v="1145"/>
    <n v="1"/>
  </r>
  <r>
    <x v="1146"/>
    <n v="1"/>
  </r>
  <r>
    <x v="1146"/>
    <n v="1"/>
  </r>
  <r>
    <x v="1146"/>
    <n v="1"/>
  </r>
  <r>
    <x v="1146"/>
    <n v="1"/>
  </r>
  <r>
    <x v="1147"/>
    <n v="1"/>
  </r>
  <r>
    <x v="1148"/>
    <n v="1"/>
  </r>
  <r>
    <x v="1148"/>
    <n v="1"/>
  </r>
  <r>
    <x v="1148"/>
    <n v="1"/>
  </r>
  <r>
    <x v="1149"/>
    <n v="1"/>
  </r>
  <r>
    <x v="1150"/>
    <n v="1"/>
  </r>
  <r>
    <x v="1150"/>
    <n v="1"/>
  </r>
  <r>
    <x v="1151"/>
    <n v="1"/>
  </r>
  <r>
    <x v="1151"/>
    <n v="1"/>
  </r>
  <r>
    <x v="1152"/>
    <n v="1"/>
  </r>
  <r>
    <x v="1152"/>
    <n v="1"/>
  </r>
  <r>
    <x v="1153"/>
    <n v="1"/>
  </r>
  <r>
    <x v="1153"/>
    <n v="1"/>
  </r>
  <r>
    <x v="1154"/>
    <n v="1"/>
  </r>
  <r>
    <x v="1154"/>
    <n v="1"/>
  </r>
  <r>
    <x v="1154"/>
    <n v="1"/>
  </r>
  <r>
    <x v="1155"/>
    <n v="1"/>
  </r>
  <r>
    <x v="1155"/>
    <n v="1"/>
  </r>
  <r>
    <x v="1156"/>
    <n v="1"/>
  </r>
  <r>
    <x v="1157"/>
    <n v="1"/>
  </r>
  <r>
    <x v="1157"/>
    <n v="1"/>
  </r>
  <r>
    <x v="1157"/>
    <n v="1"/>
  </r>
  <r>
    <x v="1158"/>
    <n v="1"/>
  </r>
  <r>
    <x v="1158"/>
    <n v="1"/>
  </r>
  <r>
    <x v="1159"/>
    <n v="1"/>
  </r>
  <r>
    <x v="1159"/>
    <n v="1"/>
  </r>
  <r>
    <x v="1160"/>
    <n v="1"/>
  </r>
  <r>
    <x v="1161"/>
    <n v="1"/>
  </r>
  <r>
    <x v="1161"/>
    <n v="1"/>
  </r>
  <r>
    <x v="1162"/>
    <n v="1"/>
  </r>
  <r>
    <x v="1162"/>
    <n v="1"/>
  </r>
  <r>
    <x v="1163"/>
    <n v="1"/>
  </r>
  <r>
    <x v="1164"/>
    <n v="1"/>
  </r>
  <r>
    <x v="1164"/>
    <n v="1"/>
  </r>
  <r>
    <x v="1165"/>
    <n v="1"/>
  </r>
  <r>
    <x v="1165"/>
    <n v="1"/>
  </r>
  <r>
    <x v="1166"/>
    <n v="1"/>
  </r>
  <r>
    <x v="1167"/>
    <n v="1"/>
  </r>
  <r>
    <x v="1168"/>
    <n v="1"/>
  </r>
  <r>
    <x v="1169"/>
    <n v="1"/>
  </r>
  <r>
    <x v="1169"/>
    <n v="1"/>
  </r>
  <r>
    <x v="1169"/>
    <n v="1"/>
  </r>
  <r>
    <x v="1170"/>
    <n v="1"/>
  </r>
  <r>
    <x v="1171"/>
    <n v="1"/>
  </r>
  <r>
    <x v="1171"/>
    <n v="1"/>
  </r>
  <r>
    <x v="1172"/>
    <n v="1"/>
  </r>
  <r>
    <x v="1173"/>
    <n v="1"/>
  </r>
  <r>
    <x v="1173"/>
    <n v="1"/>
  </r>
  <r>
    <x v="1174"/>
    <n v="1"/>
  </r>
  <r>
    <x v="1175"/>
    <n v="1"/>
  </r>
  <r>
    <x v="1176"/>
    <n v="1"/>
  </r>
  <r>
    <x v="1176"/>
    <n v="1"/>
  </r>
  <r>
    <x v="1177"/>
    <n v="1"/>
  </r>
  <r>
    <x v="1178"/>
    <n v="1"/>
  </r>
  <r>
    <x v="1179"/>
    <n v="1"/>
  </r>
  <r>
    <x v="1180"/>
    <n v="1"/>
  </r>
  <r>
    <x v="1180"/>
    <n v="1"/>
  </r>
  <r>
    <x v="1181"/>
    <n v="1"/>
  </r>
  <r>
    <x v="1181"/>
    <n v="1"/>
  </r>
  <r>
    <x v="1182"/>
    <n v="1"/>
  </r>
  <r>
    <x v="1182"/>
    <n v="1"/>
  </r>
  <r>
    <x v="1183"/>
    <n v="1"/>
  </r>
  <r>
    <x v="1183"/>
    <n v="1"/>
  </r>
  <r>
    <x v="1183"/>
    <n v="1"/>
  </r>
  <r>
    <x v="1184"/>
    <n v="1"/>
  </r>
  <r>
    <x v="1185"/>
    <n v="1"/>
  </r>
  <r>
    <x v="1186"/>
    <n v="1"/>
  </r>
  <r>
    <x v="1187"/>
    <n v="1"/>
  </r>
  <r>
    <x v="1188"/>
    <n v="1"/>
  </r>
  <r>
    <x v="1189"/>
    <n v="1"/>
  </r>
  <r>
    <x v="1189"/>
    <n v="1"/>
  </r>
  <r>
    <x v="1190"/>
    <n v="1"/>
  </r>
  <r>
    <x v="1191"/>
    <n v="1"/>
  </r>
  <r>
    <x v="1192"/>
    <n v="1"/>
  </r>
  <r>
    <x v="1193"/>
    <n v="1"/>
  </r>
  <r>
    <x v="1193"/>
    <n v="1"/>
  </r>
  <r>
    <x v="119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  <n v="1"/>
  </r>
  <r>
    <x v="1"/>
    <n v="1"/>
  </r>
  <r>
    <x v="2"/>
    <n v="1"/>
  </r>
  <r>
    <x v="3"/>
    <n v="1"/>
  </r>
  <r>
    <x v="3"/>
    <n v="1"/>
  </r>
  <r>
    <x v="0"/>
    <n v="1"/>
  </r>
  <r>
    <x v="0"/>
    <n v="1"/>
  </r>
  <r>
    <x v="4"/>
    <n v="1"/>
  </r>
  <r>
    <x v="5"/>
    <n v="1"/>
  </r>
  <r>
    <x v="6"/>
    <n v="1"/>
  </r>
  <r>
    <x v="5"/>
    <n v="1"/>
  </r>
  <r>
    <x v="5"/>
    <n v="1"/>
  </r>
  <r>
    <x v="3"/>
    <n v="1"/>
  </r>
  <r>
    <x v="2"/>
    <n v="1"/>
  </r>
  <r>
    <x v="0"/>
    <n v="1"/>
  </r>
  <r>
    <x v="7"/>
    <n v="1"/>
  </r>
  <r>
    <x v="3"/>
    <n v="1"/>
  </r>
  <r>
    <x v="0"/>
    <n v="1"/>
  </r>
  <r>
    <x v="0"/>
    <n v="1"/>
  </r>
  <r>
    <x v="5"/>
    <n v="1"/>
  </r>
  <r>
    <x v="4"/>
    <n v="1"/>
  </r>
  <r>
    <x v="8"/>
    <n v="1"/>
  </r>
  <r>
    <x v="3"/>
    <n v="1"/>
  </r>
  <r>
    <x v="9"/>
    <n v="1"/>
  </r>
  <r>
    <x v="0"/>
    <n v="1"/>
  </r>
  <r>
    <x v="10"/>
    <n v="1"/>
  </r>
  <r>
    <x v="0"/>
    <n v="1"/>
  </r>
  <r>
    <x v="5"/>
    <n v="1"/>
  </r>
  <r>
    <x v="4"/>
    <n v="1"/>
  </r>
  <r>
    <x v="10"/>
    <n v="1"/>
  </r>
  <r>
    <x v="11"/>
    <n v="1"/>
  </r>
  <r>
    <x v="8"/>
    <n v="1"/>
  </r>
  <r>
    <x v="10"/>
    <n v="1"/>
  </r>
  <r>
    <x v="5"/>
    <n v="1"/>
  </r>
  <r>
    <x v="1"/>
    <n v="1"/>
  </r>
  <r>
    <x v="0"/>
    <n v="1"/>
  </r>
  <r>
    <x v="3"/>
    <n v="1"/>
  </r>
  <r>
    <x v="3"/>
    <n v="1"/>
  </r>
  <r>
    <x v="0"/>
    <n v="1"/>
  </r>
  <r>
    <x v="5"/>
    <n v="1"/>
  </r>
  <r>
    <x v="0"/>
    <n v="1"/>
  </r>
  <r>
    <x v="12"/>
    <n v="1"/>
  </r>
  <r>
    <x v="7"/>
    <n v="1"/>
  </r>
  <r>
    <x v="13"/>
    <n v="1"/>
  </r>
  <r>
    <x v="14"/>
    <n v="1"/>
  </r>
  <r>
    <x v="9"/>
    <n v="1"/>
  </r>
  <r>
    <x v="0"/>
    <n v="1"/>
  </r>
  <r>
    <x v="0"/>
    <n v="1"/>
  </r>
  <r>
    <x v="4"/>
    <n v="1"/>
  </r>
  <r>
    <x v="5"/>
    <n v="1"/>
  </r>
  <r>
    <x v="4"/>
    <n v="1"/>
  </r>
  <r>
    <x v="0"/>
    <n v="1"/>
  </r>
  <r>
    <x v="2"/>
    <n v="1"/>
  </r>
  <r>
    <x v="0"/>
    <n v="1"/>
  </r>
  <r>
    <x v="3"/>
    <n v="1"/>
  </r>
  <r>
    <x v="5"/>
    <n v="1"/>
  </r>
  <r>
    <x v="0"/>
    <n v="1"/>
  </r>
  <r>
    <x v="14"/>
    <n v="1"/>
  </r>
  <r>
    <x v="2"/>
    <n v="1"/>
  </r>
  <r>
    <x v="6"/>
    <n v="1"/>
  </r>
  <r>
    <x v="12"/>
    <n v="1"/>
  </r>
  <r>
    <x v="2"/>
    <n v="1"/>
  </r>
  <r>
    <x v="9"/>
    <n v="1"/>
  </r>
  <r>
    <x v="9"/>
    <n v="1"/>
  </r>
  <r>
    <x v="15"/>
    <n v="1"/>
  </r>
  <r>
    <x v="8"/>
    <n v="1"/>
  </r>
  <r>
    <x v="0"/>
    <n v="1"/>
  </r>
  <r>
    <x v="0"/>
    <n v="1"/>
  </r>
  <r>
    <x v="16"/>
    <n v="1"/>
  </r>
  <r>
    <x v="12"/>
    <n v="1"/>
  </r>
  <r>
    <x v="4"/>
    <n v="1"/>
  </r>
  <r>
    <x v="15"/>
    <n v="1"/>
  </r>
  <r>
    <x v="2"/>
    <n v="1"/>
  </r>
  <r>
    <x v="4"/>
    <n v="1"/>
  </r>
  <r>
    <x v="4"/>
    <n v="1"/>
  </r>
  <r>
    <x v="1"/>
    <n v="1"/>
  </r>
  <r>
    <x v="0"/>
    <n v="1"/>
  </r>
  <r>
    <x v="9"/>
    <n v="1"/>
  </r>
  <r>
    <x v="0"/>
    <n v="1"/>
  </r>
  <r>
    <x v="9"/>
    <n v="1"/>
  </r>
  <r>
    <x v="3"/>
    <n v="1"/>
  </r>
  <r>
    <x v="4"/>
    <n v="1"/>
  </r>
  <r>
    <x v="7"/>
    <n v="1"/>
  </r>
  <r>
    <x v="10"/>
    <n v="1"/>
  </r>
  <r>
    <x v="12"/>
    <n v="1"/>
  </r>
  <r>
    <x v="0"/>
    <n v="1"/>
  </r>
  <r>
    <x v="3"/>
    <n v="1"/>
  </r>
  <r>
    <x v="17"/>
    <n v="1"/>
  </r>
  <r>
    <x v="7"/>
    <n v="1"/>
  </r>
  <r>
    <x v="0"/>
    <n v="1"/>
  </r>
  <r>
    <x v="15"/>
    <n v="1"/>
  </r>
  <r>
    <x v="0"/>
    <n v="1"/>
  </r>
  <r>
    <x v="10"/>
    <n v="1"/>
  </r>
  <r>
    <x v="16"/>
    <n v="1"/>
  </r>
  <r>
    <x v="1"/>
    <n v="1"/>
  </r>
  <r>
    <x v="5"/>
    <n v="1"/>
  </r>
  <r>
    <x v="18"/>
    <n v="1"/>
  </r>
  <r>
    <x v="2"/>
    <n v="1"/>
  </r>
  <r>
    <x v="0"/>
    <n v="1"/>
  </r>
  <r>
    <x v="4"/>
    <n v="1"/>
  </r>
  <r>
    <x v="6"/>
    <n v="1"/>
  </r>
  <r>
    <x v="8"/>
    <n v="1"/>
  </r>
  <r>
    <x v="5"/>
    <n v="1"/>
  </r>
  <r>
    <x v="8"/>
    <n v="1"/>
  </r>
  <r>
    <x v="2"/>
    <n v="1"/>
  </r>
  <r>
    <x v="0"/>
    <n v="1"/>
  </r>
  <r>
    <x v="19"/>
    <n v="1"/>
  </r>
  <r>
    <x v="9"/>
    <n v="1"/>
  </r>
  <r>
    <x v="3"/>
    <n v="1"/>
  </r>
  <r>
    <x v="12"/>
    <n v="1"/>
  </r>
  <r>
    <x v="18"/>
    <n v="1"/>
  </r>
  <r>
    <x v="10"/>
    <n v="1"/>
  </r>
  <r>
    <x v="7"/>
    <n v="1"/>
  </r>
  <r>
    <x v="4"/>
    <n v="1"/>
  </r>
  <r>
    <x v="15"/>
    <n v="1"/>
  </r>
  <r>
    <x v="10"/>
    <n v="1"/>
  </r>
  <r>
    <x v="3"/>
    <n v="1"/>
  </r>
  <r>
    <x v="9"/>
    <n v="1"/>
  </r>
  <r>
    <x v="9"/>
    <n v="1"/>
  </r>
  <r>
    <x v="17"/>
    <n v="1"/>
  </r>
  <r>
    <x v="9"/>
    <n v="1"/>
  </r>
  <r>
    <x v="20"/>
    <n v="1"/>
  </r>
  <r>
    <x v="18"/>
    <n v="1"/>
  </r>
  <r>
    <x v="2"/>
    <n v="1"/>
  </r>
  <r>
    <x v="5"/>
    <n v="1"/>
  </r>
  <r>
    <x v="0"/>
    <n v="1"/>
  </r>
  <r>
    <x v="3"/>
    <n v="1"/>
  </r>
  <r>
    <x v="0"/>
    <n v="1"/>
  </r>
  <r>
    <x v="9"/>
    <n v="1"/>
  </r>
  <r>
    <x v="0"/>
    <n v="1"/>
  </r>
  <r>
    <x v="7"/>
    <n v="1"/>
  </r>
  <r>
    <x v="18"/>
    <n v="1"/>
  </r>
  <r>
    <x v="0"/>
    <n v="1"/>
  </r>
  <r>
    <x v="21"/>
    <n v="1"/>
  </r>
  <r>
    <x v="19"/>
    <n v="1"/>
  </r>
  <r>
    <x v="0"/>
    <n v="1"/>
  </r>
  <r>
    <x v="20"/>
    <n v="1"/>
  </r>
  <r>
    <x v="22"/>
    <n v="1"/>
  </r>
  <r>
    <x v="2"/>
    <n v="1"/>
  </r>
  <r>
    <x v="23"/>
    <n v="1"/>
  </r>
  <r>
    <x v="2"/>
    <n v="1"/>
  </r>
  <r>
    <x v="24"/>
    <n v="1"/>
  </r>
  <r>
    <x v="16"/>
    <n v="1"/>
  </r>
  <r>
    <x v="1"/>
    <n v="1"/>
  </r>
  <r>
    <x v="25"/>
    <n v="1"/>
  </r>
  <r>
    <x v="0"/>
    <n v="1"/>
  </r>
  <r>
    <x v="20"/>
    <n v="1"/>
  </r>
  <r>
    <x v="0"/>
    <n v="1"/>
  </r>
  <r>
    <x v="0"/>
    <n v="1"/>
  </r>
  <r>
    <x v="6"/>
    <n v="1"/>
  </r>
  <r>
    <x v="0"/>
    <n v="1"/>
  </r>
  <r>
    <x v="15"/>
    <n v="1"/>
  </r>
  <r>
    <x v="16"/>
    <n v="1"/>
  </r>
  <r>
    <x v="0"/>
    <n v="1"/>
  </r>
  <r>
    <x v="8"/>
    <n v="1"/>
  </r>
  <r>
    <x v="26"/>
    <n v="1"/>
  </r>
  <r>
    <x v="15"/>
    <n v="1"/>
  </r>
  <r>
    <x v="5"/>
    <n v="1"/>
  </r>
  <r>
    <x v="2"/>
    <n v="1"/>
  </r>
  <r>
    <x v="0"/>
    <n v="1"/>
  </r>
  <r>
    <x v="5"/>
    <n v="1"/>
  </r>
  <r>
    <x v="19"/>
    <n v="1"/>
  </r>
  <r>
    <x v="1"/>
    <n v="1"/>
  </r>
  <r>
    <x v="10"/>
    <n v="1"/>
  </r>
  <r>
    <x v="9"/>
    <n v="1"/>
  </r>
  <r>
    <x v="25"/>
    <n v="1"/>
  </r>
  <r>
    <x v="6"/>
    <n v="1"/>
  </r>
  <r>
    <x v="1"/>
    <n v="1"/>
  </r>
  <r>
    <x v="19"/>
    <n v="1"/>
  </r>
  <r>
    <x v="2"/>
    <n v="1"/>
  </r>
  <r>
    <x v="15"/>
    <n v="1"/>
  </r>
  <r>
    <x v="6"/>
    <n v="1"/>
  </r>
  <r>
    <x v="15"/>
    <n v="1"/>
  </r>
  <r>
    <x v="23"/>
    <n v="1"/>
  </r>
  <r>
    <x v="10"/>
    <n v="1"/>
  </r>
  <r>
    <x v="25"/>
    <n v="1"/>
  </r>
  <r>
    <x v="2"/>
    <n v="1"/>
  </r>
  <r>
    <x v="15"/>
    <n v="1"/>
  </r>
  <r>
    <x v="0"/>
    <n v="1"/>
  </r>
  <r>
    <x v="4"/>
    <n v="1"/>
  </r>
  <r>
    <x v="9"/>
    <n v="1"/>
  </r>
  <r>
    <x v="15"/>
    <n v="1"/>
  </r>
  <r>
    <x v="17"/>
    <n v="1"/>
  </r>
  <r>
    <x v="3"/>
    <n v="1"/>
  </r>
  <r>
    <x v="0"/>
    <n v="1"/>
  </r>
  <r>
    <x v="13"/>
    <n v="1"/>
  </r>
  <r>
    <x v="10"/>
    <n v="1"/>
  </r>
  <r>
    <x v="20"/>
    <n v="1"/>
  </r>
  <r>
    <x v="15"/>
    <n v="1"/>
  </r>
  <r>
    <x v="5"/>
    <n v="1"/>
  </r>
  <r>
    <x v="15"/>
    <n v="1"/>
  </r>
  <r>
    <x v="16"/>
    <n v="1"/>
  </r>
  <r>
    <x v="10"/>
    <n v="1"/>
  </r>
  <r>
    <x v="2"/>
    <n v="1"/>
  </r>
  <r>
    <x v="0"/>
    <n v="1"/>
  </r>
  <r>
    <x v="21"/>
    <n v="1"/>
  </r>
  <r>
    <x v="6"/>
    <n v="1"/>
  </r>
  <r>
    <x v="25"/>
    <n v="1"/>
  </r>
  <r>
    <x v="15"/>
    <n v="1"/>
  </r>
  <r>
    <x v="0"/>
    <n v="1"/>
  </r>
  <r>
    <x v="8"/>
    <n v="1"/>
  </r>
  <r>
    <x v="10"/>
    <n v="1"/>
  </r>
  <r>
    <x v="2"/>
    <n v="1"/>
  </r>
  <r>
    <x v="13"/>
    <n v="1"/>
  </r>
  <r>
    <x v="22"/>
    <n v="1"/>
  </r>
  <r>
    <x v="20"/>
    <n v="1"/>
  </r>
  <r>
    <x v="10"/>
    <n v="1"/>
  </r>
  <r>
    <x v="12"/>
    <n v="1"/>
  </r>
  <r>
    <x v="4"/>
    <n v="1"/>
  </r>
  <r>
    <x v="2"/>
    <n v="1"/>
  </r>
  <r>
    <x v="10"/>
    <n v="1"/>
  </r>
  <r>
    <x v="0"/>
    <n v="1"/>
  </r>
  <r>
    <x v="3"/>
    <n v="1"/>
  </r>
  <r>
    <x v="3"/>
    <n v="1"/>
  </r>
  <r>
    <x v="8"/>
    <n v="1"/>
  </r>
  <r>
    <x v="11"/>
    <n v="1"/>
  </r>
  <r>
    <x v="10"/>
    <n v="1"/>
  </r>
  <r>
    <x v="17"/>
    <n v="1"/>
  </r>
  <r>
    <x v="24"/>
    <n v="1"/>
  </r>
  <r>
    <x v="1"/>
    <n v="1"/>
  </r>
  <r>
    <x v="0"/>
    <n v="1"/>
  </r>
  <r>
    <x v="5"/>
    <n v="1"/>
  </r>
  <r>
    <x v="0"/>
    <n v="1"/>
  </r>
  <r>
    <x v="6"/>
    <n v="1"/>
  </r>
  <r>
    <x v="26"/>
    <n v="1"/>
  </r>
  <r>
    <x v="9"/>
    <n v="1"/>
  </r>
  <r>
    <x v="2"/>
    <n v="1"/>
  </r>
  <r>
    <x v="15"/>
    <n v="1"/>
  </r>
  <r>
    <x v="5"/>
    <n v="1"/>
  </r>
  <r>
    <x v="0"/>
    <n v="1"/>
  </r>
  <r>
    <x v="16"/>
    <n v="1"/>
  </r>
  <r>
    <x v="16"/>
    <n v="1"/>
  </r>
  <r>
    <x v="14"/>
    <n v="1"/>
  </r>
  <r>
    <x v="8"/>
    <n v="1"/>
  </r>
  <r>
    <x v="21"/>
    <n v="1"/>
  </r>
  <r>
    <x v="10"/>
    <n v="1"/>
  </r>
  <r>
    <x v="8"/>
    <n v="1"/>
  </r>
  <r>
    <x v="11"/>
    <n v="1"/>
  </r>
  <r>
    <x v="0"/>
    <n v="1"/>
  </r>
  <r>
    <x v="25"/>
    <n v="1"/>
  </r>
  <r>
    <x v="19"/>
    <n v="1"/>
  </r>
  <r>
    <x v="2"/>
    <n v="1"/>
  </r>
  <r>
    <x v="3"/>
    <n v="1"/>
  </r>
  <r>
    <x v="24"/>
    <n v="1"/>
  </r>
  <r>
    <x v="15"/>
    <n v="1"/>
  </r>
  <r>
    <x v="8"/>
    <n v="1"/>
  </r>
  <r>
    <x v="0"/>
    <n v="1"/>
  </r>
  <r>
    <x v="25"/>
    <n v="1"/>
  </r>
  <r>
    <x v="17"/>
    <n v="1"/>
  </r>
  <r>
    <x v="13"/>
    <n v="1"/>
  </r>
  <r>
    <x v="0"/>
    <n v="1"/>
  </r>
  <r>
    <x v="8"/>
    <n v="1"/>
  </r>
  <r>
    <x v="0"/>
    <n v="1"/>
  </r>
  <r>
    <x v="22"/>
    <n v="1"/>
  </r>
  <r>
    <x v="22"/>
    <n v="1"/>
  </r>
  <r>
    <x v="15"/>
    <n v="1"/>
  </r>
  <r>
    <x v="2"/>
    <n v="1"/>
  </r>
  <r>
    <x v="15"/>
    <n v="1"/>
  </r>
  <r>
    <x v="23"/>
    <n v="1"/>
  </r>
  <r>
    <x v="0"/>
    <n v="1"/>
  </r>
  <r>
    <x v="8"/>
    <n v="1"/>
  </r>
  <r>
    <x v="0"/>
    <n v="1"/>
  </r>
  <r>
    <x v="0"/>
    <n v="1"/>
  </r>
  <r>
    <x v="3"/>
    <n v="1"/>
  </r>
  <r>
    <x v="3"/>
    <n v="1"/>
  </r>
  <r>
    <x v="17"/>
    <n v="1"/>
  </r>
  <r>
    <x v="25"/>
    <n v="1"/>
  </r>
  <r>
    <x v="0"/>
    <n v="1"/>
  </r>
  <r>
    <x v="15"/>
    <n v="1"/>
  </r>
  <r>
    <x v="16"/>
    <n v="1"/>
  </r>
  <r>
    <x v="2"/>
    <n v="1"/>
  </r>
  <r>
    <x v="20"/>
    <n v="1"/>
  </r>
  <r>
    <x v="3"/>
    <n v="1"/>
  </r>
  <r>
    <x v="12"/>
    <n v="1"/>
  </r>
  <r>
    <x v="20"/>
    <n v="1"/>
  </r>
  <r>
    <x v="8"/>
    <n v="1"/>
  </r>
  <r>
    <x v="2"/>
    <n v="1"/>
  </r>
  <r>
    <x v="9"/>
    <n v="1"/>
  </r>
  <r>
    <x v="25"/>
    <n v="1"/>
  </r>
  <r>
    <x v="6"/>
    <n v="1"/>
  </r>
  <r>
    <x v="15"/>
    <n v="1"/>
  </r>
  <r>
    <x v="3"/>
    <n v="1"/>
  </r>
  <r>
    <x v="19"/>
    <n v="1"/>
  </r>
  <r>
    <x v="20"/>
    <n v="1"/>
  </r>
  <r>
    <x v="15"/>
    <n v="1"/>
  </r>
  <r>
    <x v="18"/>
    <n v="1"/>
  </r>
  <r>
    <x v="4"/>
    <n v="1"/>
  </r>
  <r>
    <x v="5"/>
    <n v="1"/>
  </r>
  <r>
    <x v="3"/>
    <n v="1"/>
  </r>
  <r>
    <x v="17"/>
    <n v="1"/>
  </r>
  <r>
    <x v="10"/>
    <n v="1"/>
  </r>
  <r>
    <x v="21"/>
    <n v="1"/>
  </r>
  <r>
    <x v="22"/>
    <n v="1"/>
  </r>
  <r>
    <x v="3"/>
    <n v="1"/>
  </r>
  <r>
    <x v="6"/>
    <n v="1"/>
  </r>
  <r>
    <x v="6"/>
    <n v="1"/>
  </r>
  <r>
    <x v="13"/>
    <n v="1"/>
  </r>
  <r>
    <x v="15"/>
    <n v="1"/>
  </r>
  <r>
    <x v="25"/>
    <n v="1"/>
  </r>
  <r>
    <x v="0"/>
    <n v="1"/>
  </r>
  <r>
    <x v="22"/>
    <n v="1"/>
  </r>
  <r>
    <x v="0"/>
    <n v="1"/>
  </r>
  <r>
    <x v="3"/>
    <n v="1"/>
  </r>
  <r>
    <x v="15"/>
    <n v="1"/>
  </r>
  <r>
    <x v="17"/>
    <n v="1"/>
  </r>
  <r>
    <x v="12"/>
    <n v="1"/>
  </r>
  <r>
    <x v="25"/>
    <n v="1"/>
  </r>
  <r>
    <x v="15"/>
    <n v="1"/>
  </r>
  <r>
    <x v="21"/>
    <n v="1"/>
  </r>
  <r>
    <x v="3"/>
    <n v="1"/>
  </r>
  <r>
    <x v="4"/>
    <n v="1"/>
  </r>
  <r>
    <x v="2"/>
    <n v="1"/>
  </r>
  <r>
    <x v="6"/>
    <n v="1"/>
  </r>
  <r>
    <x v="26"/>
    <n v="1"/>
  </r>
  <r>
    <x v="0"/>
    <n v="1"/>
  </r>
  <r>
    <x v="16"/>
    <n v="1"/>
  </r>
  <r>
    <x v="24"/>
    <n v="1"/>
  </r>
  <r>
    <x v="10"/>
    <n v="1"/>
  </r>
  <r>
    <x v="5"/>
    <n v="1"/>
  </r>
  <r>
    <x v="10"/>
    <n v="1"/>
  </r>
  <r>
    <x v="0"/>
    <n v="1"/>
  </r>
  <r>
    <x v="7"/>
    <n v="1"/>
  </r>
  <r>
    <x v="21"/>
    <n v="1"/>
  </r>
  <r>
    <x v="0"/>
    <n v="1"/>
  </r>
  <r>
    <x v="18"/>
    <n v="1"/>
  </r>
  <r>
    <x v="0"/>
    <n v="1"/>
  </r>
  <r>
    <x v="2"/>
    <n v="1"/>
  </r>
  <r>
    <x v="24"/>
    <n v="1"/>
  </r>
  <r>
    <x v="22"/>
    <n v="1"/>
  </r>
  <r>
    <x v="2"/>
    <n v="1"/>
  </r>
  <r>
    <x v="8"/>
    <n v="1"/>
  </r>
  <r>
    <x v="22"/>
    <n v="1"/>
  </r>
  <r>
    <x v="3"/>
    <n v="1"/>
  </r>
  <r>
    <x v="15"/>
    <n v="1"/>
  </r>
  <r>
    <x v="0"/>
    <n v="1"/>
  </r>
  <r>
    <x v="20"/>
    <n v="1"/>
  </r>
  <r>
    <x v="13"/>
    <n v="1"/>
  </r>
  <r>
    <x v="6"/>
    <n v="1"/>
  </r>
  <r>
    <x v="3"/>
    <n v="1"/>
  </r>
  <r>
    <x v="9"/>
    <n v="1"/>
  </r>
  <r>
    <x v="23"/>
    <n v="1"/>
  </r>
  <r>
    <x v="3"/>
    <n v="1"/>
  </r>
  <r>
    <x v="6"/>
    <n v="1"/>
  </r>
  <r>
    <x v="6"/>
    <n v="1"/>
  </r>
  <r>
    <x v="3"/>
    <n v="1"/>
  </r>
  <r>
    <x v="12"/>
    <n v="1"/>
  </r>
  <r>
    <x v="20"/>
    <n v="1"/>
  </r>
  <r>
    <x v="5"/>
    <n v="1"/>
  </r>
  <r>
    <x v="7"/>
    <n v="1"/>
  </r>
  <r>
    <x v="2"/>
    <n v="1"/>
  </r>
  <r>
    <x v="24"/>
    <n v="1"/>
  </r>
  <r>
    <x v="6"/>
    <n v="1"/>
  </r>
  <r>
    <x v="8"/>
    <n v="1"/>
  </r>
  <r>
    <x v="10"/>
    <n v="1"/>
  </r>
  <r>
    <x v="25"/>
    <n v="1"/>
  </r>
  <r>
    <x v="13"/>
    <n v="1"/>
  </r>
  <r>
    <x v="12"/>
    <n v="1"/>
  </r>
  <r>
    <x v="10"/>
    <n v="1"/>
  </r>
  <r>
    <x v="0"/>
    <n v="1"/>
  </r>
  <r>
    <x v="10"/>
    <n v="1"/>
  </r>
  <r>
    <x v="20"/>
    <n v="1"/>
  </r>
  <r>
    <x v="4"/>
    <n v="1"/>
  </r>
  <r>
    <x v="0"/>
    <n v="1"/>
  </r>
  <r>
    <x v="10"/>
    <n v="1"/>
  </r>
  <r>
    <x v="0"/>
    <n v="1"/>
  </r>
  <r>
    <x v="11"/>
    <n v="1"/>
  </r>
  <r>
    <x v="6"/>
    <n v="1"/>
  </r>
  <r>
    <x v="24"/>
    <n v="1"/>
  </r>
  <r>
    <x v="15"/>
    <n v="1"/>
  </r>
  <r>
    <x v="1"/>
    <n v="1"/>
  </r>
  <r>
    <x v="25"/>
    <n v="1"/>
  </r>
  <r>
    <x v="5"/>
    <n v="1"/>
  </r>
  <r>
    <x v="15"/>
    <n v="1"/>
  </r>
  <r>
    <x v="10"/>
    <n v="1"/>
  </r>
  <r>
    <x v="24"/>
    <n v="1"/>
  </r>
  <r>
    <x v="6"/>
    <n v="1"/>
  </r>
  <r>
    <x v="0"/>
    <n v="1"/>
  </r>
  <r>
    <x v="11"/>
    <n v="1"/>
  </r>
  <r>
    <x v="0"/>
    <n v="1"/>
  </r>
  <r>
    <x v="17"/>
    <n v="1"/>
  </r>
  <r>
    <x v="0"/>
    <n v="1"/>
  </r>
  <r>
    <x v="2"/>
    <n v="1"/>
  </r>
  <r>
    <x v="10"/>
    <n v="1"/>
  </r>
  <r>
    <x v="20"/>
    <n v="1"/>
  </r>
  <r>
    <x v="13"/>
    <n v="1"/>
  </r>
  <r>
    <x v="13"/>
    <n v="1"/>
  </r>
  <r>
    <x v="2"/>
    <n v="1"/>
  </r>
  <r>
    <x v="22"/>
    <n v="1"/>
  </r>
  <r>
    <x v="18"/>
    <n v="1"/>
  </r>
  <r>
    <x v="0"/>
    <n v="1"/>
  </r>
  <r>
    <x v="5"/>
    <n v="1"/>
  </r>
  <r>
    <x v="20"/>
    <n v="1"/>
  </r>
  <r>
    <x v="24"/>
    <n v="1"/>
  </r>
  <r>
    <x v="20"/>
    <n v="1"/>
  </r>
  <r>
    <x v="16"/>
    <n v="1"/>
  </r>
  <r>
    <x v="0"/>
    <n v="1"/>
  </r>
  <r>
    <x v="15"/>
    <n v="1"/>
  </r>
  <r>
    <x v="0"/>
    <n v="1"/>
  </r>
  <r>
    <x v="16"/>
    <n v="1"/>
  </r>
  <r>
    <x v="14"/>
    <n v="1"/>
  </r>
  <r>
    <x v="0"/>
    <n v="1"/>
  </r>
  <r>
    <x v="2"/>
    <n v="1"/>
  </r>
  <r>
    <x v="0"/>
    <n v="1"/>
  </r>
  <r>
    <x v="11"/>
    <n v="1"/>
  </r>
  <r>
    <x v="2"/>
    <n v="1"/>
  </r>
  <r>
    <x v="8"/>
    <n v="1"/>
  </r>
  <r>
    <x v="8"/>
    <n v="1"/>
  </r>
  <r>
    <x v="0"/>
    <n v="1"/>
  </r>
  <r>
    <x v="10"/>
    <n v="1"/>
  </r>
  <r>
    <x v="20"/>
    <n v="1"/>
  </r>
  <r>
    <x v="8"/>
    <n v="1"/>
  </r>
  <r>
    <x v="10"/>
    <n v="1"/>
  </r>
  <r>
    <x v="6"/>
    <n v="1"/>
  </r>
  <r>
    <x v="18"/>
    <n v="1"/>
  </r>
  <r>
    <x v="4"/>
    <n v="1"/>
  </r>
  <r>
    <x v="0"/>
    <n v="1"/>
  </r>
  <r>
    <x v="3"/>
    <n v="1"/>
  </r>
  <r>
    <x v="8"/>
    <n v="1"/>
  </r>
  <r>
    <x v="3"/>
    <n v="1"/>
  </r>
  <r>
    <x v="0"/>
    <n v="1"/>
  </r>
  <r>
    <x v="15"/>
    <n v="1"/>
  </r>
  <r>
    <x v="10"/>
    <n v="1"/>
  </r>
  <r>
    <x v="26"/>
    <n v="1"/>
  </r>
  <r>
    <x v="16"/>
    <n v="1"/>
  </r>
  <r>
    <x v="14"/>
    <n v="1"/>
  </r>
  <r>
    <x v="15"/>
    <n v="1"/>
  </r>
  <r>
    <x v="15"/>
    <n v="1"/>
  </r>
  <r>
    <x v="15"/>
    <n v="1"/>
  </r>
  <r>
    <x v="5"/>
    <n v="1"/>
  </r>
  <r>
    <x v="3"/>
    <n v="1"/>
  </r>
  <r>
    <x v="0"/>
    <n v="1"/>
  </r>
  <r>
    <x v="4"/>
    <n v="1"/>
  </r>
  <r>
    <x v="7"/>
    <n v="1"/>
  </r>
  <r>
    <x v="4"/>
    <n v="1"/>
  </r>
  <r>
    <x v="12"/>
    <n v="1"/>
  </r>
  <r>
    <x v="5"/>
    <n v="1"/>
  </r>
  <r>
    <x v="15"/>
    <n v="1"/>
  </r>
  <r>
    <x v="2"/>
    <n v="1"/>
  </r>
  <r>
    <x v="0"/>
    <n v="1"/>
  </r>
  <r>
    <x v="15"/>
    <n v="1"/>
  </r>
  <r>
    <x v="3"/>
    <n v="1"/>
  </r>
  <r>
    <x v="10"/>
    <n v="1"/>
  </r>
  <r>
    <x v="13"/>
    <n v="1"/>
  </r>
  <r>
    <x v="0"/>
    <n v="1"/>
  </r>
  <r>
    <x v="0"/>
    <n v="1"/>
  </r>
  <r>
    <x v="0"/>
    <n v="1"/>
  </r>
  <r>
    <x v="26"/>
    <n v="1"/>
  </r>
  <r>
    <x v="4"/>
    <n v="1"/>
  </r>
  <r>
    <x v="15"/>
    <n v="1"/>
  </r>
  <r>
    <x v="5"/>
    <n v="1"/>
  </r>
  <r>
    <x v="5"/>
    <n v="1"/>
  </r>
  <r>
    <x v="4"/>
    <n v="1"/>
  </r>
  <r>
    <x v="5"/>
    <n v="1"/>
  </r>
  <r>
    <x v="0"/>
    <n v="1"/>
  </r>
  <r>
    <x v="3"/>
    <n v="1"/>
  </r>
  <r>
    <x v="6"/>
    <n v="1"/>
  </r>
  <r>
    <x v="8"/>
    <n v="1"/>
  </r>
  <r>
    <x v="8"/>
    <n v="1"/>
  </r>
  <r>
    <x v="23"/>
    <n v="1"/>
  </r>
  <r>
    <x v="1"/>
    <n v="1"/>
  </r>
  <r>
    <x v="3"/>
    <n v="1"/>
  </r>
  <r>
    <x v="21"/>
    <n v="1"/>
  </r>
  <r>
    <x v="15"/>
    <n v="1"/>
  </r>
  <r>
    <x v="12"/>
    <n v="1"/>
  </r>
  <r>
    <x v="3"/>
    <n v="1"/>
  </r>
  <r>
    <x v="2"/>
    <n v="1"/>
  </r>
  <r>
    <x v="23"/>
    <n v="1"/>
  </r>
  <r>
    <x v="15"/>
    <n v="1"/>
  </r>
  <r>
    <x v="6"/>
    <n v="1"/>
  </r>
  <r>
    <x v="2"/>
    <n v="1"/>
  </r>
  <r>
    <x v="2"/>
    <n v="1"/>
  </r>
  <r>
    <x v="8"/>
    <n v="1"/>
  </r>
  <r>
    <x v="8"/>
    <n v="1"/>
  </r>
  <r>
    <x v="18"/>
    <n v="1"/>
  </r>
  <r>
    <x v="0"/>
    <n v="1"/>
  </r>
  <r>
    <x v="0"/>
    <n v="1"/>
  </r>
  <r>
    <x v="5"/>
    <n v="1"/>
  </r>
  <r>
    <x v="3"/>
    <n v="1"/>
  </r>
  <r>
    <x v="6"/>
    <n v="1"/>
  </r>
  <r>
    <x v="18"/>
    <n v="1"/>
  </r>
  <r>
    <x v="5"/>
    <n v="1"/>
  </r>
  <r>
    <x v="19"/>
    <n v="1"/>
  </r>
  <r>
    <x v="0"/>
    <n v="1"/>
  </r>
  <r>
    <x v="8"/>
    <n v="1"/>
  </r>
  <r>
    <x v="16"/>
    <n v="1"/>
  </r>
  <r>
    <x v="1"/>
    <n v="1"/>
  </r>
  <r>
    <x v="26"/>
    <n v="1"/>
  </r>
  <r>
    <x v="15"/>
    <n v="1"/>
  </r>
  <r>
    <x v="15"/>
    <n v="1"/>
  </r>
  <r>
    <x v="5"/>
    <n v="1"/>
  </r>
  <r>
    <x v="5"/>
    <n v="1"/>
  </r>
  <r>
    <x v="4"/>
    <n v="1"/>
  </r>
  <r>
    <x v="2"/>
    <n v="1"/>
  </r>
  <r>
    <x v="0"/>
    <n v="1"/>
  </r>
  <r>
    <x v="15"/>
    <n v="1"/>
  </r>
  <r>
    <x v="2"/>
    <n v="1"/>
  </r>
  <r>
    <x v="20"/>
    <n v="1"/>
  </r>
  <r>
    <x v="3"/>
    <n v="1"/>
  </r>
  <r>
    <x v="5"/>
    <n v="1"/>
  </r>
  <r>
    <x v="0"/>
    <n v="1"/>
  </r>
  <r>
    <x v="18"/>
    <n v="1"/>
  </r>
  <r>
    <x v="16"/>
    <n v="1"/>
  </r>
  <r>
    <x v="0"/>
    <n v="1"/>
  </r>
  <r>
    <x v="5"/>
    <n v="1"/>
  </r>
  <r>
    <x v="0"/>
    <n v="1"/>
  </r>
  <r>
    <x v="18"/>
    <n v="1"/>
  </r>
  <r>
    <x v="8"/>
    <n v="1"/>
  </r>
  <r>
    <x v="0"/>
    <n v="1"/>
  </r>
  <r>
    <x v="10"/>
    <n v="1"/>
  </r>
  <r>
    <x v="3"/>
    <n v="1"/>
  </r>
  <r>
    <x v="2"/>
    <n v="1"/>
  </r>
  <r>
    <x v="24"/>
    <n v="1"/>
  </r>
  <r>
    <x v="13"/>
    <n v="1"/>
  </r>
  <r>
    <x v="6"/>
    <n v="1"/>
  </r>
  <r>
    <x v="0"/>
    <n v="1"/>
  </r>
  <r>
    <x v="8"/>
    <n v="1"/>
  </r>
  <r>
    <x v="0"/>
    <n v="1"/>
  </r>
  <r>
    <x v="4"/>
    <n v="1"/>
  </r>
  <r>
    <x v="15"/>
    <n v="1"/>
  </r>
  <r>
    <x v="0"/>
    <n v="1"/>
  </r>
  <r>
    <x v="23"/>
    <n v="1"/>
  </r>
  <r>
    <x v="5"/>
    <n v="1"/>
  </r>
  <r>
    <x v="19"/>
    <n v="1"/>
  </r>
  <r>
    <x v="7"/>
    <n v="1"/>
  </r>
  <r>
    <x v="21"/>
    <n v="1"/>
  </r>
  <r>
    <x v="1"/>
    <n v="1"/>
  </r>
  <r>
    <x v="5"/>
    <n v="1"/>
  </r>
  <r>
    <x v="12"/>
    <n v="1"/>
  </r>
  <r>
    <x v="17"/>
    <n v="1"/>
  </r>
  <r>
    <x v="15"/>
    <n v="1"/>
  </r>
  <r>
    <x v="21"/>
    <n v="1"/>
  </r>
  <r>
    <x v="4"/>
    <n v="1"/>
  </r>
  <r>
    <x v="3"/>
    <n v="1"/>
  </r>
  <r>
    <x v="13"/>
    <n v="1"/>
  </r>
  <r>
    <x v="2"/>
    <n v="1"/>
  </r>
  <r>
    <x v="20"/>
    <n v="1"/>
  </r>
  <r>
    <x v="24"/>
    <n v="1"/>
  </r>
  <r>
    <x v="7"/>
    <n v="1"/>
  </r>
  <r>
    <x v="6"/>
    <n v="1"/>
  </r>
  <r>
    <x v="22"/>
    <n v="1"/>
  </r>
  <r>
    <x v="0"/>
    <n v="1"/>
  </r>
  <r>
    <x v="5"/>
    <n v="1"/>
  </r>
  <r>
    <x v="8"/>
    <n v="1"/>
  </r>
  <r>
    <x v="18"/>
    <n v="1"/>
  </r>
  <r>
    <x v="7"/>
    <n v="1"/>
  </r>
  <r>
    <x v="0"/>
    <n v="1"/>
  </r>
  <r>
    <x v="17"/>
    <n v="1"/>
  </r>
  <r>
    <x v="13"/>
    <n v="1"/>
  </r>
  <r>
    <x v="24"/>
    <n v="1"/>
  </r>
  <r>
    <x v="24"/>
    <n v="1"/>
  </r>
  <r>
    <x v="20"/>
    <n v="1"/>
  </r>
  <r>
    <x v="4"/>
    <n v="1"/>
  </r>
  <r>
    <x v="15"/>
    <n v="1"/>
  </r>
  <r>
    <x v="5"/>
    <n v="1"/>
  </r>
  <r>
    <x v="15"/>
    <n v="1"/>
  </r>
  <r>
    <x v="16"/>
    <n v="1"/>
  </r>
  <r>
    <x v="2"/>
    <n v="1"/>
  </r>
  <r>
    <x v="9"/>
    <n v="1"/>
  </r>
  <r>
    <x v="0"/>
    <n v="1"/>
  </r>
  <r>
    <x v="21"/>
    <n v="1"/>
  </r>
  <r>
    <x v="7"/>
    <n v="1"/>
  </r>
  <r>
    <x v="18"/>
    <n v="1"/>
  </r>
  <r>
    <x v="0"/>
    <n v="1"/>
  </r>
  <r>
    <x v="16"/>
    <n v="1"/>
  </r>
  <r>
    <x v="8"/>
    <n v="1"/>
  </r>
  <r>
    <x v="0"/>
    <n v="1"/>
  </r>
  <r>
    <x v="16"/>
    <n v="1"/>
  </r>
  <r>
    <x v="15"/>
    <n v="1"/>
  </r>
  <r>
    <x v="22"/>
    <n v="1"/>
  </r>
  <r>
    <x v="6"/>
    <n v="1"/>
  </r>
  <r>
    <x v="4"/>
    <n v="1"/>
  </r>
  <r>
    <x v="15"/>
    <n v="1"/>
  </r>
  <r>
    <x v="3"/>
    <n v="1"/>
  </r>
  <r>
    <x v="18"/>
    <n v="1"/>
  </r>
  <r>
    <x v="15"/>
    <n v="1"/>
  </r>
  <r>
    <x v="12"/>
    <n v="1"/>
  </r>
  <r>
    <x v="10"/>
    <n v="1"/>
  </r>
  <r>
    <x v="0"/>
    <n v="1"/>
  </r>
  <r>
    <x v="18"/>
    <n v="1"/>
  </r>
  <r>
    <x v="17"/>
    <n v="1"/>
  </r>
  <r>
    <x v="18"/>
    <n v="1"/>
  </r>
  <r>
    <x v="5"/>
    <n v="1"/>
  </r>
  <r>
    <x v="12"/>
    <n v="1"/>
  </r>
  <r>
    <x v="9"/>
    <n v="1"/>
  </r>
  <r>
    <x v="4"/>
    <n v="1"/>
  </r>
  <r>
    <x v="21"/>
    <n v="1"/>
  </r>
  <r>
    <x v="20"/>
    <n v="1"/>
  </r>
  <r>
    <x v="4"/>
    <n v="1"/>
  </r>
  <r>
    <x v="3"/>
    <n v="1"/>
  </r>
  <r>
    <x v="4"/>
    <n v="1"/>
  </r>
  <r>
    <x v="15"/>
    <n v="1"/>
  </r>
  <r>
    <x v="15"/>
    <n v="1"/>
  </r>
  <r>
    <x v="18"/>
    <n v="1"/>
  </r>
  <r>
    <x v="17"/>
    <n v="1"/>
  </r>
  <r>
    <x v="20"/>
    <n v="1"/>
  </r>
  <r>
    <x v="17"/>
    <n v="1"/>
  </r>
  <r>
    <x v="2"/>
    <n v="1"/>
  </r>
  <r>
    <x v="0"/>
    <n v="1"/>
  </r>
  <r>
    <x v="4"/>
    <n v="1"/>
  </r>
  <r>
    <x v="9"/>
    <n v="1"/>
  </r>
  <r>
    <x v="6"/>
    <n v="1"/>
  </r>
  <r>
    <x v="2"/>
    <n v="1"/>
  </r>
  <r>
    <x v="21"/>
    <n v="1"/>
  </r>
  <r>
    <x v="8"/>
    <n v="1"/>
  </r>
  <r>
    <x v="17"/>
    <n v="1"/>
  </r>
  <r>
    <x v="24"/>
    <n v="1"/>
  </r>
  <r>
    <x v="15"/>
    <n v="1"/>
  </r>
  <r>
    <x v="0"/>
    <n v="1"/>
  </r>
  <r>
    <x v="15"/>
    <n v="1"/>
  </r>
  <r>
    <x v="25"/>
    <n v="1"/>
  </r>
  <r>
    <x v="0"/>
    <n v="1"/>
  </r>
  <r>
    <x v="21"/>
    <n v="1"/>
  </r>
  <r>
    <x v="20"/>
    <n v="1"/>
  </r>
  <r>
    <x v="0"/>
    <n v="1"/>
  </r>
  <r>
    <x v="19"/>
    <n v="1"/>
  </r>
  <r>
    <x v="16"/>
    <n v="1"/>
  </r>
  <r>
    <x v="25"/>
    <n v="1"/>
  </r>
  <r>
    <x v="10"/>
    <n v="1"/>
  </r>
  <r>
    <x v="24"/>
    <n v="1"/>
  </r>
  <r>
    <x v="17"/>
    <n v="1"/>
  </r>
  <r>
    <x v="2"/>
    <n v="1"/>
  </r>
  <r>
    <x v="12"/>
    <n v="1"/>
  </r>
  <r>
    <x v="12"/>
    <n v="1"/>
  </r>
  <r>
    <x v="16"/>
    <n v="1"/>
  </r>
  <r>
    <x v="15"/>
    <n v="1"/>
  </r>
  <r>
    <x v="0"/>
    <n v="1"/>
  </r>
  <r>
    <x v="8"/>
    <n v="1"/>
  </r>
  <r>
    <x v="0"/>
    <n v="1"/>
  </r>
  <r>
    <x v="18"/>
    <n v="1"/>
  </r>
  <r>
    <x v="8"/>
    <n v="1"/>
  </r>
  <r>
    <x v="0"/>
    <n v="1"/>
  </r>
  <r>
    <x v="18"/>
    <n v="1"/>
  </r>
  <r>
    <x v="9"/>
    <n v="1"/>
  </r>
  <r>
    <x v="8"/>
    <n v="1"/>
  </r>
  <r>
    <x v="21"/>
    <n v="1"/>
  </r>
  <r>
    <x v="4"/>
    <n v="1"/>
  </r>
  <r>
    <x v="3"/>
    <n v="1"/>
  </r>
  <r>
    <x v="2"/>
    <n v="1"/>
  </r>
  <r>
    <x v="23"/>
    <n v="1"/>
  </r>
  <r>
    <x v="3"/>
    <n v="1"/>
  </r>
  <r>
    <x v="16"/>
    <n v="1"/>
  </r>
  <r>
    <x v="4"/>
    <n v="1"/>
  </r>
  <r>
    <x v="21"/>
    <n v="1"/>
  </r>
  <r>
    <x v="4"/>
    <n v="1"/>
  </r>
  <r>
    <x v="8"/>
    <n v="1"/>
  </r>
  <r>
    <x v="17"/>
    <n v="1"/>
  </r>
  <r>
    <x v="11"/>
    <n v="1"/>
  </r>
  <r>
    <x v="19"/>
    <n v="1"/>
  </r>
  <r>
    <x v="4"/>
    <n v="1"/>
  </r>
  <r>
    <x v="3"/>
    <n v="1"/>
  </r>
  <r>
    <x v="6"/>
    <n v="1"/>
  </r>
  <r>
    <x v="15"/>
    <n v="1"/>
  </r>
  <r>
    <x v="2"/>
    <n v="1"/>
  </r>
  <r>
    <x v="22"/>
    <n v="1"/>
  </r>
  <r>
    <x v="7"/>
    <n v="1"/>
  </r>
  <r>
    <x v="0"/>
    <n v="1"/>
  </r>
  <r>
    <x v="0"/>
    <n v="1"/>
  </r>
  <r>
    <x v="15"/>
    <n v="1"/>
  </r>
  <r>
    <x v="16"/>
    <n v="1"/>
  </r>
  <r>
    <x v="16"/>
    <n v="1"/>
  </r>
  <r>
    <x v="13"/>
    <n v="1"/>
  </r>
  <r>
    <x v="0"/>
    <n v="1"/>
  </r>
  <r>
    <x v="16"/>
    <n v="1"/>
  </r>
  <r>
    <x v="6"/>
    <n v="1"/>
  </r>
  <r>
    <x v="21"/>
    <n v="1"/>
  </r>
  <r>
    <x v="5"/>
    <n v="1"/>
  </r>
  <r>
    <x v="5"/>
    <n v="1"/>
  </r>
  <r>
    <x v="7"/>
    <n v="1"/>
  </r>
  <r>
    <x v="16"/>
    <n v="1"/>
  </r>
  <r>
    <x v="9"/>
    <n v="1"/>
  </r>
  <r>
    <x v="0"/>
    <n v="1"/>
  </r>
  <r>
    <x v="5"/>
    <n v="1"/>
  </r>
  <r>
    <x v="20"/>
    <n v="1"/>
  </r>
  <r>
    <x v="10"/>
    <n v="1"/>
  </r>
  <r>
    <x v="23"/>
    <n v="1"/>
  </r>
  <r>
    <x v="0"/>
    <n v="1"/>
  </r>
  <r>
    <x v="10"/>
    <n v="1"/>
  </r>
  <r>
    <x v="1"/>
    <n v="1"/>
  </r>
  <r>
    <x v="3"/>
    <n v="1"/>
  </r>
  <r>
    <x v="2"/>
    <n v="1"/>
  </r>
  <r>
    <x v="21"/>
    <n v="1"/>
  </r>
  <r>
    <x v="5"/>
    <n v="1"/>
  </r>
  <r>
    <x v="15"/>
    <n v="1"/>
  </r>
  <r>
    <x v="24"/>
    <n v="1"/>
  </r>
  <r>
    <x v="0"/>
    <n v="1"/>
  </r>
  <r>
    <x v="19"/>
    <n v="1"/>
  </r>
  <r>
    <x v="10"/>
    <n v="1"/>
  </r>
  <r>
    <x v="0"/>
    <n v="1"/>
  </r>
  <r>
    <x v="25"/>
    <n v="1"/>
  </r>
  <r>
    <x v="7"/>
    <n v="1"/>
  </r>
  <r>
    <x v="12"/>
    <n v="1"/>
  </r>
  <r>
    <x v="14"/>
    <n v="1"/>
  </r>
  <r>
    <x v="23"/>
    <n v="1"/>
  </r>
  <r>
    <x v="2"/>
    <n v="1"/>
  </r>
  <r>
    <x v="7"/>
    <n v="1"/>
  </r>
  <r>
    <x v="22"/>
    <n v="1"/>
  </r>
  <r>
    <x v="13"/>
    <n v="1"/>
  </r>
  <r>
    <x v="22"/>
    <n v="1"/>
  </r>
  <r>
    <x v="4"/>
    <n v="1"/>
  </r>
  <r>
    <x v="2"/>
    <n v="1"/>
  </r>
  <r>
    <x v="16"/>
    <n v="1"/>
  </r>
  <r>
    <x v="0"/>
    <n v="1"/>
  </r>
  <r>
    <x v="17"/>
    <n v="1"/>
  </r>
  <r>
    <x v="5"/>
    <n v="1"/>
  </r>
  <r>
    <x v="5"/>
    <n v="1"/>
  </r>
  <r>
    <x v="22"/>
    <n v="1"/>
  </r>
  <r>
    <x v="16"/>
    <n v="1"/>
  </r>
  <r>
    <x v="25"/>
    <n v="1"/>
  </r>
  <r>
    <x v="2"/>
    <n v="1"/>
  </r>
  <r>
    <x v="24"/>
    <n v="1"/>
  </r>
  <r>
    <x v="12"/>
    <n v="1"/>
  </r>
  <r>
    <x v="18"/>
    <n v="1"/>
  </r>
  <r>
    <x v="20"/>
    <n v="1"/>
  </r>
  <r>
    <x v="2"/>
    <n v="1"/>
  </r>
  <r>
    <x v="15"/>
    <n v="1"/>
  </r>
  <r>
    <x v="23"/>
    <n v="1"/>
  </r>
  <r>
    <x v="6"/>
    <n v="1"/>
  </r>
  <r>
    <x v="15"/>
    <n v="1"/>
  </r>
  <r>
    <x v="24"/>
    <n v="1"/>
  </r>
  <r>
    <x v="3"/>
    <n v="1"/>
  </r>
  <r>
    <x v="25"/>
    <n v="1"/>
  </r>
  <r>
    <x v="2"/>
    <n v="1"/>
  </r>
  <r>
    <x v="12"/>
    <n v="1"/>
  </r>
  <r>
    <x v="2"/>
    <n v="1"/>
  </r>
  <r>
    <x v="7"/>
    <n v="1"/>
  </r>
  <r>
    <x v="0"/>
    <n v="1"/>
  </r>
  <r>
    <x v="23"/>
    <n v="1"/>
  </r>
  <r>
    <x v="15"/>
    <n v="1"/>
  </r>
  <r>
    <x v="4"/>
    <n v="1"/>
  </r>
  <r>
    <x v="6"/>
    <n v="1"/>
  </r>
  <r>
    <x v="6"/>
    <n v="1"/>
  </r>
  <r>
    <x v="0"/>
    <n v="1"/>
  </r>
  <r>
    <x v="1"/>
    <n v="1"/>
  </r>
  <r>
    <x v="18"/>
    <n v="1"/>
  </r>
  <r>
    <x v="24"/>
    <n v="1"/>
  </r>
  <r>
    <x v="16"/>
    <n v="1"/>
  </r>
  <r>
    <x v="5"/>
    <n v="1"/>
  </r>
  <r>
    <x v="8"/>
    <n v="1"/>
  </r>
  <r>
    <x v="20"/>
    <n v="1"/>
  </r>
  <r>
    <x v="16"/>
    <n v="1"/>
  </r>
  <r>
    <x v="4"/>
    <n v="1"/>
  </r>
  <r>
    <x v="22"/>
    <n v="1"/>
  </r>
  <r>
    <x v="21"/>
    <n v="1"/>
  </r>
  <r>
    <x v="8"/>
    <n v="1"/>
  </r>
  <r>
    <x v="20"/>
    <n v="1"/>
  </r>
  <r>
    <x v="0"/>
    <n v="1"/>
  </r>
  <r>
    <x v="13"/>
    <n v="1"/>
  </r>
  <r>
    <x v="0"/>
    <n v="1"/>
  </r>
  <r>
    <x v="0"/>
    <n v="1"/>
  </r>
  <r>
    <x v="22"/>
    <n v="1"/>
  </r>
  <r>
    <x v="2"/>
    <n v="1"/>
  </r>
  <r>
    <x v="2"/>
    <n v="1"/>
  </r>
  <r>
    <x v="13"/>
    <n v="1"/>
  </r>
  <r>
    <x v="0"/>
    <n v="1"/>
  </r>
  <r>
    <x v="16"/>
    <n v="1"/>
  </r>
  <r>
    <x v="12"/>
    <n v="1"/>
  </r>
  <r>
    <x v="10"/>
    <n v="1"/>
  </r>
  <r>
    <x v="2"/>
    <n v="1"/>
  </r>
  <r>
    <x v="24"/>
    <n v="1"/>
  </r>
  <r>
    <x v="22"/>
    <n v="1"/>
  </r>
  <r>
    <x v="2"/>
    <n v="1"/>
  </r>
  <r>
    <x v="7"/>
    <n v="1"/>
  </r>
  <r>
    <x v="13"/>
    <n v="1"/>
  </r>
  <r>
    <x v="13"/>
    <n v="1"/>
  </r>
  <r>
    <x v="15"/>
    <n v="1"/>
  </r>
  <r>
    <x v="5"/>
    <n v="1"/>
  </r>
  <r>
    <x v="0"/>
    <n v="1"/>
  </r>
  <r>
    <x v="22"/>
    <n v="1"/>
  </r>
  <r>
    <x v="3"/>
    <n v="1"/>
  </r>
  <r>
    <x v="13"/>
    <n v="1"/>
  </r>
  <r>
    <x v="15"/>
    <n v="1"/>
  </r>
  <r>
    <x v="2"/>
    <n v="1"/>
  </r>
  <r>
    <x v="1"/>
    <n v="1"/>
  </r>
  <r>
    <x v="5"/>
    <n v="1"/>
  </r>
  <r>
    <x v="25"/>
    <n v="1"/>
  </r>
  <r>
    <x v="3"/>
    <n v="1"/>
  </r>
  <r>
    <x v="9"/>
    <n v="1"/>
  </r>
  <r>
    <x v="8"/>
    <n v="1"/>
  </r>
  <r>
    <x v="5"/>
    <n v="1"/>
  </r>
  <r>
    <x v="16"/>
    <n v="1"/>
  </r>
  <r>
    <x v="15"/>
    <n v="1"/>
  </r>
  <r>
    <x v="23"/>
    <n v="1"/>
  </r>
  <r>
    <x v="25"/>
    <n v="1"/>
  </r>
  <r>
    <x v="2"/>
    <n v="1"/>
  </r>
  <r>
    <x v="12"/>
    <n v="1"/>
  </r>
  <r>
    <x v="25"/>
    <n v="1"/>
  </r>
  <r>
    <x v="21"/>
    <n v="1"/>
  </r>
  <r>
    <x v="0"/>
    <n v="1"/>
  </r>
  <r>
    <x v="19"/>
    <n v="1"/>
  </r>
  <r>
    <x v="6"/>
    <n v="1"/>
  </r>
  <r>
    <x v="10"/>
    <n v="1"/>
  </r>
  <r>
    <x v="9"/>
    <n v="1"/>
  </r>
  <r>
    <x v="10"/>
    <n v="1"/>
  </r>
  <r>
    <x v="2"/>
    <n v="1"/>
  </r>
  <r>
    <x v="0"/>
    <n v="1"/>
  </r>
  <r>
    <x v="25"/>
    <n v="1"/>
  </r>
  <r>
    <x v="2"/>
    <n v="1"/>
  </r>
  <r>
    <x v="14"/>
    <n v="1"/>
  </r>
  <r>
    <x v="15"/>
    <n v="1"/>
  </r>
  <r>
    <x v="23"/>
    <n v="1"/>
  </r>
  <r>
    <x v="16"/>
    <n v="1"/>
  </r>
  <r>
    <x v="25"/>
    <n v="1"/>
  </r>
  <r>
    <x v="0"/>
    <n v="1"/>
  </r>
  <r>
    <x v="3"/>
    <n v="1"/>
  </r>
  <r>
    <x v="8"/>
    <n v="1"/>
  </r>
  <r>
    <x v="0"/>
    <n v="1"/>
  </r>
  <r>
    <x v="1"/>
    <n v="1"/>
  </r>
  <r>
    <x v="15"/>
    <n v="1"/>
  </r>
  <r>
    <x v="19"/>
    <n v="1"/>
  </r>
  <r>
    <x v="20"/>
    <n v="1"/>
  </r>
  <r>
    <x v="15"/>
    <n v="1"/>
  </r>
  <r>
    <x v="2"/>
    <n v="1"/>
  </r>
  <r>
    <x v="11"/>
    <n v="1"/>
  </r>
  <r>
    <x v="0"/>
    <n v="1"/>
  </r>
  <r>
    <x v="5"/>
    <n v="1"/>
  </r>
  <r>
    <x v="3"/>
    <n v="1"/>
  </r>
  <r>
    <x v="14"/>
    <n v="1"/>
  </r>
  <r>
    <x v="23"/>
    <n v="1"/>
  </r>
  <r>
    <x v="6"/>
    <n v="1"/>
  </r>
  <r>
    <x v="0"/>
    <n v="1"/>
  </r>
  <r>
    <x v="2"/>
    <n v="1"/>
  </r>
  <r>
    <x v="3"/>
    <n v="1"/>
  </r>
  <r>
    <x v="9"/>
    <n v="1"/>
  </r>
  <r>
    <x v="11"/>
    <n v="1"/>
  </r>
  <r>
    <x v="11"/>
    <n v="1"/>
  </r>
  <r>
    <x v="6"/>
    <n v="1"/>
  </r>
  <r>
    <x v="0"/>
    <n v="1"/>
  </r>
  <r>
    <x v="2"/>
    <n v="1"/>
  </r>
  <r>
    <x v="8"/>
    <n v="1"/>
  </r>
  <r>
    <x v="14"/>
    <n v="1"/>
  </r>
  <r>
    <x v="19"/>
    <n v="1"/>
  </r>
  <r>
    <x v="25"/>
    <n v="1"/>
  </r>
  <r>
    <x v="24"/>
    <n v="1"/>
  </r>
  <r>
    <x v="17"/>
    <n v="1"/>
  </r>
  <r>
    <x v="15"/>
    <n v="1"/>
  </r>
  <r>
    <x v="15"/>
    <n v="1"/>
  </r>
  <r>
    <x v="8"/>
    <n v="1"/>
  </r>
  <r>
    <x v="0"/>
    <n v="1"/>
  </r>
  <r>
    <x v="16"/>
    <n v="1"/>
  </r>
  <r>
    <x v="12"/>
    <n v="1"/>
  </r>
  <r>
    <x v="21"/>
    <n v="1"/>
  </r>
  <r>
    <x v="10"/>
    <n v="1"/>
  </r>
  <r>
    <x v="13"/>
    <n v="1"/>
  </r>
  <r>
    <x v="2"/>
    <n v="1"/>
  </r>
  <r>
    <x v="12"/>
    <n v="1"/>
  </r>
  <r>
    <x v="15"/>
    <n v="1"/>
  </r>
  <r>
    <x v="12"/>
    <n v="1"/>
  </r>
  <r>
    <x v="4"/>
    <n v="1"/>
  </r>
  <r>
    <x v="2"/>
    <n v="1"/>
  </r>
  <r>
    <x v="0"/>
    <n v="1"/>
  </r>
  <r>
    <x v="1"/>
    <n v="1"/>
  </r>
  <r>
    <x v="18"/>
    <n v="1"/>
  </r>
  <r>
    <x v="3"/>
    <n v="1"/>
  </r>
  <r>
    <x v="4"/>
    <n v="1"/>
  </r>
  <r>
    <x v="0"/>
    <n v="1"/>
  </r>
  <r>
    <x v="3"/>
    <n v="1"/>
  </r>
  <r>
    <x v="15"/>
    <n v="1"/>
  </r>
  <r>
    <x v="12"/>
    <n v="1"/>
  </r>
  <r>
    <x v="23"/>
    <n v="1"/>
  </r>
  <r>
    <x v="5"/>
    <n v="1"/>
  </r>
  <r>
    <x v="25"/>
    <n v="1"/>
  </r>
  <r>
    <x v="20"/>
    <n v="1"/>
  </r>
  <r>
    <x v="2"/>
    <n v="1"/>
  </r>
  <r>
    <x v="11"/>
    <n v="1"/>
  </r>
  <r>
    <x v="26"/>
    <n v="1"/>
  </r>
  <r>
    <x v="15"/>
    <n v="1"/>
  </r>
  <r>
    <x v="15"/>
    <n v="1"/>
  </r>
  <r>
    <x v="5"/>
    <n v="1"/>
  </r>
  <r>
    <x v="5"/>
    <n v="1"/>
  </r>
  <r>
    <x v="1"/>
    <n v="1"/>
  </r>
  <r>
    <x v="8"/>
    <n v="1"/>
  </r>
  <r>
    <x v="21"/>
    <n v="1"/>
  </r>
  <r>
    <x v="22"/>
    <n v="1"/>
  </r>
  <r>
    <x v="14"/>
    <n v="1"/>
  </r>
  <r>
    <x v="0"/>
    <n v="1"/>
  </r>
  <r>
    <x v="5"/>
    <n v="1"/>
  </r>
  <r>
    <x v="24"/>
    <n v="1"/>
  </r>
  <r>
    <x v="13"/>
    <n v="1"/>
  </r>
  <r>
    <x v="5"/>
    <n v="1"/>
  </r>
  <r>
    <x v="6"/>
    <n v="1"/>
  </r>
  <r>
    <x v="4"/>
    <n v="1"/>
  </r>
  <r>
    <x v="22"/>
    <n v="1"/>
  </r>
  <r>
    <x v="5"/>
    <n v="1"/>
  </r>
  <r>
    <x v="3"/>
    <n v="1"/>
  </r>
  <r>
    <x v="5"/>
    <n v="1"/>
  </r>
  <r>
    <x v="8"/>
    <n v="1"/>
  </r>
  <r>
    <x v="25"/>
    <n v="1"/>
  </r>
  <r>
    <x v="2"/>
    <n v="1"/>
  </r>
  <r>
    <x v="24"/>
    <n v="1"/>
  </r>
  <r>
    <x v="13"/>
    <n v="1"/>
  </r>
  <r>
    <x v="0"/>
    <n v="1"/>
  </r>
  <r>
    <x v="2"/>
    <n v="1"/>
  </r>
  <r>
    <x v="21"/>
    <n v="1"/>
  </r>
  <r>
    <x v="21"/>
    <n v="1"/>
  </r>
  <r>
    <x v="10"/>
    <n v="1"/>
  </r>
  <r>
    <x v="10"/>
    <n v="1"/>
  </r>
  <r>
    <x v="0"/>
    <n v="1"/>
  </r>
  <r>
    <x v="4"/>
    <n v="1"/>
  </r>
  <r>
    <x v="7"/>
    <n v="1"/>
  </r>
  <r>
    <x v="9"/>
    <n v="1"/>
  </r>
  <r>
    <x v="7"/>
    <n v="1"/>
  </r>
  <r>
    <x v="21"/>
    <n v="1"/>
  </r>
  <r>
    <x v="0"/>
    <n v="1"/>
  </r>
  <r>
    <x v="21"/>
    <n v="1"/>
  </r>
  <r>
    <x v="25"/>
    <n v="1"/>
  </r>
  <r>
    <x v="12"/>
    <n v="1"/>
  </r>
  <r>
    <x v="15"/>
    <n v="1"/>
  </r>
  <r>
    <x v="6"/>
    <n v="1"/>
  </r>
  <r>
    <x v="22"/>
    <n v="1"/>
  </r>
  <r>
    <x v="8"/>
    <n v="1"/>
  </r>
  <r>
    <x v="11"/>
    <n v="1"/>
  </r>
  <r>
    <x v="25"/>
    <n v="1"/>
  </r>
  <r>
    <x v="5"/>
    <n v="1"/>
  </r>
  <r>
    <x v="11"/>
    <n v="1"/>
  </r>
  <r>
    <x v="20"/>
    <n v="1"/>
  </r>
  <r>
    <x v="24"/>
    <n v="1"/>
  </r>
  <r>
    <x v="20"/>
    <n v="1"/>
  </r>
  <r>
    <x v="22"/>
    <n v="1"/>
  </r>
  <r>
    <x v="24"/>
    <n v="1"/>
  </r>
  <r>
    <x v="2"/>
    <n v="1"/>
  </r>
  <r>
    <x v="18"/>
    <n v="1"/>
  </r>
  <r>
    <x v="16"/>
    <n v="1"/>
  </r>
  <r>
    <x v="5"/>
    <n v="1"/>
  </r>
  <r>
    <x v="5"/>
    <n v="1"/>
  </r>
  <r>
    <x v="12"/>
    <n v="1"/>
  </r>
  <r>
    <x v="0"/>
    <n v="1"/>
  </r>
  <r>
    <x v="16"/>
    <n v="1"/>
  </r>
  <r>
    <x v="22"/>
    <n v="1"/>
  </r>
  <r>
    <x v="0"/>
    <n v="1"/>
  </r>
  <r>
    <x v="12"/>
    <n v="1"/>
  </r>
  <r>
    <x v="13"/>
    <n v="1"/>
  </r>
  <r>
    <x v="5"/>
    <n v="1"/>
  </r>
  <r>
    <x v="13"/>
    <n v="1"/>
  </r>
  <r>
    <x v="13"/>
    <n v="1"/>
  </r>
  <r>
    <x v="26"/>
    <n v="1"/>
  </r>
  <r>
    <x v="20"/>
    <n v="1"/>
  </r>
  <r>
    <x v="1"/>
    <n v="1"/>
  </r>
  <r>
    <x v="16"/>
    <n v="1"/>
  </r>
  <r>
    <x v="4"/>
    <n v="1"/>
  </r>
  <r>
    <x v="23"/>
    <n v="1"/>
  </r>
  <r>
    <x v="0"/>
    <n v="1"/>
  </r>
  <r>
    <x v="2"/>
    <n v="1"/>
  </r>
  <r>
    <x v="24"/>
    <n v="1"/>
  </r>
  <r>
    <x v="5"/>
    <n v="1"/>
  </r>
  <r>
    <x v="5"/>
    <n v="1"/>
  </r>
  <r>
    <x v="4"/>
    <n v="1"/>
  </r>
  <r>
    <x v="5"/>
    <n v="1"/>
  </r>
  <r>
    <x v="6"/>
    <n v="1"/>
  </r>
  <r>
    <x v="5"/>
    <n v="1"/>
  </r>
  <r>
    <x v="2"/>
    <n v="1"/>
  </r>
  <r>
    <x v="5"/>
    <n v="1"/>
  </r>
  <r>
    <x v="2"/>
    <n v="1"/>
  </r>
  <r>
    <x v="6"/>
    <n v="1"/>
  </r>
  <r>
    <x v="9"/>
    <n v="1"/>
  </r>
  <r>
    <x v="0"/>
    <n v="1"/>
  </r>
  <r>
    <x v="5"/>
    <n v="1"/>
  </r>
  <r>
    <x v="11"/>
    <n v="1"/>
  </r>
  <r>
    <x v="13"/>
    <n v="1"/>
  </r>
  <r>
    <x v="5"/>
    <n v="1"/>
  </r>
  <r>
    <x v="4"/>
    <n v="1"/>
  </r>
  <r>
    <x v="7"/>
    <n v="1"/>
  </r>
  <r>
    <x v="0"/>
    <n v="1"/>
  </r>
  <r>
    <x v="6"/>
    <n v="1"/>
  </r>
  <r>
    <x v="2"/>
    <n v="1"/>
  </r>
  <r>
    <x v="0"/>
    <n v="1"/>
  </r>
  <r>
    <x v="20"/>
    <n v="1"/>
  </r>
  <r>
    <x v="23"/>
    <n v="1"/>
  </r>
  <r>
    <x v="7"/>
    <n v="1"/>
  </r>
  <r>
    <x v="11"/>
    <n v="1"/>
  </r>
  <r>
    <x v="24"/>
    <n v="1"/>
  </r>
  <r>
    <x v="21"/>
    <n v="1"/>
  </r>
  <r>
    <x v="21"/>
    <n v="1"/>
  </r>
  <r>
    <x v="16"/>
    <n v="1"/>
  </r>
  <r>
    <x v="2"/>
    <n v="1"/>
  </r>
  <r>
    <x v="10"/>
    <n v="1"/>
  </r>
  <r>
    <x v="0"/>
    <n v="1"/>
  </r>
  <r>
    <x v="24"/>
    <n v="1"/>
  </r>
  <r>
    <x v="2"/>
    <n v="1"/>
  </r>
  <r>
    <x v="0"/>
    <n v="1"/>
  </r>
  <r>
    <x v="18"/>
    <n v="1"/>
  </r>
  <r>
    <x v="7"/>
    <n v="1"/>
  </r>
  <r>
    <x v="22"/>
    <n v="1"/>
  </r>
  <r>
    <x v="20"/>
    <n v="1"/>
  </r>
  <r>
    <x v="10"/>
    <n v="1"/>
  </r>
  <r>
    <x v="18"/>
    <n v="1"/>
  </r>
  <r>
    <x v="2"/>
    <n v="1"/>
  </r>
  <r>
    <x v="18"/>
    <n v="1"/>
  </r>
  <r>
    <x v="6"/>
    <n v="1"/>
  </r>
  <r>
    <x v="12"/>
    <n v="1"/>
  </r>
  <r>
    <x v="15"/>
    <n v="1"/>
  </r>
  <r>
    <x v="5"/>
    <n v="1"/>
  </r>
  <r>
    <x v="0"/>
    <n v="1"/>
  </r>
  <r>
    <x v="25"/>
    <n v="1"/>
  </r>
  <r>
    <x v="0"/>
    <n v="1"/>
  </r>
  <r>
    <x v="20"/>
    <n v="1"/>
  </r>
  <r>
    <x v="4"/>
    <n v="1"/>
  </r>
  <r>
    <x v="13"/>
    <n v="1"/>
  </r>
  <r>
    <x v="3"/>
    <n v="1"/>
  </r>
  <r>
    <x v="5"/>
    <n v="1"/>
  </r>
  <r>
    <x v="15"/>
    <n v="1"/>
  </r>
  <r>
    <x v="15"/>
    <n v="1"/>
  </r>
  <r>
    <x v="3"/>
    <n v="1"/>
  </r>
  <r>
    <x v="2"/>
    <n v="1"/>
  </r>
  <r>
    <x v="5"/>
    <n v="1"/>
  </r>
  <r>
    <x v="0"/>
    <n v="1"/>
  </r>
  <r>
    <x v="6"/>
    <n v="1"/>
  </r>
  <r>
    <x v="16"/>
    <n v="1"/>
  </r>
  <r>
    <x v="11"/>
    <n v="1"/>
  </r>
  <r>
    <x v="12"/>
    <n v="1"/>
  </r>
  <r>
    <x v="20"/>
    <n v="1"/>
  </r>
  <r>
    <x v="13"/>
    <n v="1"/>
  </r>
  <r>
    <x v="1"/>
    <n v="1"/>
  </r>
  <r>
    <x v="24"/>
    <n v="1"/>
  </r>
  <r>
    <x v="9"/>
    <n v="1"/>
  </r>
  <r>
    <x v="25"/>
    <n v="1"/>
  </r>
  <r>
    <x v="0"/>
    <n v="1"/>
  </r>
  <r>
    <x v="20"/>
    <n v="1"/>
  </r>
  <r>
    <x v="5"/>
    <n v="1"/>
  </r>
  <r>
    <x v="12"/>
    <n v="1"/>
  </r>
  <r>
    <x v="23"/>
    <n v="1"/>
  </r>
  <r>
    <x v="20"/>
    <n v="1"/>
  </r>
  <r>
    <x v="12"/>
    <n v="1"/>
  </r>
  <r>
    <x v="5"/>
    <n v="1"/>
  </r>
  <r>
    <x v="11"/>
    <n v="1"/>
  </r>
  <r>
    <x v="16"/>
    <n v="1"/>
  </r>
  <r>
    <x v="12"/>
    <n v="1"/>
  </r>
  <r>
    <x v="4"/>
    <n v="1"/>
  </r>
  <r>
    <x v="9"/>
    <n v="1"/>
  </r>
  <r>
    <x v="5"/>
    <n v="1"/>
  </r>
  <r>
    <x v="20"/>
    <n v="1"/>
  </r>
  <r>
    <x v="0"/>
    <n v="1"/>
  </r>
  <r>
    <x v="25"/>
    <n v="1"/>
  </r>
  <r>
    <x v="0"/>
    <n v="1"/>
  </r>
  <r>
    <x v="5"/>
    <n v="1"/>
  </r>
  <r>
    <x v="3"/>
    <n v="1"/>
  </r>
  <r>
    <x v="24"/>
    <n v="1"/>
  </r>
  <r>
    <x v="5"/>
    <n v="1"/>
  </r>
  <r>
    <x v="0"/>
    <n v="1"/>
  </r>
  <r>
    <x v="16"/>
    <n v="1"/>
  </r>
  <r>
    <x v="15"/>
    <n v="1"/>
  </r>
  <r>
    <x v="0"/>
    <n v="1"/>
  </r>
  <r>
    <x v="8"/>
    <n v="1"/>
  </r>
  <r>
    <x v="0"/>
    <n v="1"/>
  </r>
  <r>
    <x v="8"/>
    <n v="1"/>
  </r>
  <r>
    <x v="5"/>
    <n v="1"/>
  </r>
  <r>
    <x v="23"/>
    <n v="1"/>
  </r>
  <r>
    <x v="0"/>
    <n v="1"/>
  </r>
  <r>
    <x v="15"/>
    <n v="1"/>
  </r>
  <r>
    <x v="5"/>
    <n v="1"/>
  </r>
  <r>
    <x v="0"/>
    <n v="1"/>
  </r>
  <r>
    <x v="1"/>
    <n v="1"/>
  </r>
  <r>
    <x v="12"/>
    <n v="1"/>
  </r>
  <r>
    <x v="14"/>
    <n v="1"/>
  </r>
  <r>
    <x v="20"/>
    <n v="1"/>
  </r>
  <r>
    <x v="11"/>
    <n v="1"/>
  </r>
  <r>
    <x v="5"/>
    <n v="1"/>
  </r>
  <r>
    <x v="25"/>
    <n v="1"/>
  </r>
  <r>
    <x v="24"/>
    <n v="1"/>
  </r>
  <r>
    <x v="0"/>
    <n v="1"/>
  </r>
  <r>
    <x v="16"/>
    <n v="1"/>
  </r>
  <r>
    <x v="8"/>
    <n v="1"/>
  </r>
  <r>
    <x v="20"/>
    <n v="1"/>
  </r>
  <r>
    <x v="7"/>
    <n v="1"/>
  </r>
  <r>
    <x v="25"/>
    <n v="1"/>
  </r>
  <r>
    <x v="20"/>
    <n v="1"/>
  </r>
  <r>
    <x v="24"/>
    <n v="1"/>
  </r>
  <r>
    <x v="22"/>
    <n v="1"/>
  </r>
  <r>
    <x v="14"/>
    <n v="1"/>
  </r>
  <r>
    <x v="21"/>
    <n v="1"/>
  </r>
  <r>
    <x v="21"/>
    <n v="1"/>
  </r>
  <r>
    <x v="20"/>
    <n v="1"/>
  </r>
  <r>
    <x v="0"/>
    <n v="1"/>
  </r>
  <r>
    <x v="3"/>
    <n v="1"/>
  </r>
  <r>
    <x v="2"/>
    <n v="1"/>
  </r>
  <r>
    <x v="16"/>
    <n v="1"/>
  </r>
  <r>
    <x v="0"/>
    <n v="1"/>
  </r>
  <r>
    <x v="2"/>
    <n v="1"/>
  </r>
  <r>
    <x v="6"/>
    <n v="1"/>
  </r>
  <r>
    <x v="16"/>
    <n v="1"/>
  </r>
  <r>
    <x v="25"/>
    <n v="1"/>
  </r>
  <r>
    <x v="5"/>
    <n v="1"/>
  </r>
  <r>
    <x v="5"/>
    <n v="1"/>
  </r>
  <r>
    <x v="20"/>
    <n v="1"/>
  </r>
  <r>
    <x v="5"/>
    <n v="1"/>
  </r>
  <r>
    <x v="2"/>
    <n v="1"/>
  </r>
  <r>
    <x v="20"/>
    <n v="1"/>
  </r>
  <r>
    <x v="8"/>
    <n v="1"/>
  </r>
  <r>
    <x v="3"/>
    <n v="1"/>
  </r>
  <r>
    <x v="20"/>
    <n v="1"/>
  </r>
  <r>
    <x v="0"/>
    <n v="1"/>
  </r>
  <r>
    <x v="10"/>
    <n v="1"/>
  </r>
  <r>
    <x v="4"/>
    <n v="1"/>
  </r>
  <r>
    <x v="5"/>
    <n v="1"/>
  </r>
  <r>
    <x v="4"/>
    <n v="1"/>
  </r>
  <r>
    <x v="13"/>
    <n v="1"/>
  </r>
  <r>
    <x v="24"/>
    <n v="1"/>
  </r>
  <r>
    <x v="10"/>
    <n v="1"/>
  </r>
  <r>
    <x v="3"/>
    <n v="1"/>
  </r>
  <r>
    <x v="3"/>
    <n v="1"/>
  </r>
  <r>
    <x v="25"/>
    <n v="1"/>
  </r>
  <r>
    <x v="3"/>
    <n v="1"/>
  </r>
  <r>
    <x v="23"/>
    <n v="1"/>
  </r>
  <r>
    <x v="20"/>
    <n v="1"/>
  </r>
  <r>
    <x v="0"/>
    <n v="1"/>
  </r>
  <r>
    <x v="10"/>
    <n v="1"/>
  </r>
  <r>
    <x v="6"/>
    <n v="1"/>
  </r>
  <r>
    <x v="0"/>
    <n v="1"/>
  </r>
  <r>
    <x v="0"/>
    <n v="1"/>
  </r>
  <r>
    <x v="5"/>
    <n v="1"/>
  </r>
  <r>
    <x v="12"/>
    <n v="1"/>
  </r>
  <r>
    <x v="2"/>
    <n v="1"/>
  </r>
  <r>
    <x v="5"/>
    <n v="1"/>
  </r>
  <r>
    <x v="25"/>
    <n v="1"/>
  </r>
  <r>
    <x v="5"/>
    <n v="1"/>
  </r>
  <r>
    <x v="26"/>
    <n v="1"/>
  </r>
  <r>
    <x v="2"/>
    <n v="1"/>
  </r>
  <r>
    <x v="23"/>
    <n v="1"/>
  </r>
  <r>
    <x v="26"/>
    <n v="1"/>
  </r>
  <r>
    <x v="19"/>
    <n v="1"/>
  </r>
  <r>
    <x v="6"/>
    <n v="1"/>
  </r>
  <r>
    <x v="5"/>
    <n v="1"/>
  </r>
  <r>
    <x v="25"/>
    <n v="1"/>
  </r>
  <r>
    <x v="9"/>
    <n v="1"/>
  </r>
  <r>
    <x v="4"/>
    <n v="1"/>
  </r>
  <r>
    <x v="15"/>
    <n v="1"/>
  </r>
  <r>
    <x v="0"/>
    <n v="1"/>
  </r>
  <r>
    <x v="15"/>
    <n v="1"/>
  </r>
  <r>
    <x v="18"/>
    <n v="1"/>
  </r>
  <r>
    <x v="6"/>
    <n v="1"/>
  </r>
  <r>
    <x v="7"/>
    <n v="1"/>
  </r>
  <r>
    <x v="0"/>
    <n v="1"/>
  </r>
  <r>
    <x v="16"/>
    <n v="1"/>
  </r>
  <r>
    <x v="0"/>
    <n v="1"/>
  </r>
  <r>
    <x v="22"/>
    <n v="1"/>
  </r>
  <r>
    <x v="10"/>
    <n v="1"/>
  </r>
  <r>
    <x v="22"/>
    <n v="1"/>
  </r>
  <r>
    <x v="26"/>
    <n v="1"/>
  </r>
  <r>
    <x v="22"/>
    <n v="1"/>
  </r>
  <r>
    <x v="4"/>
    <n v="1"/>
  </r>
  <r>
    <x v="8"/>
    <n v="1"/>
  </r>
  <r>
    <x v="12"/>
    <n v="1"/>
  </r>
  <r>
    <x v="22"/>
    <n v="1"/>
  </r>
  <r>
    <x v="10"/>
    <n v="1"/>
  </r>
  <r>
    <x v="5"/>
    <n v="1"/>
  </r>
  <r>
    <x v="11"/>
    <n v="1"/>
  </r>
  <r>
    <x v="14"/>
    <n v="1"/>
  </r>
  <r>
    <x v="24"/>
    <n v="1"/>
  </r>
  <r>
    <x v="0"/>
    <n v="1"/>
  </r>
  <r>
    <x v="25"/>
    <n v="1"/>
  </r>
  <r>
    <x v="0"/>
    <n v="1"/>
  </r>
  <r>
    <x v="6"/>
    <n v="1"/>
  </r>
  <r>
    <x v="0"/>
    <n v="1"/>
  </r>
  <r>
    <x v="3"/>
    <n v="1"/>
  </r>
  <r>
    <x v="6"/>
    <n v="1"/>
  </r>
  <r>
    <x v="12"/>
    <n v="1"/>
  </r>
  <r>
    <x v="14"/>
    <n v="1"/>
  </r>
  <r>
    <x v="24"/>
    <n v="1"/>
  </r>
  <r>
    <x v="25"/>
    <n v="1"/>
  </r>
  <r>
    <x v="0"/>
    <n v="1"/>
  </r>
  <r>
    <x v="15"/>
    <n v="1"/>
  </r>
  <r>
    <x v="2"/>
    <n v="1"/>
  </r>
  <r>
    <x v="25"/>
    <n v="1"/>
  </r>
  <r>
    <x v="19"/>
    <n v="1"/>
  </r>
  <r>
    <x v="24"/>
    <n v="1"/>
  </r>
  <r>
    <x v="25"/>
    <n v="1"/>
  </r>
  <r>
    <x v="3"/>
    <n v="1"/>
  </r>
  <r>
    <x v="6"/>
    <n v="1"/>
  </r>
  <r>
    <x v="13"/>
    <n v="1"/>
  </r>
  <r>
    <x v="10"/>
    <n v="1"/>
  </r>
  <r>
    <x v="5"/>
    <n v="1"/>
  </r>
  <r>
    <x v="20"/>
    <n v="1"/>
  </r>
  <r>
    <x v="20"/>
    <n v="1"/>
  </r>
  <r>
    <x v="20"/>
    <n v="1"/>
  </r>
  <r>
    <x v="2"/>
    <n v="1"/>
  </r>
  <r>
    <x v="6"/>
    <n v="1"/>
  </r>
  <r>
    <x v="14"/>
    <n v="1"/>
  </r>
  <r>
    <x v="25"/>
    <n v="1"/>
  </r>
  <r>
    <x v="5"/>
    <n v="1"/>
  </r>
  <r>
    <x v="18"/>
    <n v="1"/>
  </r>
  <r>
    <x v="16"/>
    <n v="1"/>
  </r>
  <r>
    <x v="24"/>
    <n v="1"/>
  </r>
  <r>
    <x v="4"/>
    <n v="1"/>
  </r>
  <r>
    <x v="22"/>
    <n v="1"/>
  </r>
  <r>
    <x v="15"/>
    <n v="1"/>
  </r>
  <r>
    <x v="24"/>
    <n v="1"/>
  </r>
  <r>
    <x v="24"/>
    <n v="1"/>
  </r>
  <r>
    <x v="18"/>
    <n v="1"/>
  </r>
  <r>
    <x v="24"/>
    <n v="1"/>
  </r>
  <r>
    <x v="7"/>
    <n v="1"/>
  </r>
  <r>
    <x v="8"/>
    <n v="1"/>
  </r>
  <r>
    <x v="25"/>
    <n v="1"/>
  </r>
  <r>
    <x v="13"/>
    <n v="1"/>
  </r>
  <r>
    <x v="10"/>
    <n v="1"/>
  </r>
  <r>
    <x v="1"/>
    <n v="1"/>
  </r>
  <r>
    <x v="22"/>
    <n v="1"/>
  </r>
  <r>
    <x v="23"/>
    <n v="1"/>
  </r>
  <r>
    <x v="18"/>
    <n v="1"/>
  </r>
  <r>
    <x v="8"/>
    <n v="1"/>
  </r>
  <r>
    <x v="7"/>
    <n v="1"/>
  </r>
  <r>
    <x v="14"/>
    <n v="1"/>
  </r>
  <r>
    <x v="12"/>
    <n v="1"/>
  </r>
  <r>
    <x v="18"/>
    <n v="1"/>
  </r>
  <r>
    <x v="20"/>
    <n v="1"/>
  </r>
  <r>
    <x v="1"/>
    <n v="1"/>
  </r>
  <r>
    <x v="8"/>
    <n v="1"/>
  </r>
  <r>
    <x v="16"/>
    <n v="1"/>
  </r>
  <r>
    <x v="11"/>
    <n v="1"/>
  </r>
  <r>
    <x v="0"/>
    <n v="1"/>
  </r>
  <r>
    <x v="0"/>
    <n v="1"/>
  </r>
  <r>
    <x v="5"/>
    <n v="1"/>
  </r>
  <r>
    <x v="20"/>
    <n v="1"/>
  </r>
  <r>
    <x v="7"/>
    <n v="1"/>
  </r>
  <r>
    <x v="6"/>
    <n v="1"/>
  </r>
  <r>
    <x v="20"/>
    <n v="1"/>
  </r>
  <r>
    <x v="20"/>
    <n v="1"/>
  </r>
  <r>
    <x v="2"/>
    <n v="1"/>
  </r>
  <r>
    <x v="3"/>
    <n v="1"/>
  </r>
  <r>
    <x v="5"/>
    <n v="1"/>
  </r>
  <r>
    <x v="26"/>
    <n v="1"/>
  </r>
  <r>
    <x v="20"/>
    <n v="1"/>
  </r>
  <r>
    <x v="4"/>
    <n v="1"/>
  </r>
  <r>
    <x v="12"/>
    <n v="1"/>
  </r>
  <r>
    <x v="16"/>
    <n v="1"/>
  </r>
  <r>
    <x v="20"/>
    <n v="1"/>
  </r>
  <r>
    <x v="15"/>
    <n v="1"/>
  </r>
  <r>
    <x v="5"/>
    <n v="1"/>
  </r>
  <r>
    <x v="6"/>
    <n v="1"/>
  </r>
  <r>
    <x v="1"/>
    <n v="1"/>
  </r>
  <r>
    <x v="6"/>
    <n v="1"/>
  </r>
  <r>
    <x v="6"/>
    <n v="1"/>
  </r>
  <r>
    <x v="24"/>
    <n v="1"/>
  </r>
  <r>
    <x v="19"/>
    <n v="1"/>
  </r>
  <r>
    <x v="15"/>
    <n v="1"/>
  </r>
  <r>
    <x v="10"/>
    <n v="1"/>
  </r>
  <r>
    <x v="3"/>
    <n v="1"/>
  </r>
  <r>
    <x v="17"/>
    <n v="1"/>
  </r>
  <r>
    <x v="20"/>
    <n v="1"/>
  </r>
  <r>
    <x v="15"/>
    <n v="1"/>
  </r>
  <r>
    <x v="3"/>
    <n v="1"/>
  </r>
  <r>
    <x v="2"/>
    <n v="1"/>
  </r>
  <r>
    <x v="20"/>
    <n v="1"/>
  </r>
  <r>
    <x v="14"/>
    <n v="1"/>
  </r>
  <r>
    <x v="20"/>
    <n v="1"/>
  </r>
  <r>
    <x v="15"/>
    <n v="1"/>
  </r>
  <r>
    <x v="21"/>
    <n v="1"/>
  </r>
  <r>
    <x v="5"/>
    <n v="1"/>
  </r>
  <r>
    <x v="12"/>
    <n v="1"/>
  </r>
  <r>
    <x v="21"/>
    <n v="1"/>
  </r>
  <r>
    <x v="9"/>
    <n v="1"/>
  </r>
  <r>
    <x v="8"/>
    <n v="1"/>
  </r>
  <r>
    <x v="21"/>
    <n v="1"/>
  </r>
  <r>
    <x v="21"/>
    <n v="1"/>
  </r>
  <r>
    <x v="7"/>
    <n v="1"/>
  </r>
  <r>
    <x v="8"/>
    <n v="1"/>
  </r>
  <r>
    <x v="24"/>
    <n v="1"/>
  </r>
  <r>
    <x v="7"/>
    <n v="1"/>
  </r>
  <r>
    <x v="16"/>
    <n v="1"/>
  </r>
  <r>
    <x v="4"/>
    <n v="1"/>
  </r>
  <r>
    <x v="10"/>
    <n v="1"/>
  </r>
  <r>
    <x v="21"/>
    <n v="1"/>
  </r>
  <r>
    <x v="0"/>
    <n v="1"/>
  </r>
  <r>
    <x v="12"/>
    <n v="1"/>
  </r>
  <r>
    <x v="18"/>
    <n v="1"/>
  </r>
  <r>
    <x v="3"/>
    <n v="1"/>
  </r>
  <r>
    <x v="0"/>
    <n v="1"/>
  </r>
  <r>
    <x v="22"/>
    <n v="1"/>
  </r>
  <r>
    <x v="9"/>
    <n v="1"/>
  </r>
  <r>
    <x v="15"/>
    <n v="1"/>
  </r>
  <r>
    <x v="7"/>
    <n v="1"/>
  </r>
  <r>
    <x v="4"/>
    <n v="1"/>
  </r>
  <r>
    <x v="0"/>
    <n v="1"/>
  </r>
  <r>
    <x v="3"/>
    <n v="1"/>
  </r>
  <r>
    <x v="2"/>
    <n v="1"/>
  </r>
  <r>
    <x v="16"/>
    <n v="1"/>
  </r>
  <r>
    <x v="7"/>
    <n v="1"/>
  </r>
  <r>
    <x v="5"/>
    <n v="1"/>
  </r>
  <r>
    <x v="0"/>
    <n v="1"/>
  </r>
  <r>
    <x v="5"/>
    <n v="1"/>
  </r>
  <r>
    <x v="11"/>
    <n v="1"/>
  </r>
  <r>
    <x v="14"/>
    <n v="1"/>
  </r>
  <r>
    <x v="24"/>
    <n v="1"/>
  </r>
  <r>
    <x v="20"/>
    <n v="1"/>
  </r>
  <r>
    <x v="0"/>
    <n v="1"/>
  </r>
  <r>
    <x v="2"/>
    <n v="1"/>
  </r>
  <r>
    <x v="12"/>
    <n v="1"/>
  </r>
  <r>
    <x v="0"/>
    <n v="1"/>
  </r>
  <r>
    <x v="10"/>
    <n v="1"/>
  </r>
  <r>
    <x v="24"/>
    <n v="1"/>
  </r>
  <r>
    <x v="16"/>
    <n v="1"/>
  </r>
  <r>
    <x v="3"/>
    <n v="1"/>
  </r>
  <r>
    <x v="20"/>
    <n v="1"/>
  </r>
  <r>
    <x v="5"/>
    <n v="1"/>
  </r>
  <r>
    <x v="5"/>
    <n v="1"/>
  </r>
  <r>
    <x v="2"/>
    <n v="1"/>
  </r>
  <r>
    <x v="24"/>
    <n v="1"/>
  </r>
  <r>
    <x v="1"/>
    <n v="1"/>
  </r>
  <r>
    <x v="6"/>
    <n v="1"/>
  </r>
  <r>
    <x v="3"/>
    <n v="1"/>
  </r>
  <r>
    <x v="3"/>
    <n v="1"/>
  </r>
  <r>
    <x v="13"/>
    <n v="1"/>
  </r>
  <r>
    <x v="22"/>
    <n v="1"/>
  </r>
  <r>
    <x v="7"/>
    <n v="1"/>
  </r>
  <r>
    <x v="5"/>
    <n v="1"/>
  </r>
  <r>
    <x v="3"/>
    <n v="1"/>
  </r>
  <r>
    <x v="18"/>
    <n v="1"/>
  </r>
  <r>
    <x v="25"/>
    <n v="1"/>
  </r>
  <r>
    <x v="5"/>
    <n v="1"/>
  </r>
  <r>
    <x v="7"/>
    <n v="1"/>
  </r>
  <r>
    <x v="4"/>
    <n v="1"/>
  </r>
  <r>
    <x v="3"/>
    <n v="1"/>
  </r>
  <r>
    <x v="8"/>
    <n v="1"/>
  </r>
  <r>
    <x v="21"/>
    <n v="1"/>
  </r>
  <r>
    <x v="2"/>
    <n v="1"/>
  </r>
  <r>
    <x v="7"/>
    <n v="1"/>
  </r>
  <r>
    <x v="10"/>
    <n v="1"/>
  </r>
  <r>
    <x v="24"/>
    <n v="1"/>
  </r>
  <r>
    <x v="25"/>
    <n v="1"/>
  </r>
  <r>
    <x v="16"/>
    <n v="1"/>
  </r>
  <r>
    <x v="2"/>
    <n v="1"/>
  </r>
  <r>
    <x v="22"/>
    <n v="1"/>
  </r>
  <r>
    <x v="20"/>
    <n v="1"/>
  </r>
  <r>
    <x v="18"/>
    <n v="1"/>
  </r>
  <r>
    <x v="23"/>
    <n v="1"/>
  </r>
  <r>
    <x v="16"/>
    <n v="1"/>
  </r>
  <r>
    <x v="0"/>
    <n v="1"/>
  </r>
  <r>
    <x v="15"/>
    <n v="1"/>
  </r>
  <r>
    <x v="5"/>
    <n v="1"/>
  </r>
  <r>
    <x v="0"/>
    <n v="1"/>
  </r>
  <r>
    <x v="2"/>
    <n v="1"/>
  </r>
  <r>
    <x v="18"/>
    <n v="1"/>
  </r>
  <r>
    <x v="1"/>
    <n v="1"/>
  </r>
  <r>
    <x v="22"/>
    <n v="1"/>
  </r>
  <r>
    <x v="22"/>
    <n v="1"/>
  </r>
  <r>
    <x v="24"/>
    <n v="1"/>
  </r>
  <r>
    <x v="14"/>
    <n v="1"/>
  </r>
  <r>
    <x v="8"/>
    <n v="1"/>
  </r>
  <r>
    <x v="4"/>
    <n v="1"/>
  </r>
  <r>
    <x v="12"/>
    <n v="1"/>
  </r>
  <r>
    <x v="5"/>
    <n v="1"/>
  </r>
  <r>
    <x v="0"/>
    <n v="1"/>
  </r>
  <r>
    <x v="9"/>
    <n v="1"/>
  </r>
  <r>
    <x v="17"/>
    <n v="1"/>
  </r>
  <r>
    <x v="22"/>
    <n v="1"/>
  </r>
  <r>
    <x v="0"/>
    <n v="1"/>
  </r>
  <r>
    <x v="25"/>
    <n v="1"/>
  </r>
  <r>
    <x v="3"/>
    <n v="1"/>
  </r>
  <r>
    <x v="7"/>
    <n v="1"/>
  </r>
  <r>
    <x v="23"/>
    <n v="1"/>
  </r>
  <r>
    <x v="5"/>
    <n v="1"/>
  </r>
  <r>
    <x v="1"/>
    <n v="1"/>
  </r>
  <r>
    <x v="5"/>
    <n v="1"/>
  </r>
  <r>
    <x v="23"/>
    <n v="1"/>
  </r>
  <r>
    <x v="8"/>
    <n v="1"/>
  </r>
  <r>
    <x v="13"/>
    <n v="1"/>
  </r>
  <r>
    <x v="11"/>
    <n v="1"/>
  </r>
  <r>
    <x v="25"/>
    <n v="1"/>
  </r>
  <r>
    <x v="16"/>
    <n v="1"/>
  </r>
  <r>
    <x v="0"/>
    <n v="1"/>
  </r>
  <r>
    <x v="0"/>
    <n v="1"/>
  </r>
  <r>
    <x v="24"/>
    <n v="1"/>
  </r>
  <r>
    <x v="0"/>
    <n v="1"/>
  </r>
  <r>
    <x v="8"/>
    <n v="1"/>
  </r>
  <r>
    <x v="13"/>
    <n v="1"/>
  </r>
  <r>
    <x v="3"/>
    <n v="1"/>
  </r>
  <r>
    <x v="18"/>
    <n v="1"/>
  </r>
  <r>
    <x v="6"/>
    <n v="1"/>
  </r>
  <r>
    <x v="0"/>
    <n v="1"/>
  </r>
  <r>
    <x v="0"/>
    <n v="1"/>
  </r>
  <r>
    <x v="5"/>
    <n v="1"/>
  </r>
  <r>
    <x v="24"/>
    <n v="1"/>
  </r>
  <r>
    <x v="18"/>
    <n v="1"/>
  </r>
  <r>
    <x v="26"/>
    <n v="1"/>
  </r>
  <r>
    <x v="0"/>
    <n v="1"/>
  </r>
  <r>
    <x v="5"/>
    <n v="1"/>
  </r>
  <r>
    <x v="14"/>
    <n v="1"/>
  </r>
  <r>
    <x v="15"/>
    <n v="1"/>
  </r>
  <r>
    <x v="0"/>
    <n v="1"/>
  </r>
  <r>
    <x v="5"/>
    <n v="1"/>
  </r>
  <r>
    <x v="6"/>
    <n v="1"/>
  </r>
  <r>
    <x v="5"/>
    <n v="1"/>
  </r>
  <r>
    <x v="10"/>
    <n v="1"/>
  </r>
  <r>
    <x v="18"/>
    <n v="1"/>
  </r>
  <r>
    <x v="8"/>
    <n v="1"/>
  </r>
  <r>
    <x v="14"/>
    <n v="1"/>
  </r>
  <r>
    <x v="6"/>
    <n v="1"/>
  </r>
  <r>
    <x v="16"/>
    <n v="1"/>
  </r>
  <r>
    <x v="0"/>
    <n v="1"/>
  </r>
  <r>
    <x v="0"/>
    <n v="1"/>
  </r>
  <r>
    <x v="18"/>
    <n v="1"/>
  </r>
  <r>
    <x v="8"/>
    <n v="1"/>
  </r>
  <r>
    <x v="5"/>
    <n v="1"/>
  </r>
  <r>
    <x v="10"/>
    <n v="1"/>
  </r>
  <r>
    <x v="20"/>
    <n v="1"/>
  </r>
  <r>
    <x v="0"/>
    <n v="1"/>
  </r>
  <r>
    <x v="21"/>
    <n v="1"/>
  </r>
  <r>
    <x v="25"/>
    <n v="1"/>
  </r>
  <r>
    <x v="20"/>
    <n v="1"/>
  </r>
  <r>
    <x v="23"/>
    <n v="1"/>
  </r>
  <r>
    <x v="17"/>
    <n v="1"/>
  </r>
  <r>
    <x v="11"/>
    <n v="1"/>
  </r>
  <r>
    <x v="0"/>
    <n v="1"/>
  </r>
  <r>
    <x v="18"/>
    <n v="1"/>
  </r>
  <r>
    <x v="0"/>
    <n v="1"/>
  </r>
  <r>
    <x v="3"/>
    <n v="1"/>
  </r>
  <r>
    <x v="6"/>
    <n v="1"/>
  </r>
  <r>
    <x v="13"/>
    <n v="1"/>
  </r>
  <r>
    <x v="6"/>
    <n v="1"/>
  </r>
  <r>
    <x v="2"/>
    <n v="1"/>
  </r>
  <r>
    <x v="4"/>
    <n v="1"/>
  </r>
  <r>
    <x v="10"/>
    <n v="1"/>
  </r>
  <r>
    <x v="7"/>
    <n v="1"/>
  </r>
  <r>
    <x v="5"/>
    <n v="1"/>
  </r>
  <r>
    <x v="16"/>
    <n v="1"/>
  </r>
  <r>
    <x v="8"/>
    <n v="1"/>
  </r>
  <r>
    <x v="16"/>
    <n v="1"/>
  </r>
  <r>
    <x v="16"/>
    <n v="1"/>
  </r>
  <r>
    <x v="25"/>
    <n v="1"/>
  </r>
  <r>
    <x v="22"/>
    <n v="1"/>
  </r>
  <r>
    <x v="9"/>
    <n v="1"/>
  </r>
  <r>
    <x v="12"/>
    <n v="1"/>
  </r>
  <r>
    <x v="5"/>
    <n v="1"/>
  </r>
  <r>
    <x v="0"/>
    <n v="1"/>
  </r>
  <r>
    <x v="22"/>
    <n v="1"/>
  </r>
  <r>
    <x v="5"/>
    <n v="1"/>
  </r>
  <r>
    <x v="16"/>
    <n v="1"/>
  </r>
  <r>
    <x v="5"/>
    <n v="1"/>
  </r>
  <r>
    <x v="22"/>
    <n v="1"/>
  </r>
  <r>
    <x v="21"/>
    <n v="1"/>
  </r>
  <r>
    <x v="20"/>
    <n v="1"/>
  </r>
  <r>
    <x v="5"/>
    <n v="1"/>
  </r>
  <r>
    <x v="9"/>
    <n v="1"/>
  </r>
  <r>
    <x v="6"/>
    <n v="1"/>
  </r>
  <r>
    <x v="15"/>
    <n v="1"/>
  </r>
  <r>
    <x v="6"/>
    <n v="1"/>
  </r>
  <r>
    <x v="6"/>
    <n v="1"/>
  </r>
  <r>
    <x v="5"/>
    <n v="1"/>
  </r>
  <r>
    <x v="2"/>
    <n v="1"/>
  </r>
  <r>
    <x v="12"/>
    <n v="1"/>
  </r>
  <r>
    <x v="21"/>
    <n v="1"/>
  </r>
  <r>
    <x v="8"/>
    <n v="1"/>
  </r>
  <r>
    <x v="15"/>
    <n v="1"/>
  </r>
  <r>
    <x v="16"/>
    <n v="1"/>
  </r>
  <r>
    <x v="17"/>
    <n v="1"/>
  </r>
  <r>
    <x v="10"/>
    <n v="1"/>
  </r>
  <r>
    <x v="16"/>
    <n v="1"/>
  </r>
  <r>
    <x v="6"/>
    <n v="1"/>
  </r>
  <r>
    <x v="7"/>
    <n v="1"/>
  </r>
  <r>
    <x v="9"/>
    <n v="1"/>
  </r>
  <r>
    <x v="16"/>
    <n v="1"/>
  </r>
  <r>
    <x v="4"/>
    <n v="1"/>
  </r>
  <r>
    <x v="20"/>
    <n v="1"/>
  </r>
  <r>
    <x v="8"/>
    <n v="1"/>
  </r>
  <r>
    <x v="8"/>
    <n v="1"/>
  </r>
  <r>
    <x v="24"/>
    <n v="1"/>
  </r>
  <r>
    <x v="2"/>
    <n v="1"/>
  </r>
  <r>
    <x v="24"/>
    <n v="1"/>
  </r>
  <r>
    <x v="0"/>
    <n v="1"/>
  </r>
  <r>
    <x v="2"/>
    <n v="1"/>
  </r>
  <r>
    <x v="5"/>
    <n v="1"/>
  </r>
  <r>
    <x v="1"/>
    <n v="1"/>
  </r>
  <r>
    <x v="22"/>
    <n v="1"/>
  </r>
  <r>
    <x v="6"/>
    <n v="1"/>
  </r>
  <r>
    <x v="7"/>
    <n v="1"/>
  </r>
  <r>
    <x v="0"/>
    <n v="1"/>
  </r>
  <r>
    <x v="2"/>
    <n v="1"/>
  </r>
  <r>
    <x v="22"/>
    <n v="1"/>
  </r>
  <r>
    <x v="5"/>
    <n v="1"/>
  </r>
  <r>
    <x v="22"/>
    <n v="1"/>
  </r>
  <r>
    <x v="8"/>
    <n v="1"/>
  </r>
  <r>
    <x v="3"/>
    <n v="1"/>
  </r>
  <r>
    <x v="13"/>
    <n v="1"/>
  </r>
  <r>
    <x v="5"/>
    <n v="1"/>
  </r>
  <r>
    <x v="0"/>
    <n v="1"/>
  </r>
  <r>
    <x v="0"/>
    <n v="1"/>
  </r>
  <r>
    <x v="25"/>
    <n v="1"/>
  </r>
  <r>
    <x v="9"/>
    <n v="1"/>
  </r>
  <r>
    <x v="2"/>
    <n v="1"/>
  </r>
  <r>
    <x v="23"/>
    <n v="1"/>
  </r>
  <r>
    <x v="0"/>
    <n v="1"/>
  </r>
  <r>
    <x v="16"/>
    <n v="1"/>
  </r>
  <r>
    <x v="20"/>
    <n v="1"/>
  </r>
  <r>
    <x v="0"/>
    <n v="1"/>
  </r>
  <r>
    <x v="22"/>
    <n v="1"/>
  </r>
  <r>
    <x v="26"/>
    <n v="1"/>
  </r>
  <r>
    <x v="10"/>
    <n v="1"/>
  </r>
  <r>
    <x v="0"/>
    <n v="1"/>
  </r>
  <r>
    <x v="21"/>
    <n v="1"/>
  </r>
  <r>
    <x v="7"/>
    <n v="1"/>
  </r>
  <r>
    <x v="5"/>
    <n v="1"/>
  </r>
  <r>
    <x v="12"/>
    <n v="1"/>
  </r>
  <r>
    <x v="0"/>
    <n v="1"/>
  </r>
  <r>
    <x v="13"/>
    <n v="1"/>
  </r>
  <r>
    <x v="3"/>
    <n v="1"/>
  </r>
  <r>
    <x v="20"/>
    <n v="1"/>
  </r>
  <r>
    <x v="25"/>
    <n v="1"/>
  </r>
  <r>
    <x v="9"/>
    <n v="1"/>
  </r>
  <r>
    <x v="16"/>
    <n v="1"/>
  </r>
  <r>
    <x v="6"/>
    <n v="1"/>
  </r>
  <r>
    <x v="2"/>
    <n v="1"/>
  </r>
  <r>
    <x v="6"/>
    <n v="1"/>
  </r>
  <r>
    <x v="24"/>
    <n v="1"/>
  </r>
  <r>
    <x v="12"/>
    <n v="1"/>
  </r>
  <r>
    <x v="18"/>
    <n v="1"/>
  </r>
  <r>
    <x v="24"/>
    <n v="1"/>
  </r>
  <r>
    <x v="26"/>
    <n v="1"/>
  </r>
  <r>
    <x v="24"/>
    <n v="1"/>
  </r>
  <r>
    <x v="20"/>
    <n v="1"/>
  </r>
  <r>
    <x v="21"/>
    <n v="1"/>
  </r>
  <r>
    <x v="4"/>
    <n v="1"/>
  </r>
  <r>
    <x v="4"/>
    <n v="1"/>
  </r>
  <r>
    <x v="2"/>
    <n v="1"/>
  </r>
  <r>
    <x v="0"/>
    <n v="1"/>
  </r>
  <r>
    <x v="23"/>
    <n v="1"/>
  </r>
  <r>
    <x v="0"/>
    <n v="1"/>
  </r>
  <r>
    <x v="7"/>
    <n v="1"/>
  </r>
  <r>
    <x v="25"/>
    <n v="1"/>
  </r>
  <r>
    <x v="7"/>
    <n v="1"/>
  </r>
  <r>
    <x v="16"/>
    <n v="1"/>
  </r>
  <r>
    <x v="7"/>
    <n v="1"/>
  </r>
  <r>
    <x v="26"/>
    <n v="1"/>
  </r>
  <r>
    <x v="20"/>
    <n v="1"/>
  </r>
  <r>
    <x v="9"/>
    <n v="1"/>
  </r>
  <r>
    <x v="13"/>
    <n v="1"/>
  </r>
  <r>
    <x v="25"/>
    <n v="1"/>
  </r>
  <r>
    <x v="11"/>
    <n v="1"/>
  </r>
  <r>
    <x v="11"/>
    <n v="1"/>
  </r>
  <r>
    <x v="20"/>
    <n v="1"/>
  </r>
  <r>
    <x v="4"/>
    <n v="1"/>
  </r>
  <r>
    <x v="23"/>
    <n v="1"/>
  </r>
  <r>
    <x v="20"/>
    <n v="1"/>
  </r>
  <r>
    <x v="0"/>
    <n v="1"/>
  </r>
  <r>
    <x v="22"/>
    <n v="1"/>
  </r>
  <r>
    <x v="22"/>
    <n v="1"/>
  </r>
  <r>
    <x v="2"/>
    <n v="1"/>
  </r>
  <r>
    <x v="24"/>
    <n v="1"/>
  </r>
  <r>
    <x v="20"/>
    <n v="1"/>
  </r>
  <r>
    <x v="7"/>
    <n v="1"/>
  </r>
  <r>
    <x v="20"/>
    <n v="1"/>
  </r>
  <r>
    <x v="0"/>
    <n v="1"/>
  </r>
  <r>
    <x v="25"/>
    <n v="1"/>
  </r>
  <r>
    <x v="6"/>
    <n v="1"/>
  </r>
  <r>
    <x v="17"/>
    <n v="1"/>
  </r>
  <r>
    <x v="25"/>
    <n v="1"/>
  </r>
  <r>
    <x v="2"/>
    <n v="1"/>
  </r>
  <r>
    <x v="0"/>
    <n v="1"/>
  </r>
  <r>
    <x v="5"/>
    <n v="1"/>
  </r>
  <r>
    <x v="0"/>
    <n v="1"/>
  </r>
  <r>
    <x v="7"/>
    <n v="1"/>
  </r>
  <r>
    <x v="24"/>
    <n v="1"/>
  </r>
  <r>
    <x v="18"/>
    <n v="1"/>
  </r>
  <r>
    <x v="4"/>
    <n v="1"/>
  </r>
  <r>
    <x v="22"/>
    <n v="1"/>
  </r>
  <r>
    <x v="7"/>
    <n v="1"/>
  </r>
  <r>
    <x v="2"/>
    <n v="1"/>
  </r>
  <r>
    <x v="0"/>
    <n v="1"/>
  </r>
  <r>
    <x v="18"/>
    <n v="1"/>
  </r>
  <r>
    <x v="0"/>
    <n v="1"/>
  </r>
  <r>
    <x v="0"/>
    <n v="1"/>
  </r>
  <r>
    <x v="0"/>
    <n v="1"/>
  </r>
  <r>
    <x v="16"/>
    <n v="1"/>
  </r>
  <r>
    <x v="14"/>
    <n v="1"/>
  </r>
  <r>
    <x v="20"/>
    <n v="1"/>
  </r>
  <r>
    <x v="0"/>
    <n v="1"/>
  </r>
  <r>
    <x v="25"/>
    <n v="1"/>
  </r>
  <r>
    <x v="5"/>
    <n v="1"/>
  </r>
  <r>
    <x v="13"/>
    <n v="1"/>
  </r>
  <r>
    <x v="20"/>
    <n v="1"/>
  </r>
  <r>
    <x v="12"/>
    <n v="1"/>
  </r>
  <r>
    <x v="0"/>
    <n v="1"/>
  </r>
  <r>
    <x v="24"/>
    <n v="1"/>
  </r>
  <r>
    <x v="24"/>
    <n v="1"/>
  </r>
  <r>
    <x v="4"/>
    <n v="1"/>
  </r>
  <r>
    <x v="24"/>
    <n v="1"/>
  </r>
  <r>
    <x v="22"/>
    <n v="1"/>
  </r>
  <r>
    <x v="15"/>
    <n v="1"/>
  </r>
  <r>
    <x v="16"/>
    <n v="1"/>
  </r>
  <r>
    <x v="6"/>
    <n v="1"/>
  </r>
  <r>
    <x v="2"/>
    <n v="1"/>
  </r>
  <r>
    <x v="5"/>
    <n v="1"/>
  </r>
  <r>
    <x v="15"/>
    <n v="1"/>
  </r>
  <r>
    <x v="16"/>
    <n v="1"/>
  </r>
  <r>
    <x v="21"/>
    <n v="1"/>
  </r>
  <r>
    <x v="15"/>
    <n v="1"/>
  </r>
  <r>
    <x v="0"/>
    <n v="1"/>
  </r>
  <r>
    <x v="0"/>
    <n v="1"/>
  </r>
  <r>
    <x v="16"/>
    <n v="1"/>
  </r>
  <r>
    <x v="0"/>
    <n v="1"/>
  </r>
  <r>
    <x v="5"/>
    <n v="1"/>
  </r>
  <r>
    <x v="7"/>
    <n v="1"/>
  </r>
  <r>
    <x v="0"/>
    <n v="1"/>
  </r>
  <r>
    <x v="0"/>
    <n v="1"/>
  </r>
  <r>
    <x v="6"/>
    <n v="1"/>
  </r>
  <r>
    <x v="2"/>
    <n v="1"/>
  </r>
  <r>
    <x v="2"/>
    <n v="1"/>
  </r>
  <r>
    <x v="19"/>
    <n v="1"/>
  </r>
  <r>
    <x v="5"/>
    <n v="1"/>
  </r>
  <r>
    <x v="0"/>
    <n v="1"/>
  </r>
  <r>
    <x v="6"/>
    <n v="1"/>
  </r>
  <r>
    <x v="0"/>
    <n v="1"/>
  </r>
  <r>
    <x v="26"/>
    <n v="1"/>
  </r>
  <r>
    <x v="26"/>
    <n v="1"/>
  </r>
  <r>
    <x v="6"/>
    <n v="1"/>
  </r>
  <r>
    <x v="4"/>
    <n v="1"/>
  </r>
  <r>
    <x v="0"/>
    <n v="1"/>
  </r>
  <r>
    <x v="13"/>
    <n v="1"/>
  </r>
  <r>
    <x v="24"/>
    <n v="1"/>
  </r>
  <r>
    <x v="5"/>
    <n v="1"/>
  </r>
  <r>
    <x v="0"/>
    <n v="1"/>
  </r>
  <r>
    <x v="8"/>
    <n v="1"/>
  </r>
  <r>
    <x v="5"/>
    <n v="1"/>
  </r>
  <r>
    <x v="18"/>
    <n v="1"/>
  </r>
  <r>
    <x v="13"/>
    <n v="1"/>
  </r>
  <r>
    <x v="6"/>
    <n v="1"/>
  </r>
  <r>
    <x v="15"/>
    <n v="1"/>
  </r>
  <r>
    <x v="22"/>
    <n v="1"/>
  </r>
  <r>
    <x v="3"/>
    <n v="1"/>
  </r>
  <r>
    <x v="0"/>
    <n v="1"/>
  </r>
  <r>
    <x v="0"/>
    <n v="1"/>
  </r>
  <r>
    <x v="0"/>
    <n v="1"/>
  </r>
  <r>
    <x v="8"/>
    <n v="1"/>
  </r>
  <r>
    <x v="9"/>
    <n v="1"/>
  </r>
  <r>
    <x v="24"/>
    <n v="1"/>
  </r>
  <r>
    <x v="3"/>
    <n v="1"/>
  </r>
  <r>
    <x v="3"/>
    <n v="1"/>
  </r>
  <r>
    <x v="15"/>
    <n v="1"/>
  </r>
  <r>
    <x v="0"/>
    <n v="1"/>
  </r>
  <r>
    <x v="0"/>
    <n v="1"/>
  </r>
  <r>
    <x v="5"/>
    <n v="1"/>
  </r>
  <r>
    <x v="26"/>
    <n v="1"/>
  </r>
  <r>
    <x v="25"/>
    <n v="1"/>
  </r>
  <r>
    <x v="0"/>
    <n v="1"/>
  </r>
  <r>
    <x v="25"/>
    <n v="1"/>
  </r>
  <r>
    <x v="0"/>
    <n v="1"/>
  </r>
  <r>
    <x v="24"/>
    <n v="1"/>
  </r>
  <r>
    <x v="11"/>
    <n v="1"/>
  </r>
  <r>
    <x v="0"/>
    <n v="1"/>
  </r>
  <r>
    <x v="21"/>
    <n v="1"/>
  </r>
  <r>
    <x v="5"/>
    <n v="1"/>
  </r>
  <r>
    <x v="7"/>
    <n v="1"/>
  </r>
  <r>
    <x v="0"/>
    <n v="1"/>
  </r>
  <r>
    <x v="5"/>
    <n v="1"/>
  </r>
  <r>
    <x v="0"/>
    <n v="1"/>
  </r>
  <r>
    <x v="21"/>
    <n v="1"/>
  </r>
  <r>
    <x v="18"/>
    <n v="1"/>
  </r>
  <r>
    <x v="9"/>
    <n v="1"/>
  </r>
  <r>
    <x v="0"/>
    <n v="1"/>
  </r>
  <r>
    <x v="0"/>
    <n v="1"/>
  </r>
  <r>
    <x v="2"/>
    <n v="1"/>
  </r>
  <r>
    <x v="5"/>
    <n v="1"/>
  </r>
  <r>
    <x v="6"/>
    <n v="1"/>
  </r>
  <r>
    <x v="21"/>
    <n v="1"/>
  </r>
  <r>
    <x v="16"/>
    <n v="1"/>
  </r>
  <r>
    <x v="0"/>
    <n v="1"/>
  </r>
  <r>
    <x v="13"/>
    <n v="1"/>
  </r>
  <r>
    <x v="8"/>
    <n v="1"/>
  </r>
  <r>
    <x v="17"/>
    <n v="1"/>
  </r>
  <r>
    <x v="0"/>
    <n v="1"/>
  </r>
  <r>
    <x v="0"/>
    <n v="1"/>
  </r>
  <r>
    <x v="20"/>
    <n v="1"/>
  </r>
  <r>
    <x v="5"/>
    <n v="1"/>
  </r>
  <r>
    <x v="6"/>
    <n v="1"/>
  </r>
  <r>
    <x v="3"/>
    <n v="1"/>
  </r>
  <r>
    <x v="0"/>
    <n v="1"/>
  </r>
  <r>
    <x v="5"/>
    <n v="1"/>
  </r>
  <r>
    <x v="5"/>
    <n v="1"/>
  </r>
  <r>
    <x v="6"/>
    <n v="1"/>
  </r>
  <r>
    <x v="22"/>
    <n v="1"/>
  </r>
  <r>
    <x v="0"/>
    <n v="1"/>
  </r>
  <r>
    <x v="23"/>
    <n v="1"/>
  </r>
  <r>
    <x v="1"/>
    <n v="1"/>
  </r>
  <r>
    <x v="16"/>
    <n v="1"/>
  </r>
  <r>
    <x v="20"/>
    <n v="1"/>
  </r>
  <r>
    <x v="5"/>
    <n v="1"/>
  </r>
  <r>
    <x v="8"/>
    <n v="1"/>
  </r>
  <r>
    <x v="7"/>
    <n v="1"/>
  </r>
  <r>
    <x v="24"/>
    <n v="1"/>
  </r>
  <r>
    <x v="8"/>
    <n v="1"/>
  </r>
  <r>
    <x v="8"/>
    <n v="1"/>
  </r>
  <r>
    <x v="18"/>
    <n v="1"/>
  </r>
  <r>
    <x v="8"/>
    <n v="1"/>
  </r>
  <r>
    <x v="5"/>
    <n v="1"/>
  </r>
  <r>
    <x v="20"/>
    <n v="1"/>
  </r>
  <r>
    <x v="8"/>
    <n v="1"/>
  </r>
  <r>
    <x v="0"/>
    <n v="1"/>
  </r>
  <r>
    <x v="7"/>
    <n v="1"/>
  </r>
  <r>
    <x v="17"/>
    <n v="1"/>
  </r>
  <r>
    <x v="18"/>
    <n v="1"/>
  </r>
  <r>
    <x v="23"/>
    <n v="1"/>
  </r>
  <r>
    <x v="22"/>
    <n v="1"/>
  </r>
  <r>
    <x v="0"/>
    <n v="1"/>
  </r>
  <r>
    <x v="21"/>
    <n v="1"/>
  </r>
  <r>
    <x v="9"/>
    <n v="1"/>
  </r>
  <r>
    <x v="24"/>
    <n v="1"/>
  </r>
  <r>
    <x v="25"/>
    <n v="1"/>
  </r>
  <r>
    <x v="0"/>
    <n v="1"/>
  </r>
  <r>
    <x v="12"/>
    <n v="1"/>
  </r>
  <r>
    <x v="9"/>
    <n v="1"/>
  </r>
  <r>
    <x v="5"/>
    <n v="1"/>
  </r>
  <r>
    <x v="0"/>
    <n v="1"/>
  </r>
  <r>
    <x v="23"/>
    <n v="1"/>
  </r>
  <r>
    <x v="22"/>
    <n v="1"/>
  </r>
  <r>
    <x v="14"/>
    <n v="1"/>
  </r>
  <r>
    <x v="25"/>
    <n v="1"/>
  </r>
  <r>
    <x v="12"/>
    <n v="1"/>
  </r>
  <r>
    <x v="16"/>
    <n v="1"/>
  </r>
  <r>
    <x v="8"/>
    <n v="1"/>
  </r>
  <r>
    <x v="25"/>
    <n v="1"/>
  </r>
  <r>
    <x v="0"/>
    <n v="1"/>
  </r>
  <r>
    <x v="9"/>
    <n v="1"/>
  </r>
  <r>
    <x v="0"/>
    <n v="1"/>
  </r>
  <r>
    <x v="0"/>
    <n v="1"/>
  </r>
  <r>
    <x v="6"/>
    <n v="1"/>
  </r>
  <r>
    <x v="5"/>
    <n v="1"/>
  </r>
  <r>
    <x v="1"/>
    <n v="1"/>
  </r>
  <r>
    <x v="11"/>
    <n v="1"/>
  </r>
  <r>
    <x v="12"/>
    <n v="1"/>
  </r>
  <r>
    <x v="5"/>
    <n v="1"/>
  </r>
  <r>
    <x v="6"/>
    <n v="1"/>
  </r>
  <r>
    <x v="5"/>
    <n v="1"/>
  </r>
  <r>
    <x v="5"/>
    <n v="1"/>
  </r>
  <r>
    <x v="0"/>
    <n v="1"/>
  </r>
  <r>
    <x v="16"/>
    <n v="1"/>
  </r>
  <r>
    <x v="0"/>
    <n v="1"/>
  </r>
  <r>
    <x v="6"/>
    <n v="1"/>
  </r>
  <r>
    <x v="17"/>
    <n v="1"/>
  </r>
  <r>
    <x v="0"/>
    <n v="1"/>
  </r>
  <r>
    <x v="5"/>
    <n v="1"/>
  </r>
  <r>
    <x v="5"/>
    <n v="1"/>
  </r>
  <r>
    <x v="0"/>
    <n v="1"/>
  </r>
  <r>
    <x v="22"/>
    <n v="1"/>
  </r>
  <r>
    <x v="1"/>
    <n v="1"/>
  </r>
  <r>
    <x v="11"/>
    <n v="1"/>
  </r>
  <r>
    <x v="0"/>
    <n v="1"/>
  </r>
  <r>
    <x v="22"/>
    <n v="1"/>
  </r>
  <r>
    <x v="4"/>
    <n v="1"/>
  </r>
  <r>
    <x v="0"/>
    <n v="1"/>
  </r>
  <r>
    <x v="7"/>
    <n v="1"/>
  </r>
  <r>
    <x v="9"/>
    <n v="1"/>
  </r>
  <r>
    <x v="5"/>
    <n v="1"/>
  </r>
  <r>
    <x v="8"/>
    <n v="1"/>
  </r>
  <r>
    <x v="4"/>
    <n v="1"/>
  </r>
  <r>
    <x v="0"/>
    <n v="1"/>
  </r>
  <r>
    <x v="4"/>
    <n v="1"/>
  </r>
  <r>
    <x v="0"/>
    <n v="1"/>
  </r>
  <r>
    <x v="7"/>
    <n v="1"/>
  </r>
  <r>
    <x v="0"/>
    <n v="1"/>
  </r>
  <r>
    <x v="21"/>
    <n v="1"/>
  </r>
  <r>
    <x v="2"/>
    <n v="1"/>
  </r>
  <r>
    <x v="24"/>
    <n v="1"/>
  </r>
  <r>
    <x v="6"/>
    <n v="1"/>
  </r>
  <r>
    <x v="0"/>
    <n v="1"/>
  </r>
  <r>
    <x v="8"/>
    <n v="1"/>
  </r>
  <r>
    <x v="9"/>
    <n v="1"/>
  </r>
  <r>
    <x v="16"/>
    <n v="1"/>
  </r>
  <r>
    <x v="6"/>
    <n v="1"/>
  </r>
  <r>
    <x v="23"/>
    <n v="1"/>
  </r>
  <r>
    <x v="14"/>
    <n v="1"/>
  </r>
  <r>
    <x v="5"/>
    <n v="1"/>
  </r>
  <r>
    <x v="3"/>
    <n v="1"/>
  </r>
  <r>
    <x v="5"/>
    <n v="1"/>
  </r>
  <r>
    <x v="8"/>
    <n v="1"/>
  </r>
  <r>
    <x v="24"/>
    <n v="1"/>
  </r>
  <r>
    <x v="5"/>
    <n v="1"/>
  </r>
  <r>
    <x v="0"/>
    <n v="1"/>
  </r>
  <r>
    <x v="16"/>
    <n v="1"/>
  </r>
  <r>
    <x v="24"/>
    <n v="1"/>
  </r>
  <r>
    <x v="15"/>
    <n v="1"/>
  </r>
  <r>
    <x v="0"/>
    <n v="1"/>
  </r>
  <r>
    <x v="25"/>
    <n v="1"/>
  </r>
  <r>
    <x v="0"/>
    <n v="1"/>
  </r>
  <r>
    <x v="24"/>
    <n v="1"/>
  </r>
  <r>
    <x v="18"/>
    <n v="1"/>
  </r>
  <r>
    <x v="4"/>
    <n v="1"/>
  </r>
  <r>
    <x v="15"/>
    <n v="1"/>
  </r>
  <r>
    <x v="0"/>
    <n v="1"/>
  </r>
  <r>
    <x v="24"/>
    <n v="1"/>
  </r>
  <r>
    <x v="5"/>
    <n v="1"/>
  </r>
  <r>
    <x v="16"/>
    <n v="1"/>
  </r>
  <r>
    <x v="0"/>
    <n v="1"/>
  </r>
  <r>
    <x v="15"/>
    <n v="1"/>
  </r>
  <r>
    <x v="2"/>
    <n v="1"/>
  </r>
  <r>
    <x v="7"/>
    <n v="1"/>
  </r>
  <r>
    <x v="24"/>
    <n v="1"/>
  </r>
  <r>
    <x v="0"/>
    <n v="1"/>
  </r>
  <r>
    <x v="20"/>
    <n v="1"/>
  </r>
  <r>
    <x v="22"/>
    <n v="1"/>
  </r>
  <r>
    <x v="0"/>
    <n v="1"/>
  </r>
  <r>
    <x v="0"/>
    <n v="1"/>
  </r>
  <r>
    <x v="8"/>
    <n v="1"/>
  </r>
  <r>
    <x v="0"/>
    <n v="1"/>
  </r>
  <r>
    <x v="20"/>
    <n v="1"/>
  </r>
  <r>
    <x v="20"/>
    <n v="1"/>
  </r>
  <r>
    <x v="22"/>
    <n v="1"/>
  </r>
  <r>
    <x v="6"/>
    <n v="1"/>
  </r>
  <r>
    <x v="24"/>
    <n v="1"/>
  </r>
  <r>
    <x v="0"/>
    <n v="1"/>
  </r>
  <r>
    <x v="0"/>
    <n v="1"/>
  </r>
  <r>
    <x v="6"/>
    <n v="1"/>
  </r>
  <r>
    <x v="0"/>
    <n v="1"/>
  </r>
  <r>
    <x v="6"/>
    <n v="1"/>
  </r>
  <r>
    <x v="2"/>
    <n v="1"/>
  </r>
  <r>
    <x v="0"/>
    <n v="1"/>
  </r>
  <r>
    <x v="16"/>
    <n v="1"/>
  </r>
  <r>
    <x v="21"/>
    <n v="1"/>
  </r>
  <r>
    <x v="20"/>
    <n v="1"/>
  </r>
  <r>
    <x v="15"/>
    <n v="1"/>
  </r>
  <r>
    <x v="0"/>
    <n v="1"/>
  </r>
  <r>
    <x v="0"/>
    <n v="1"/>
  </r>
  <r>
    <x v="25"/>
    <n v="1"/>
  </r>
  <r>
    <x v="22"/>
    <n v="1"/>
  </r>
  <r>
    <x v="0"/>
    <n v="1"/>
  </r>
  <r>
    <x v="17"/>
    <n v="1"/>
  </r>
  <r>
    <x v="24"/>
    <n v="1"/>
  </r>
  <r>
    <x v="15"/>
    <n v="1"/>
  </r>
  <r>
    <x v="22"/>
    <n v="1"/>
  </r>
  <r>
    <x v="21"/>
    <n v="1"/>
  </r>
  <r>
    <x v="25"/>
    <n v="1"/>
  </r>
  <r>
    <x v="15"/>
    <n v="1"/>
  </r>
  <r>
    <x v="22"/>
    <n v="1"/>
  </r>
  <r>
    <x v="10"/>
    <n v="1"/>
  </r>
  <r>
    <x v="7"/>
    <n v="1"/>
  </r>
  <r>
    <x v="2"/>
    <n v="1"/>
  </r>
  <r>
    <x v="21"/>
    <n v="1"/>
  </r>
  <r>
    <x v="0"/>
    <n v="1"/>
  </r>
  <r>
    <x v="0"/>
    <n v="1"/>
  </r>
  <r>
    <x v="10"/>
    <n v="1"/>
  </r>
  <r>
    <x v="24"/>
    <n v="1"/>
  </r>
  <r>
    <x v="5"/>
    <n v="1"/>
  </r>
  <r>
    <x v="12"/>
    <n v="1"/>
  </r>
  <r>
    <x v="15"/>
    <n v="1"/>
  </r>
  <r>
    <x v="15"/>
    <n v="1"/>
  </r>
  <r>
    <x v="20"/>
    <n v="1"/>
  </r>
  <r>
    <x v="20"/>
    <n v="1"/>
  </r>
  <r>
    <x v="3"/>
    <n v="1"/>
  </r>
  <r>
    <x v="0"/>
    <n v="1"/>
  </r>
  <r>
    <x v="15"/>
    <n v="1"/>
  </r>
  <r>
    <x v="25"/>
    <n v="1"/>
  </r>
  <r>
    <x v="22"/>
    <n v="1"/>
  </r>
  <r>
    <x v="20"/>
    <n v="1"/>
  </r>
  <r>
    <x v="22"/>
    <n v="1"/>
  </r>
  <r>
    <x v="0"/>
    <n v="1"/>
  </r>
  <r>
    <x v="15"/>
    <n v="1"/>
  </r>
  <r>
    <x v="0"/>
    <n v="1"/>
  </r>
  <r>
    <x v="22"/>
    <n v="1"/>
  </r>
  <r>
    <x v="22"/>
    <n v="1"/>
  </r>
  <r>
    <x v="0"/>
    <n v="1"/>
  </r>
  <r>
    <x v="26"/>
    <n v="1"/>
  </r>
  <r>
    <x v="20"/>
    <n v="1"/>
  </r>
  <r>
    <x v="17"/>
    <n v="1"/>
  </r>
  <r>
    <x v="0"/>
    <n v="1"/>
  </r>
  <r>
    <x v="11"/>
    <n v="1"/>
  </r>
  <r>
    <x v="2"/>
    <n v="1"/>
  </r>
  <r>
    <x v="3"/>
    <n v="1"/>
  </r>
  <r>
    <x v="12"/>
    <n v="1"/>
  </r>
  <r>
    <x v="0"/>
    <n v="1"/>
  </r>
  <r>
    <x v="13"/>
    <n v="1"/>
  </r>
  <r>
    <x v="4"/>
    <n v="1"/>
  </r>
  <r>
    <x v="0"/>
    <n v="1"/>
  </r>
  <r>
    <x v="22"/>
    <n v="1"/>
  </r>
  <r>
    <x v="0"/>
    <n v="1"/>
  </r>
  <r>
    <x v="5"/>
    <n v="1"/>
  </r>
  <r>
    <x v="16"/>
    <n v="1"/>
  </r>
  <r>
    <x v="20"/>
    <n v="1"/>
  </r>
  <r>
    <x v="17"/>
    <n v="1"/>
  </r>
  <r>
    <x v="0"/>
    <n v="1"/>
  </r>
  <r>
    <x v="12"/>
    <n v="1"/>
  </r>
  <r>
    <x v="5"/>
    <n v="1"/>
  </r>
  <r>
    <x v="3"/>
    <n v="1"/>
  </r>
  <r>
    <x v="6"/>
    <n v="1"/>
  </r>
  <r>
    <x v="12"/>
    <n v="1"/>
  </r>
  <r>
    <x v="12"/>
    <n v="1"/>
  </r>
  <r>
    <x v="5"/>
    <n v="1"/>
  </r>
  <r>
    <x v="5"/>
    <n v="1"/>
  </r>
  <r>
    <x v="16"/>
    <n v="1"/>
  </r>
  <r>
    <x v="23"/>
    <n v="1"/>
  </r>
  <r>
    <x v="0"/>
    <n v="1"/>
  </r>
  <r>
    <x v="15"/>
    <n v="1"/>
  </r>
  <r>
    <x v="18"/>
    <n v="1"/>
  </r>
  <r>
    <x v="10"/>
    <n v="1"/>
  </r>
  <r>
    <x v="20"/>
    <n v="1"/>
  </r>
  <r>
    <x v="8"/>
    <n v="1"/>
  </r>
  <r>
    <x v="23"/>
    <n v="1"/>
  </r>
  <r>
    <x v="5"/>
    <n v="1"/>
  </r>
  <r>
    <x v="22"/>
    <n v="1"/>
  </r>
  <r>
    <x v="7"/>
    <n v="1"/>
  </r>
  <r>
    <x v="22"/>
    <n v="1"/>
  </r>
  <r>
    <x v="17"/>
    <n v="1"/>
  </r>
  <r>
    <x v="3"/>
    <n v="1"/>
  </r>
  <r>
    <x v="0"/>
    <n v="1"/>
  </r>
  <r>
    <x v="15"/>
    <n v="1"/>
  </r>
  <r>
    <x v="11"/>
    <n v="1"/>
  </r>
  <r>
    <x v="0"/>
    <n v="1"/>
  </r>
  <r>
    <x v="0"/>
    <n v="1"/>
  </r>
  <r>
    <x v="6"/>
    <n v="1"/>
  </r>
  <r>
    <x v="21"/>
    <n v="1"/>
  </r>
  <r>
    <x v="24"/>
    <n v="1"/>
  </r>
  <r>
    <x v="0"/>
    <n v="1"/>
  </r>
  <r>
    <x v="15"/>
    <n v="1"/>
  </r>
  <r>
    <x v="4"/>
    <n v="1"/>
  </r>
  <r>
    <x v="20"/>
    <n v="1"/>
  </r>
  <r>
    <x v="0"/>
    <n v="1"/>
  </r>
  <r>
    <x v="0"/>
    <n v="1"/>
  </r>
  <r>
    <x v="15"/>
    <n v="1"/>
  </r>
  <r>
    <x v="20"/>
    <n v="1"/>
  </r>
  <r>
    <x v="7"/>
    <n v="1"/>
  </r>
  <r>
    <x v="26"/>
    <n v="1"/>
  </r>
  <r>
    <x v="10"/>
    <n v="1"/>
  </r>
  <r>
    <x v="0"/>
    <n v="1"/>
  </r>
  <r>
    <x v="16"/>
    <n v="1"/>
  </r>
  <r>
    <x v="0"/>
    <n v="1"/>
  </r>
  <r>
    <x v="12"/>
    <n v="1"/>
  </r>
  <r>
    <x v="0"/>
    <n v="1"/>
  </r>
  <r>
    <x v="26"/>
    <n v="1"/>
  </r>
  <r>
    <x v="20"/>
    <n v="1"/>
  </r>
  <r>
    <x v="10"/>
    <n v="1"/>
  </r>
  <r>
    <x v="0"/>
    <n v="1"/>
  </r>
  <r>
    <x v="5"/>
    <n v="1"/>
  </r>
  <r>
    <x v="0"/>
    <n v="1"/>
  </r>
  <r>
    <x v="16"/>
    <n v="1"/>
  </r>
  <r>
    <x v="15"/>
    <n v="1"/>
  </r>
  <r>
    <x v="11"/>
    <n v="1"/>
  </r>
  <r>
    <x v="10"/>
    <n v="1"/>
  </r>
  <r>
    <x v="0"/>
    <n v="1"/>
  </r>
  <r>
    <x v="8"/>
    <n v="1"/>
  </r>
  <r>
    <x v="14"/>
    <n v="1"/>
  </r>
  <r>
    <x v="6"/>
    <n v="1"/>
  </r>
  <r>
    <x v="0"/>
    <n v="1"/>
  </r>
  <r>
    <x v="8"/>
    <n v="1"/>
  </r>
  <r>
    <x v="7"/>
    <n v="1"/>
  </r>
  <r>
    <x v="2"/>
    <n v="1"/>
  </r>
  <r>
    <x v="24"/>
    <n v="1"/>
  </r>
  <r>
    <x v="21"/>
    <n v="1"/>
  </r>
  <r>
    <x v="24"/>
    <n v="1"/>
  </r>
  <r>
    <x v="8"/>
    <n v="1"/>
  </r>
  <r>
    <x v="14"/>
    <n v="1"/>
  </r>
  <r>
    <x v="0"/>
    <n v="1"/>
  </r>
  <r>
    <x v="0"/>
    <n v="1"/>
  </r>
  <r>
    <x v="0"/>
    <n v="1"/>
  </r>
  <r>
    <x v="25"/>
    <n v="1"/>
  </r>
  <r>
    <x v="0"/>
    <n v="1"/>
  </r>
  <r>
    <x v="0"/>
    <n v="1"/>
  </r>
  <r>
    <x v="4"/>
    <n v="1"/>
  </r>
  <r>
    <x v="4"/>
    <n v="1"/>
  </r>
  <r>
    <x v="20"/>
    <n v="1"/>
  </r>
  <r>
    <x v="0"/>
    <n v="1"/>
  </r>
  <r>
    <x v="0"/>
    <n v="1"/>
  </r>
  <r>
    <x v="12"/>
    <n v="1"/>
  </r>
  <r>
    <x v="5"/>
    <n v="1"/>
  </r>
  <r>
    <x v="12"/>
    <n v="1"/>
  </r>
  <r>
    <x v="0"/>
    <n v="1"/>
  </r>
  <r>
    <x v="20"/>
    <n v="1"/>
  </r>
  <r>
    <x v="5"/>
    <n v="1"/>
  </r>
  <r>
    <x v="21"/>
    <n v="1"/>
  </r>
  <r>
    <x v="26"/>
    <n v="1"/>
  </r>
  <r>
    <x v="22"/>
    <n v="1"/>
  </r>
  <r>
    <x v="23"/>
    <n v="1"/>
  </r>
  <r>
    <x v="6"/>
    <n v="1"/>
  </r>
  <r>
    <x v="17"/>
    <n v="1"/>
  </r>
  <r>
    <x v="19"/>
    <n v="1"/>
  </r>
  <r>
    <x v="0"/>
    <n v="1"/>
  </r>
  <r>
    <x v="5"/>
    <n v="1"/>
  </r>
  <r>
    <x v="6"/>
    <n v="1"/>
  </r>
  <r>
    <x v="0"/>
    <n v="1"/>
  </r>
  <r>
    <x v="0"/>
    <n v="1"/>
  </r>
  <r>
    <x v="0"/>
    <n v="1"/>
  </r>
  <r>
    <x v="15"/>
    <n v="1"/>
  </r>
  <r>
    <x v="8"/>
    <n v="1"/>
  </r>
  <r>
    <x v="7"/>
    <n v="1"/>
  </r>
  <r>
    <x v="3"/>
    <n v="1"/>
  </r>
  <r>
    <x v="17"/>
    <n v="1"/>
  </r>
  <r>
    <x v="22"/>
    <n v="1"/>
  </r>
  <r>
    <x v="4"/>
    <n v="1"/>
  </r>
  <r>
    <x v="16"/>
    <n v="1"/>
  </r>
  <r>
    <x v="20"/>
    <n v="1"/>
  </r>
  <r>
    <x v="20"/>
    <n v="1"/>
  </r>
  <r>
    <x v="0"/>
    <n v="1"/>
  </r>
  <r>
    <x v="8"/>
    <n v="1"/>
  </r>
  <r>
    <x v="26"/>
    <n v="1"/>
  </r>
  <r>
    <x v="0"/>
    <n v="1"/>
  </r>
  <r>
    <x v="26"/>
    <n v="1"/>
  </r>
  <r>
    <x v="20"/>
    <n v="1"/>
  </r>
  <r>
    <x v="24"/>
    <n v="1"/>
  </r>
  <r>
    <x v="10"/>
    <n v="1"/>
  </r>
  <r>
    <x v="0"/>
    <n v="1"/>
  </r>
  <r>
    <x v="5"/>
    <n v="1"/>
  </r>
  <r>
    <x v="0"/>
    <n v="1"/>
  </r>
  <r>
    <x v="0"/>
    <n v="1"/>
  </r>
  <r>
    <x v="24"/>
    <n v="1"/>
  </r>
  <r>
    <x v="4"/>
    <n v="1"/>
  </r>
  <r>
    <x v="5"/>
    <n v="1"/>
  </r>
  <r>
    <x v="20"/>
    <n v="1"/>
  </r>
  <r>
    <x v="15"/>
    <n v="1"/>
  </r>
  <r>
    <x v="12"/>
    <n v="1"/>
  </r>
  <r>
    <x v="10"/>
    <n v="1"/>
  </r>
  <r>
    <x v="24"/>
    <n v="1"/>
  </r>
  <r>
    <x v="0"/>
    <n v="1"/>
  </r>
  <r>
    <x v="22"/>
    <n v="1"/>
  </r>
  <r>
    <x v="20"/>
    <n v="1"/>
  </r>
  <r>
    <x v="21"/>
    <n v="1"/>
  </r>
  <r>
    <x v="0"/>
    <n v="1"/>
  </r>
  <r>
    <x v="27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  <n v="1"/>
  </r>
  <r>
    <x v="0"/>
    <n v="1"/>
  </r>
  <r>
    <x v="0"/>
    <n v="1"/>
  </r>
  <r>
    <x v="0"/>
    <n v="1"/>
  </r>
  <r>
    <x v="1"/>
    <n v="1"/>
  </r>
  <r>
    <x v="0"/>
    <n v="1"/>
  </r>
  <r>
    <x v="1"/>
    <n v="1"/>
  </r>
  <r>
    <x v="2"/>
    <n v="1"/>
  </r>
  <r>
    <x v="0"/>
    <n v="1"/>
  </r>
  <r>
    <x v="0"/>
    <n v="1"/>
  </r>
  <r>
    <x v="3"/>
    <n v="1"/>
  </r>
  <r>
    <x v="4"/>
    <n v="1"/>
  </r>
  <r>
    <x v="5"/>
    <n v="1"/>
  </r>
  <r>
    <x v="0"/>
    <n v="1"/>
  </r>
  <r>
    <x v="0"/>
    <n v="1"/>
  </r>
  <r>
    <x v="0"/>
    <n v="1"/>
  </r>
  <r>
    <x v="6"/>
    <n v="1"/>
  </r>
  <r>
    <x v="6"/>
    <n v="1"/>
  </r>
  <r>
    <x v="1"/>
    <n v="1"/>
  </r>
  <r>
    <x v="0"/>
    <n v="1"/>
  </r>
  <r>
    <x v="7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0"/>
    <n v="1"/>
  </r>
  <r>
    <x v="0"/>
    <n v="1"/>
  </r>
  <r>
    <x v="2"/>
    <n v="1"/>
  </r>
  <r>
    <x v="0"/>
    <n v="1"/>
  </r>
  <r>
    <x v="3"/>
    <n v="1"/>
  </r>
  <r>
    <x v="0"/>
    <n v="1"/>
  </r>
  <r>
    <x v="7"/>
    <n v="1"/>
  </r>
  <r>
    <x v="7"/>
    <n v="1"/>
  </r>
  <r>
    <x v="1"/>
    <n v="1"/>
  </r>
  <r>
    <x v="8"/>
    <n v="1"/>
  </r>
  <r>
    <x v="0"/>
    <n v="1"/>
  </r>
  <r>
    <x v="9"/>
    <n v="1"/>
  </r>
  <r>
    <x v="0"/>
    <n v="1"/>
  </r>
  <r>
    <x v="0"/>
    <n v="1"/>
  </r>
  <r>
    <x v="0"/>
    <n v="1"/>
  </r>
  <r>
    <x v="0"/>
    <n v="1"/>
  </r>
  <r>
    <x v="0"/>
    <n v="1"/>
  </r>
  <r>
    <x v="10"/>
    <n v="1"/>
  </r>
  <r>
    <x v="0"/>
    <n v="1"/>
  </r>
  <r>
    <x v="1"/>
    <n v="1"/>
  </r>
  <r>
    <x v="4"/>
    <n v="1"/>
  </r>
  <r>
    <x v="2"/>
    <n v="1"/>
  </r>
  <r>
    <x v="0"/>
    <n v="1"/>
  </r>
  <r>
    <x v="2"/>
    <n v="1"/>
  </r>
  <r>
    <x v="0"/>
    <n v="1"/>
  </r>
  <r>
    <x v="6"/>
    <n v="1"/>
  </r>
  <r>
    <x v="6"/>
    <n v="1"/>
  </r>
  <r>
    <x v="11"/>
    <n v="1"/>
  </r>
  <r>
    <x v="0"/>
    <n v="1"/>
  </r>
  <r>
    <x v="9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3"/>
    <n v="1"/>
  </r>
  <r>
    <x v="8"/>
    <n v="1"/>
  </r>
  <r>
    <x v="5"/>
    <n v="1"/>
  </r>
  <r>
    <x v="0"/>
    <n v="1"/>
  </r>
  <r>
    <x v="6"/>
    <n v="1"/>
  </r>
  <r>
    <x v="7"/>
    <n v="1"/>
  </r>
  <r>
    <x v="0"/>
    <n v="1"/>
  </r>
  <r>
    <x v="7"/>
    <n v="1"/>
  </r>
  <r>
    <x v="2"/>
    <n v="1"/>
  </r>
  <r>
    <x v="7"/>
    <n v="1"/>
  </r>
  <r>
    <x v="7"/>
    <n v="1"/>
  </r>
  <r>
    <x v="0"/>
    <n v="1"/>
  </r>
  <r>
    <x v="12"/>
    <n v="1"/>
  </r>
  <r>
    <x v="0"/>
    <n v="1"/>
  </r>
  <r>
    <x v="3"/>
    <n v="1"/>
  </r>
  <r>
    <x v="13"/>
    <n v="1"/>
  </r>
  <r>
    <x v="1"/>
    <n v="1"/>
  </r>
  <r>
    <x v="11"/>
    <n v="1"/>
  </r>
  <r>
    <x v="2"/>
    <n v="1"/>
  </r>
  <r>
    <x v="14"/>
    <n v="1"/>
  </r>
  <r>
    <x v="0"/>
    <n v="1"/>
  </r>
  <r>
    <x v="0"/>
    <n v="1"/>
  </r>
  <r>
    <x v="15"/>
    <n v="1"/>
  </r>
  <r>
    <x v="16"/>
    <n v="1"/>
  </r>
  <r>
    <x v="6"/>
    <n v="1"/>
  </r>
  <r>
    <x v="0"/>
    <n v="1"/>
  </r>
  <r>
    <x v="0"/>
    <n v="1"/>
  </r>
  <r>
    <x v="7"/>
    <n v="1"/>
  </r>
  <r>
    <x v="8"/>
    <n v="1"/>
  </r>
  <r>
    <x v="1"/>
    <n v="1"/>
  </r>
  <r>
    <x v="0"/>
    <n v="1"/>
  </r>
  <r>
    <x v="0"/>
    <n v="1"/>
  </r>
  <r>
    <x v="4"/>
    <n v="1"/>
  </r>
  <r>
    <x v="0"/>
    <n v="1"/>
  </r>
  <r>
    <x v="4"/>
    <n v="1"/>
  </r>
  <r>
    <x v="17"/>
    <n v="1"/>
  </r>
  <r>
    <x v="6"/>
    <n v="1"/>
  </r>
  <r>
    <x v="0"/>
    <n v="1"/>
  </r>
  <r>
    <x v="0"/>
    <n v="1"/>
  </r>
  <r>
    <x v="0"/>
    <n v="1"/>
  </r>
  <r>
    <x v="0"/>
    <n v="1"/>
  </r>
  <r>
    <x v="1"/>
    <n v="1"/>
  </r>
  <r>
    <x v="13"/>
    <n v="1"/>
  </r>
  <r>
    <x v="0"/>
    <n v="1"/>
  </r>
  <r>
    <x v="6"/>
    <n v="1"/>
  </r>
  <r>
    <x v="9"/>
    <n v="1"/>
  </r>
  <r>
    <x v="15"/>
    <n v="1"/>
  </r>
  <r>
    <x v="7"/>
    <n v="1"/>
  </r>
  <r>
    <x v="18"/>
    <n v="1"/>
  </r>
  <r>
    <x v="0"/>
    <n v="1"/>
  </r>
  <r>
    <x v="6"/>
    <n v="1"/>
  </r>
  <r>
    <x v="9"/>
    <n v="1"/>
  </r>
  <r>
    <x v="0"/>
    <n v="1"/>
  </r>
  <r>
    <x v="19"/>
    <n v="1"/>
  </r>
  <r>
    <x v="0"/>
    <n v="1"/>
  </r>
  <r>
    <x v="1"/>
    <n v="1"/>
  </r>
  <r>
    <x v="1"/>
    <n v="1"/>
  </r>
  <r>
    <x v="0"/>
    <n v="1"/>
  </r>
  <r>
    <x v="20"/>
    <n v="1"/>
  </r>
  <r>
    <x v="7"/>
    <n v="1"/>
  </r>
  <r>
    <x v="0"/>
    <n v="1"/>
  </r>
  <r>
    <x v="0"/>
    <n v="1"/>
  </r>
  <r>
    <x v="15"/>
    <n v="1"/>
  </r>
  <r>
    <x v="21"/>
    <n v="1"/>
  </r>
  <r>
    <x v="8"/>
    <n v="1"/>
  </r>
  <r>
    <x v="0"/>
    <n v="1"/>
  </r>
  <r>
    <x v="13"/>
    <n v="1"/>
  </r>
  <r>
    <x v="0"/>
    <n v="1"/>
  </r>
  <r>
    <x v="0"/>
    <n v="1"/>
  </r>
  <r>
    <x v="22"/>
    <n v="1"/>
  </r>
  <r>
    <x v="0"/>
    <n v="1"/>
  </r>
  <r>
    <x v="0"/>
    <n v="1"/>
  </r>
  <r>
    <x v="23"/>
    <n v="1"/>
  </r>
  <r>
    <x v="1"/>
    <n v="1"/>
  </r>
  <r>
    <x v="2"/>
    <n v="1"/>
  </r>
  <r>
    <x v="0"/>
    <n v="1"/>
  </r>
  <r>
    <x v="0"/>
    <n v="1"/>
  </r>
  <r>
    <x v="13"/>
    <n v="1"/>
  </r>
  <r>
    <x v="6"/>
    <n v="1"/>
  </r>
  <r>
    <x v="2"/>
    <n v="1"/>
  </r>
  <r>
    <x v="24"/>
    <n v="1"/>
  </r>
  <r>
    <x v="0"/>
    <n v="1"/>
  </r>
  <r>
    <x v="13"/>
    <n v="1"/>
  </r>
  <r>
    <x v="0"/>
    <n v="1"/>
  </r>
  <r>
    <x v="0"/>
    <n v="1"/>
  </r>
  <r>
    <x v="15"/>
    <n v="1"/>
  </r>
  <r>
    <x v="0"/>
    <n v="1"/>
  </r>
  <r>
    <x v="13"/>
    <n v="1"/>
  </r>
  <r>
    <x v="10"/>
    <n v="1"/>
  </r>
  <r>
    <x v="22"/>
    <n v="1"/>
  </r>
  <r>
    <x v="10"/>
    <n v="1"/>
  </r>
  <r>
    <x v="1"/>
    <n v="1"/>
  </r>
  <r>
    <x v="2"/>
    <n v="1"/>
  </r>
  <r>
    <x v="2"/>
    <n v="1"/>
  </r>
  <r>
    <x v="17"/>
    <n v="1"/>
  </r>
  <r>
    <x v="2"/>
    <n v="1"/>
  </r>
  <r>
    <x v="15"/>
    <n v="1"/>
  </r>
  <r>
    <x v="0"/>
    <n v="1"/>
  </r>
  <r>
    <x v="0"/>
    <n v="1"/>
  </r>
  <r>
    <x v="0"/>
    <n v="1"/>
  </r>
  <r>
    <x v="15"/>
    <n v="1"/>
  </r>
  <r>
    <x v="0"/>
    <n v="1"/>
  </r>
  <r>
    <x v="0"/>
    <n v="1"/>
  </r>
  <r>
    <x v="6"/>
    <n v="1"/>
  </r>
  <r>
    <x v="19"/>
    <n v="1"/>
  </r>
  <r>
    <x v="0"/>
    <n v="1"/>
  </r>
  <r>
    <x v="13"/>
    <n v="1"/>
  </r>
  <r>
    <x v="2"/>
    <n v="1"/>
  </r>
  <r>
    <x v="0"/>
    <n v="1"/>
  </r>
  <r>
    <x v="0"/>
    <n v="1"/>
  </r>
  <r>
    <x v="0"/>
    <n v="1"/>
  </r>
  <r>
    <x v="13"/>
    <n v="1"/>
  </r>
  <r>
    <x v="0"/>
    <n v="1"/>
  </r>
  <r>
    <x v="0"/>
    <n v="1"/>
  </r>
  <r>
    <x v="0"/>
    <n v="1"/>
  </r>
  <r>
    <x v="0"/>
    <n v="1"/>
  </r>
  <r>
    <x v="10"/>
    <n v="1"/>
  </r>
  <r>
    <x v="0"/>
    <n v="1"/>
  </r>
  <r>
    <x v="1"/>
    <n v="1"/>
  </r>
  <r>
    <x v="0"/>
    <n v="1"/>
  </r>
  <r>
    <x v="16"/>
    <n v="1"/>
  </r>
  <r>
    <x v="0"/>
    <n v="1"/>
  </r>
  <r>
    <x v="6"/>
    <n v="1"/>
  </r>
  <r>
    <x v="0"/>
    <n v="1"/>
  </r>
  <r>
    <x v="25"/>
    <n v="1"/>
  </r>
  <r>
    <x v="9"/>
    <n v="1"/>
  </r>
  <r>
    <x v="0"/>
    <n v="1"/>
  </r>
  <r>
    <x v="0"/>
    <n v="1"/>
  </r>
  <r>
    <x v="0"/>
    <n v="1"/>
  </r>
  <r>
    <x v="0"/>
    <n v="1"/>
  </r>
  <r>
    <x v="12"/>
    <n v="1"/>
  </r>
  <r>
    <x v="0"/>
    <n v="1"/>
  </r>
  <r>
    <x v="23"/>
    <n v="1"/>
  </r>
  <r>
    <x v="0"/>
    <n v="1"/>
  </r>
  <r>
    <x v="0"/>
    <n v="1"/>
  </r>
  <r>
    <x v="16"/>
    <n v="1"/>
  </r>
  <r>
    <x v="1"/>
    <n v="1"/>
  </r>
  <r>
    <x v="0"/>
    <n v="1"/>
  </r>
  <r>
    <x v="11"/>
    <n v="1"/>
  </r>
  <r>
    <x v="6"/>
    <n v="1"/>
  </r>
  <r>
    <x v="0"/>
    <n v="1"/>
  </r>
  <r>
    <x v="2"/>
    <n v="1"/>
  </r>
  <r>
    <x v="7"/>
    <n v="1"/>
  </r>
  <r>
    <x v="0"/>
    <n v="1"/>
  </r>
  <r>
    <x v="0"/>
    <n v="1"/>
  </r>
  <r>
    <x v="2"/>
    <n v="1"/>
  </r>
  <r>
    <x v="0"/>
    <n v="1"/>
  </r>
  <r>
    <x v="2"/>
    <n v="1"/>
  </r>
  <r>
    <x v="0"/>
    <n v="1"/>
  </r>
  <r>
    <x v="16"/>
    <n v="1"/>
  </r>
  <r>
    <x v="0"/>
    <n v="1"/>
  </r>
  <r>
    <x v="6"/>
    <n v="1"/>
  </r>
  <r>
    <x v="0"/>
    <n v="1"/>
  </r>
  <r>
    <x v="0"/>
    <n v="1"/>
  </r>
  <r>
    <x v="7"/>
    <n v="1"/>
  </r>
  <r>
    <x v="6"/>
    <n v="1"/>
  </r>
  <r>
    <x v="0"/>
    <n v="1"/>
  </r>
  <r>
    <x v="26"/>
    <n v="1"/>
  </r>
  <r>
    <x v="0"/>
    <n v="1"/>
  </r>
  <r>
    <x v="23"/>
    <n v="1"/>
  </r>
  <r>
    <x v="0"/>
    <n v="1"/>
  </r>
  <r>
    <x v="2"/>
    <n v="1"/>
  </r>
  <r>
    <x v="2"/>
    <n v="1"/>
  </r>
  <r>
    <x v="0"/>
    <n v="1"/>
  </r>
  <r>
    <x v="6"/>
    <n v="1"/>
  </r>
  <r>
    <x v="0"/>
    <n v="1"/>
  </r>
  <r>
    <x v="8"/>
    <n v="1"/>
  </r>
  <r>
    <x v="0"/>
    <n v="1"/>
  </r>
  <r>
    <x v="2"/>
    <n v="1"/>
  </r>
  <r>
    <x v="0"/>
    <n v="1"/>
  </r>
  <r>
    <x v="2"/>
    <n v="1"/>
  </r>
  <r>
    <x v="0"/>
    <n v="1"/>
  </r>
  <r>
    <x v="1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27"/>
    <n v="1"/>
  </r>
  <r>
    <x v="6"/>
    <n v="1"/>
  </r>
  <r>
    <x v="1"/>
    <n v="1"/>
  </r>
  <r>
    <x v="0"/>
    <n v="1"/>
  </r>
  <r>
    <x v="21"/>
    <n v="1"/>
  </r>
  <r>
    <x v="0"/>
    <n v="1"/>
  </r>
  <r>
    <x v="1"/>
    <n v="1"/>
  </r>
  <r>
    <x v="2"/>
    <n v="1"/>
  </r>
  <r>
    <x v="27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28"/>
    <n v="1"/>
  </r>
  <r>
    <x v="26"/>
    <n v="1"/>
  </r>
  <r>
    <x v="0"/>
    <n v="1"/>
  </r>
  <r>
    <x v="0"/>
    <n v="1"/>
  </r>
  <r>
    <x v="8"/>
    <n v="1"/>
  </r>
  <r>
    <x v="4"/>
    <n v="1"/>
  </r>
  <r>
    <x v="0"/>
    <n v="1"/>
  </r>
  <r>
    <x v="2"/>
    <n v="1"/>
  </r>
  <r>
    <x v="0"/>
    <n v="1"/>
  </r>
  <r>
    <x v="23"/>
    <n v="1"/>
  </r>
  <r>
    <x v="0"/>
    <n v="1"/>
  </r>
  <r>
    <x v="0"/>
    <n v="1"/>
  </r>
  <r>
    <x v="0"/>
    <n v="1"/>
  </r>
  <r>
    <x v="13"/>
    <n v="1"/>
  </r>
  <r>
    <x v="27"/>
    <n v="1"/>
  </r>
  <r>
    <x v="13"/>
    <n v="1"/>
  </r>
  <r>
    <x v="10"/>
    <n v="1"/>
  </r>
  <r>
    <x v="0"/>
    <n v="1"/>
  </r>
  <r>
    <x v="2"/>
    <n v="1"/>
  </r>
  <r>
    <x v="6"/>
    <n v="1"/>
  </r>
  <r>
    <x v="0"/>
    <n v="1"/>
  </r>
  <r>
    <x v="0"/>
    <n v="1"/>
  </r>
  <r>
    <x v="2"/>
    <n v="1"/>
  </r>
  <r>
    <x v="14"/>
    <n v="1"/>
  </r>
  <r>
    <x v="0"/>
    <n v="1"/>
  </r>
  <r>
    <x v="0"/>
    <n v="1"/>
  </r>
  <r>
    <x v="2"/>
    <n v="1"/>
  </r>
  <r>
    <x v="4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2"/>
    <n v="1"/>
  </r>
  <r>
    <x v="16"/>
    <n v="1"/>
  </r>
  <r>
    <x v="2"/>
    <n v="1"/>
  </r>
  <r>
    <x v="0"/>
    <n v="1"/>
  </r>
  <r>
    <x v="0"/>
    <n v="1"/>
  </r>
  <r>
    <x v="0"/>
    <n v="1"/>
  </r>
  <r>
    <x v="0"/>
    <n v="1"/>
  </r>
  <r>
    <x v="6"/>
    <n v="1"/>
  </r>
  <r>
    <x v="0"/>
    <n v="1"/>
  </r>
  <r>
    <x v="0"/>
    <n v="1"/>
  </r>
  <r>
    <x v="27"/>
    <n v="1"/>
  </r>
  <r>
    <x v="0"/>
    <n v="1"/>
  </r>
  <r>
    <x v="0"/>
    <n v="1"/>
  </r>
  <r>
    <x v="0"/>
    <n v="1"/>
  </r>
  <r>
    <x v="0"/>
    <n v="1"/>
  </r>
  <r>
    <x v="1"/>
    <n v="1"/>
  </r>
  <r>
    <x v="2"/>
    <n v="1"/>
  </r>
  <r>
    <x v="13"/>
    <n v="1"/>
  </r>
  <r>
    <x v="2"/>
    <n v="1"/>
  </r>
  <r>
    <x v="29"/>
    <n v="1"/>
  </r>
  <r>
    <x v="0"/>
    <n v="1"/>
  </r>
  <r>
    <x v="2"/>
    <n v="1"/>
  </r>
  <r>
    <x v="7"/>
    <n v="1"/>
  </r>
  <r>
    <x v="7"/>
    <n v="1"/>
  </r>
  <r>
    <x v="6"/>
    <n v="1"/>
  </r>
  <r>
    <x v="30"/>
    <n v="1"/>
  </r>
  <r>
    <x v="13"/>
    <n v="1"/>
  </r>
  <r>
    <x v="3"/>
    <n v="1"/>
  </r>
  <r>
    <x v="21"/>
    <n v="1"/>
  </r>
  <r>
    <x v="13"/>
    <n v="1"/>
  </r>
  <r>
    <x v="6"/>
    <n v="1"/>
  </r>
  <r>
    <x v="23"/>
    <n v="1"/>
  </r>
  <r>
    <x v="6"/>
    <n v="1"/>
  </r>
  <r>
    <x v="24"/>
    <n v="1"/>
  </r>
  <r>
    <x v="12"/>
    <n v="1"/>
  </r>
  <r>
    <x v="0"/>
    <n v="1"/>
  </r>
  <r>
    <x v="2"/>
    <n v="1"/>
  </r>
  <r>
    <x v="0"/>
    <n v="1"/>
  </r>
  <r>
    <x v="1"/>
    <n v="1"/>
  </r>
  <r>
    <x v="2"/>
    <n v="1"/>
  </r>
  <r>
    <x v="0"/>
    <n v="1"/>
  </r>
  <r>
    <x v="0"/>
    <n v="1"/>
  </r>
  <r>
    <x v="0"/>
    <n v="1"/>
  </r>
  <r>
    <x v="14"/>
    <n v="1"/>
  </r>
  <r>
    <x v="0"/>
    <n v="1"/>
  </r>
  <r>
    <x v="0"/>
    <n v="1"/>
  </r>
  <r>
    <x v="0"/>
    <n v="1"/>
  </r>
  <r>
    <x v="0"/>
    <n v="1"/>
  </r>
  <r>
    <x v="1"/>
    <n v="1"/>
  </r>
  <r>
    <x v="13"/>
    <n v="1"/>
  </r>
  <r>
    <x v="0"/>
    <n v="1"/>
  </r>
  <r>
    <x v="1"/>
    <n v="1"/>
  </r>
  <r>
    <x v="2"/>
    <n v="1"/>
  </r>
  <r>
    <x v="0"/>
    <n v="1"/>
  </r>
  <r>
    <x v="0"/>
    <n v="1"/>
  </r>
  <r>
    <x v="1"/>
    <n v="1"/>
  </r>
  <r>
    <x v="0"/>
    <n v="1"/>
  </r>
  <r>
    <x v="7"/>
    <n v="1"/>
  </r>
  <r>
    <x v="26"/>
    <n v="1"/>
  </r>
  <r>
    <x v="1"/>
    <n v="1"/>
  </r>
  <r>
    <x v="0"/>
    <n v="1"/>
  </r>
  <r>
    <x v="1"/>
    <n v="1"/>
  </r>
  <r>
    <x v="0"/>
    <n v="1"/>
  </r>
  <r>
    <x v="0"/>
    <n v="1"/>
  </r>
  <r>
    <x v="0"/>
    <n v="1"/>
  </r>
  <r>
    <x v="19"/>
    <n v="1"/>
  </r>
  <r>
    <x v="31"/>
    <n v="1"/>
  </r>
  <r>
    <x v="29"/>
    <n v="1"/>
  </r>
  <r>
    <x v="23"/>
    <n v="1"/>
  </r>
  <r>
    <x v="6"/>
    <n v="1"/>
  </r>
  <r>
    <x v="32"/>
    <n v="1"/>
  </r>
  <r>
    <x v="7"/>
    <n v="1"/>
  </r>
  <r>
    <x v="30"/>
    <n v="1"/>
  </r>
  <r>
    <x v="7"/>
    <n v="1"/>
  </r>
  <r>
    <x v="1"/>
    <n v="1"/>
  </r>
  <r>
    <x v="3"/>
    <n v="1"/>
  </r>
  <r>
    <x v="2"/>
    <n v="1"/>
  </r>
  <r>
    <x v="12"/>
    <n v="1"/>
  </r>
  <r>
    <x v="0"/>
    <n v="1"/>
  </r>
  <r>
    <x v="3"/>
    <n v="1"/>
  </r>
  <r>
    <x v="0"/>
    <n v="1"/>
  </r>
  <r>
    <x v="6"/>
    <n v="1"/>
  </r>
  <r>
    <x v="33"/>
    <n v="1"/>
  </r>
  <r>
    <x v="0"/>
    <n v="1"/>
  </r>
  <r>
    <x v="31"/>
    <n v="1"/>
  </r>
  <r>
    <x v="12"/>
    <n v="1"/>
  </r>
  <r>
    <x v="9"/>
    <n v="1"/>
  </r>
  <r>
    <x v="13"/>
    <n v="1"/>
  </r>
  <r>
    <x v="16"/>
    <n v="1"/>
  </r>
  <r>
    <x v="8"/>
    <n v="1"/>
  </r>
  <r>
    <x v="24"/>
    <n v="1"/>
  </r>
  <r>
    <x v="2"/>
    <n v="1"/>
  </r>
  <r>
    <x v="6"/>
    <n v="1"/>
  </r>
  <r>
    <x v="7"/>
    <n v="1"/>
  </r>
  <r>
    <x v="0"/>
    <n v="1"/>
  </r>
  <r>
    <x v="2"/>
    <n v="1"/>
  </r>
  <r>
    <x v="2"/>
    <n v="1"/>
  </r>
  <r>
    <x v="10"/>
    <n v="1"/>
  </r>
  <r>
    <x v="2"/>
    <n v="1"/>
  </r>
  <r>
    <x v="0"/>
    <n v="1"/>
  </r>
  <r>
    <x v="0"/>
    <n v="1"/>
  </r>
  <r>
    <x v="6"/>
    <n v="1"/>
  </r>
  <r>
    <x v="4"/>
    <n v="1"/>
  </r>
  <r>
    <x v="2"/>
    <n v="1"/>
  </r>
  <r>
    <x v="7"/>
    <n v="1"/>
  </r>
  <r>
    <x v="2"/>
    <n v="1"/>
  </r>
  <r>
    <x v="2"/>
    <n v="1"/>
  </r>
  <r>
    <x v="29"/>
    <n v="1"/>
  </r>
  <r>
    <x v="1"/>
    <n v="1"/>
  </r>
  <r>
    <x v="1"/>
    <n v="1"/>
  </r>
  <r>
    <x v="2"/>
    <n v="1"/>
  </r>
  <r>
    <x v="0"/>
    <n v="1"/>
  </r>
  <r>
    <x v="3"/>
    <n v="1"/>
  </r>
  <r>
    <x v="1"/>
    <n v="1"/>
  </r>
  <r>
    <x v="0"/>
    <n v="1"/>
  </r>
  <r>
    <x v="0"/>
    <n v="1"/>
  </r>
  <r>
    <x v="9"/>
    <n v="1"/>
  </r>
  <r>
    <x v="14"/>
    <n v="1"/>
  </r>
  <r>
    <x v="1"/>
    <n v="1"/>
  </r>
  <r>
    <x v="8"/>
    <n v="1"/>
  </r>
  <r>
    <x v="0"/>
    <n v="1"/>
  </r>
  <r>
    <x v="7"/>
    <n v="1"/>
  </r>
  <r>
    <x v="2"/>
    <n v="1"/>
  </r>
  <r>
    <x v="0"/>
    <n v="1"/>
  </r>
  <r>
    <x v="31"/>
    <n v="1"/>
  </r>
  <r>
    <x v="17"/>
    <n v="1"/>
  </r>
  <r>
    <x v="0"/>
    <n v="1"/>
  </r>
  <r>
    <x v="0"/>
    <n v="1"/>
  </r>
  <r>
    <x v="0"/>
    <n v="1"/>
  </r>
  <r>
    <x v="22"/>
    <n v="1"/>
  </r>
  <r>
    <x v="2"/>
    <n v="1"/>
  </r>
  <r>
    <x v="0"/>
    <n v="1"/>
  </r>
  <r>
    <x v="3"/>
    <n v="1"/>
  </r>
  <r>
    <x v="0"/>
    <n v="1"/>
  </r>
  <r>
    <x v="6"/>
    <n v="1"/>
  </r>
  <r>
    <x v="0"/>
    <n v="1"/>
  </r>
  <r>
    <x v="11"/>
    <n v="1"/>
  </r>
  <r>
    <x v="0"/>
    <n v="1"/>
  </r>
  <r>
    <x v="7"/>
    <n v="1"/>
  </r>
  <r>
    <x v="13"/>
    <n v="1"/>
  </r>
  <r>
    <x v="0"/>
    <n v="1"/>
  </r>
  <r>
    <x v="23"/>
    <n v="1"/>
  </r>
  <r>
    <x v="6"/>
    <n v="1"/>
  </r>
  <r>
    <x v="0"/>
    <n v="1"/>
  </r>
  <r>
    <x v="0"/>
    <n v="1"/>
  </r>
  <r>
    <x v="3"/>
    <n v="1"/>
  </r>
  <r>
    <x v="30"/>
    <n v="1"/>
  </r>
  <r>
    <x v="2"/>
    <n v="1"/>
  </r>
  <r>
    <x v="0"/>
    <n v="1"/>
  </r>
  <r>
    <x v="34"/>
    <n v="1"/>
  </r>
  <r>
    <x v="0"/>
    <n v="1"/>
  </r>
  <r>
    <x v="2"/>
    <n v="1"/>
  </r>
  <r>
    <x v="0"/>
    <n v="1"/>
  </r>
  <r>
    <x v="1"/>
    <n v="1"/>
  </r>
  <r>
    <x v="1"/>
    <n v="1"/>
  </r>
  <r>
    <x v="0"/>
    <n v="1"/>
  </r>
  <r>
    <x v="34"/>
    <n v="1"/>
  </r>
  <r>
    <x v="2"/>
    <n v="1"/>
  </r>
  <r>
    <x v="26"/>
    <n v="1"/>
  </r>
  <r>
    <x v="2"/>
    <n v="1"/>
  </r>
  <r>
    <x v="0"/>
    <n v="1"/>
  </r>
  <r>
    <x v="21"/>
    <n v="1"/>
  </r>
  <r>
    <x v="1"/>
    <n v="1"/>
  </r>
  <r>
    <x v="0"/>
    <n v="1"/>
  </r>
  <r>
    <x v="0"/>
    <n v="1"/>
  </r>
  <r>
    <x v="1"/>
    <n v="1"/>
  </r>
  <r>
    <x v="6"/>
    <n v="1"/>
  </r>
  <r>
    <x v="4"/>
    <n v="1"/>
  </r>
  <r>
    <x v="35"/>
    <n v="1"/>
  </r>
  <r>
    <x v="3"/>
    <n v="1"/>
  </r>
  <r>
    <x v="9"/>
    <n v="1"/>
  </r>
  <r>
    <x v="2"/>
    <n v="1"/>
  </r>
  <r>
    <x v="0"/>
    <n v="1"/>
  </r>
  <r>
    <x v="0"/>
    <n v="1"/>
  </r>
  <r>
    <x v="0"/>
    <n v="1"/>
  </r>
  <r>
    <x v="13"/>
    <n v="1"/>
  </r>
  <r>
    <x v="0"/>
    <n v="1"/>
  </r>
  <r>
    <x v="1"/>
    <n v="1"/>
  </r>
  <r>
    <x v="0"/>
    <n v="1"/>
  </r>
  <r>
    <x v="0"/>
    <n v="1"/>
  </r>
  <r>
    <x v="9"/>
    <n v="1"/>
  </r>
  <r>
    <x v="0"/>
    <n v="1"/>
  </r>
  <r>
    <x v="10"/>
    <n v="1"/>
  </r>
  <r>
    <x v="0"/>
    <n v="1"/>
  </r>
  <r>
    <x v="0"/>
    <n v="1"/>
  </r>
  <r>
    <x v="16"/>
    <n v="1"/>
  </r>
  <r>
    <x v="0"/>
    <n v="1"/>
  </r>
  <r>
    <x v="17"/>
    <n v="1"/>
  </r>
  <r>
    <x v="2"/>
    <n v="1"/>
  </r>
  <r>
    <x v="4"/>
    <n v="1"/>
  </r>
  <r>
    <x v="34"/>
    <n v="1"/>
  </r>
  <r>
    <x v="2"/>
    <n v="1"/>
  </r>
  <r>
    <x v="30"/>
    <n v="1"/>
  </r>
  <r>
    <x v="0"/>
    <n v="1"/>
  </r>
  <r>
    <x v="2"/>
    <n v="1"/>
  </r>
  <r>
    <x v="0"/>
    <n v="1"/>
  </r>
  <r>
    <x v="21"/>
    <n v="1"/>
  </r>
  <r>
    <x v="2"/>
    <n v="1"/>
  </r>
  <r>
    <x v="2"/>
    <n v="1"/>
  </r>
  <r>
    <x v="2"/>
    <n v="1"/>
  </r>
  <r>
    <x v="0"/>
    <n v="1"/>
  </r>
  <r>
    <x v="1"/>
    <n v="1"/>
  </r>
  <r>
    <x v="1"/>
    <n v="1"/>
  </r>
  <r>
    <x v="0"/>
    <n v="1"/>
  </r>
  <r>
    <x v="21"/>
    <n v="1"/>
  </r>
  <r>
    <x v="13"/>
    <n v="1"/>
  </r>
  <r>
    <x v="2"/>
    <n v="1"/>
  </r>
  <r>
    <x v="7"/>
    <n v="1"/>
  </r>
  <r>
    <x v="0"/>
    <n v="1"/>
  </r>
  <r>
    <x v="0"/>
    <n v="1"/>
  </r>
  <r>
    <x v="0"/>
    <n v="1"/>
  </r>
  <r>
    <x v="2"/>
    <n v="1"/>
  </r>
  <r>
    <x v="8"/>
    <n v="1"/>
  </r>
  <r>
    <x v="0"/>
    <n v="1"/>
  </r>
  <r>
    <x v="0"/>
    <n v="1"/>
  </r>
  <r>
    <x v="13"/>
    <n v="1"/>
  </r>
  <r>
    <x v="33"/>
    <n v="1"/>
  </r>
  <r>
    <x v="13"/>
    <n v="1"/>
  </r>
  <r>
    <x v="7"/>
    <n v="1"/>
  </r>
  <r>
    <x v="0"/>
    <n v="1"/>
  </r>
  <r>
    <x v="1"/>
    <n v="1"/>
  </r>
  <r>
    <x v="0"/>
    <n v="1"/>
  </r>
  <r>
    <x v="36"/>
    <n v="1"/>
  </r>
  <r>
    <x v="1"/>
    <n v="1"/>
  </r>
  <r>
    <x v="15"/>
    <n v="1"/>
  </r>
  <r>
    <x v="7"/>
    <n v="1"/>
  </r>
  <r>
    <x v="0"/>
    <n v="1"/>
  </r>
  <r>
    <x v="0"/>
    <n v="1"/>
  </r>
  <r>
    <x v="0"/>
    <n v="1"/>
  </r>
  <r>
    <x v="31"/>
    <n v="1"/>
  </r>
  <r>
    <x v="8"/>
    <n v="1"/>
  </r>
  <r>
    <x v="2"/>
    <n v="1"/>
  </r>
  <r>
    <x v="0"/>
    <n v="1"/>
  </r>
  <r>
    <x v="0"/>
    <n v="1"/>
  </r>
  <r>
    <x v="24"/>
    <n v="1"/>
  </r>
  <r>
    <x v="2"/>
    <n v="1"/>
  </r>
  <r>
    <x v="4"/>
    <n v="1"/>
  </r>
  <r>
    <x v="9"/>
    <n v="1"/>
  </r>
  <r>
    <x v="0"/>
    <n v="1"/>
  </r>
  <r>
    <x v="2"/>
    <n v="1"/>
  </r>
  <r>
    <x v="9"/>
    <n v="1"/>
  </r>
  <r>
    <x v="2"/>
    <n v="1"/>
  </r>
  <r>
    <x v="0"/>
    <n v="1"/>
  </r>
  <r>
    <x v="0"/>
    <n v="1"/>
  </r>
  <r>
    <x v="2"/>
    <n v="1"/>
  </r>
  <r>
    <x v="2"/>
    <n v="1"/>
  </r>
  <r>
    <x v="0"/>
    <n v="1"/>
  </r>
  <r>
    <x v="3"/>
    <n v="1"/>
  </r>
  <r>
    <x v="0"/>
    <n v="1"/>
  </r>
  <r>
    <x v="13"/>
    <n v="1"/>
  </r>
  <r>
    <x v="4"/>
    <n v="1"/>
  </r>
  <r>
    <x v="2"/>
    <n v="1"/>
  </r>
  <r>
    <x v="23"/>
    <n v="1"/>
  </r>
  <r>
    <x v="19"/>
    <n v="1"/>
  </r>
  <r>
    <x v="1"/>
    <n v="1"/>
  </r>
  <r>
    <x v="3"/>
    <n v="1"/>
  </r>
  <r>
    <x v="0"/>
    <n v="1"/>
  </r>
  <r>
    <x v="0"/>
    <n v="1"/>
  </r>
  <r>
    <x v="2"/>
    <n v="1"/>
  </r>
  <r>
    <x v="8"/>
    <n v="1"/>
  </r>
  <r>
    <x v="7"/>
    <n v="1"/>
  </r>
  <r>
    <x v="29"/>
    <n v="1"/>
  </r>
  <r>
    <x v="0"/>
    <n v="1"/>
  </r>
  <r>
    <x v="0"/>
    <n v="1"/>
  </r>
  <r>
    <x v="0"/>
    <n v="1"/>
  </r>
  <r>
    <x v="22"/>
    <n v="1"/>
  </r>
  <r>
    <x v="6"/>
    <n v="1"/>
  </r>
  <r>
    <x v="7"/>
    <n v="1"/>
  </r>
  <r>
    <x v="6"/>
    <n v="1"/>
  </r>
  <r>
    <x v="2"/>
    <n v="1"/>
  </r>
  <r>
    <x v="2"/>
    <n v="1"/>
  </r>
  <r>
    <x v="1"/>
    <n v="1"/>
  </r>
  <r>
    <x v="12"/>
    <n v="1"/>
  </r>
  <r>
    <x v="37"/>
    <n v="1"/>
  </r>
  <r>
    <x v="13"/>
    <n v="1"/>
  </r>
  <r>
    <x v="0"/>
    <n v="1"/>
  </r>
  <r>
    <x v="0"/>
    <n v="1"/>
  </r>
  <r>
    <x v="2"/>
    <n v="1"/>
  </r>
  <r>
    <x v="2"/>
    <n v="1"/>
  </r>
  <r>
    <x v="7"/>
    <n v="1"/>
  </r>
  <r>
    <x v="18"/>
    <n v="1"/>
  </r>
  <r>
    <x v="29"/>
    <n v="1"/>
  </r>
  <r>
    <x v="0"/>
    <n v="1"/>
  </r>
  <r>
    <x v="0"/>
    <n v="1"/>
  </r>
  <r>
    <x v="4"/>
    <n v="1"/>
  </r>
  <r>
    <x v="38"/>
    <n v="1"/>
  </r>
  <r>
    <x v="0"/>
    <n v="1"/>
  </r>
  <r>
    <x v="15"/>
    <n v="1"/>
  </r>
  <r>
    <x v="1"/>
    <n v="1"/>
  </r>
  <r>
    <x v="2"/>
    <n v="1"/>
  </r>
  <r>
    <x v="1"/>
    <n v="1"/>
  </r>
  <r>
    <x v="7"/>
    <n v="1"/>
  </r>
  <r>
    <x v="0"/>
    <n v="1"/>
  </r>
  <r>
    <x v="2"/>
    <n v="1"/>
  </r>
  <r>
    <x v="16"/>
    <n v="1"/>
  </r>
  <r>
    <x v="2"/>
    <n v="1"/>
  </r>
  <r>
    <x v="29"/>
    <n v="1"/>
  </r>
  <r>
    <x v="0"/>
    <n v="1"/>
  </r>
  <r>
    <x v="36"/>
    <n v="1"/>
  </r>
  <r>
    <x v="11"/>
    <n v="1"/>
  </r>
  <r>
    <x v="3"/>
    <n v="1"/>
  </r>
  <r>
    <x v="15"/>
    <n v="1"/>
  </r>
  <r>
    <x v="39"/>
    <n v="1"/>
  </r>
  <r>
    <x v="17"/>
    <n v="1"/>
  </r>
  <r>
    <x v="11"/>
    <n v="1"/>
  </r>
  <r>
    <x v="8"/>
    <n v="1"/>
  </r>
  <r>
    <x v="0"/>
    <n v="1"/>
  </r>
  <r>
    <x v="2"/>
    <n v="1"/>
  </r>
  <r>
    <x v="23"/>
    <n v="1"/>
  </r>
  <r>
    <x v="0"/>
    <n v="1"/>
  </r>
  <r>
    <x v="0"/>
    <n v="1"/>
  </r>
  <r>
    <x v="1"/>
    <n v="1"/>
  </r>
  <r>
    <x v="1"/>
    <n v="1"/>
  </r>
  <r>
    <x v="9"/>
    <n v="1"/>
  </r>
  <r>
    <x v="2"/>
    <n v="1"/>
  </r>
  <r>
    <x v="8"/>
    <n v="1"/>
  </r>
  <r>
    <x v="0"/>
    <n v="1"/>
  </r>
  <r>
    <x v="0"/>
    <n v="1"/>
  </r>
  <r>
    <x v="0"/>
    <n v="1"/>
  </r>
  <r>
    <x v="23"/>
    <n v="1"/>
  </r>
  <r>
    <x v="11"/>
    <n v="1"/>
  </r>
  <r>
    <x v="0"/>
    <n v="1"/>
  </r>
  <r>
    <x v="6"/>
    <n v="1"/>
  </r>
  <r>
    <x v="2"/>
    <n v="1"/>
  </r>
  <r>
    <x v="0"/>
    <n v="1"/>
  </r>
  <r>
    <x v="38"/>
    <n v="1"/>
  </r>
  <r>
    <x v="1"/>
    <n v="1"/>
  </r>
  <r>
    <x v="12"/>
    <n v="1"/>
  </r>
  <r>
    <x v="2"/>
    <n v="1"/>
  </r>
  <r>
    <x v="0"/>
    <n v="1"/>
  </r>
  <r>
    <x v="0"/>
    <n v="1"/>
  </r>
  <r>
    <x v="1"/>
    <n v="1"/>
  </r>
  <r>
    <x v="0"/>
    <n v="1"/>
  </r>
  <r>
    <x v="30"/>
    <n v="1"/>
  </r>
  <r>
    <x v="6"/>
    <n v="1"/>
  </r>
  <r>
    <x v="29"/>
    <n v="1"/>
  </r>
  <r>
    <x v="4"/>
    <n v="1"/>
  </r>
  <r>
    <x v="1"/>
    <n v="1"/>
  </r>
  <r>
    <x v="10"/>
    <n v="1"/>
  </r>
  <r>
    <x v="1"/>
    <n v="1"/>
  </r>
  <r>
    <x v="7"/>
    <n v="1"/>
  </r>
  <r>
    <x v="2"/>
    <n v="1"/>
  </r>
  <r>
    <x v="2"/>
    <n v="1"/>
  </r>
  <r>
    <x v="2"/>
    <n v="1"/>
  </r>
  <r>
    <x v="0"/>
    <n v="1"/>
  </r>
  <r>
    <x v="0"/>
    <n v="1"/>
  </r>
  <r>
    <x v="0"/>
    <n v="1"/>
  </r>
  <r>
    <x v="13"/>
    <n v="1"/>
  </r>
  <r>
    <x v="11"/>
    <n v="1"/>
  </r>
  <r>
    <x v="2"/>
    <n v="1"/>
  </r>
  <r>
    <x v="7"/>
    <n v="1"/>
  </r>
  <r>
    <x v="7"/>
    <n v="1"/>
  </r>
  <r>
    <x v="0"/>
    <n v="1"/>
  </r>
  <r>
    <x v="0"/>
    <n v="1"/>
  </r>
  <r>
    <x v="0"/>
    <n v="1"/>
  </r>
  <r>
    <x v="1"/>
    <n v="1"/>
  </r>
  <r>
    <x v="2"/>
    <n v="1"/>
  </r>
  <r>
    <x v="0"/>
    <n v="1"/>
  </r>
  <r>
    <x v="0"/>
    <n v="1"/>
  </r>
  <r>
    <x v="0"/>
    <n v="1"/>
  </r>
  <r>
    <x v="1"/>
    <n v="1"/>
  </r>
  <r>
    <x v="2"/>
    <n v="1"/>
  </r>
  <r>
    <x v="29"/>
    <n v="1"/>
  </r>
  <r>
    <x v="10"/>
    <n v="1"/>
  </r>
  <r>
    <x v="0"/>
    <n v="1"/>
  </r>
  <r>
    <x v="38"/>
    <n v="1"/>
  </r>
  <r>
    <x v="8"/>
    <n v="1"/>
  </r>
  <r>
    <x v="2"/>
    <n v="1"/>
  </r>
  <r>
    <x v="0"/>
    <n v="1"/>
  </r>
  <r>
    <x v="0"/>
    <n v="1"/>
  </r>
  <r>
    <x v="2"/>
    <n v="1"/>
  </r>
  <r>
    <x v="1"/>
    <n v="1"/>
  </r>
  <r>
    <x v="23"/>
    <n v="1"/>
  </r>
  <r>
    <x v="37"/>
    <n v="1"/>
  </r>
  <r>
    <x v="0"/>
    <n v="1"/>
  </r>
  <r>
    <x v="40"/>
    <n v="1"/>
  </r>
  <r>
    <x v="15"/>
    <n v="1"/>
  </r>
  <r>
    <x v="2"/>
    <n v="1"/>
  </r>
  <r>
    <x v="8"/>
    <n v="1"/>
  </r>
  <r>
    <x v="0"/>
    <n v="1"/>
  </r>
  <r>
    <x v="2"/>
    <n v="1"/>
  </r>
  <r>
    <x v="23"/>
    <n v="1"/>
  </r>
  <r>
    <x v="41"/>
    <n v="1"/>
  </r>
  <r>
    <x v="0"/>
    <n v="1"/>
  </r>
  <r>
    <x v="0"/>
    <n v="1"/>
  </r>
  <r>
    <x v="0"/>
    <n v="1"/>
  </r>
  <r>
    <x v="10"/>
    <n v="1"/>
  </r>
  <r>
    <x v="12"/>
    <n v="1"/>
  </r>
  <r>
    <x v="23"/>
    <n v="1"/>
  </r>
  <r>
    <x v="15"/>
    <n v="1"/>
  </r>
  <r>
    <x v="0"/>
    <n v="1"/>
  </r>
  <r>
    <x v="7"/>
    <n v="1"/>
  </r>
  <r>
    <x v="8"/>
    <n v="1"/>
  </r>
  <r>
    <x v="13"/>
    <n v="1"/>
  </r>
  <r>
    <x v="1"/>
    <n v="1"/>
  </r>
  <r>
    <x v="42"/>
    <n v="1"/>
  </r>
  <r>
    <x v="7"/>
    <n v="1"/>
  </r>
  <r>
    <x v="0"/>
    <n v="1"/>
  </r>
  <r>
    <x v="0"/>
    <n v="1"/>
  </r>
  <r>
    <x v="2"/>
    <n v="1"/>
  </r>
  <r>
    <x v="6"/>
    <n v="1"/>
  </r>
  <r>
    <x v="0"/>
    <n v="1"/>
  </r>
  <r>
    <x v="0"/>
    <n v="1"/>
  </r>
  <r>
    <x v="10"/>
    <n v="1"/>
  </r>
  <r>
    <x v="0"/>
    <n v="1"/>
  </r>
  <r>
    <x v="2"/>
    <n v="1"/>
  </r>
  <r>
    <x v="0"/>
    <n v="1"/>
  </r>
  <r>
    <x v="3"/>
    <n v="1"/>
  </r>
  <r>
    <x v="6"/>
    <n v="1"/>
  </r>
  <r>
    <x v="0"/>
    <n v="1"/>
  </r>
  <r>
    <x v="0"/>
    <n v="1"/>
  </r>
  <r>
    <x v="0"/>
    <n v="1"/>
  </r>
  <r>
    <x v="11"/>
    <n v="1"/>
  </r>
  <r>
    <x v="0"/>
    <n v="1"/>
  </r>
  <r>
    <x v="6"/>
    <n v="1"/>
  </r>
  <r>
    <x v="0"/>
    <n v="1"/>
  </r>
  <r>
    <x v="0"/>
    <n v="1"/>
  </r>
  <r>
    <x v="2"/>
    <n v="1"/>
  </r>
  <r>
    <x v="4"/>
    <n v="1"/>
  </r>
  <r>
    <x v="3"/>
    <n v="1"/>
  </r>
  <r>
    <x v="2"/>
    <n v="1"/>
  </r>
  <r>
    <x v="0"/>
    <n v="1"/>
  </r>
  <r>
    <x v="0"/>
    <n v="1"/>
  </r>
  <r>
    <x v="1"/>
    <n v="1"/>
  </r>
  <r>
    <x v="0"/>
    <n v="1"/>
  </r>
  <r>
    <x v="1"/>
    <n v="1"/>
  </r>
  <r>
    <x v="2"/>
    <n v="1"/>
  </r>
  <r>
    <x v="32"/>
    <n v="1"/>
  </r>
  <r>
    <x v="0"/>
    <n v="1"/>
  </r>
  <r>
    <x v="23"/>
    <n v="1"/>
  </r>
  <r>
    <x v="1"/>
    <n v="1"/>
  </r>
  <r>
    <x v="12"/>
    <n v="1"/>
  </r>
  <r>
    <x v="2"/>
    <n v="1"/>
  </r>
  <r>
    <x v="21"/>
    <n v="1"/>
  </r>
  <r>
    <x v="0"/>
    <n v="1"/>
  </r>
  <r>
    <x v="2"/>
    <n v="1"/>
  </r>
  <r>
    <x v="6"/>
    <n v="1"/>
  </r>
  <r>
    <x v="0"/>
    <n v="1"/>
  </r>
  <r>
    <x v="0"/>
    <n v="1"/>
  </r>
  <r>
    <x v="0"/>
    <n v="1"/>
  </r>
  <r>
    <x v="15"/>
    <n v="1"/>
  </r>
  <r>
    <x v="2"/>
    <n v="1"/>
  </r>
  <r>
    <x v="9"/>
    <n v="1"/>
  </r>
  <r>
    <x v="2"/>
    <n v="1"/>
  </r>
  <r>
    <x v="1"/>
    <n v="1"/>
  </r>
  <r>
    <x v="1"/>
    <n v="1"/>
  </r>
  <r>
    <x v="29"/>
    <n v="1"/>
  </r>
  <r>
    <x v="2"/>
    <n v="1"/>
  </r>
  <r>
    <x v="0"/>
    <n v="1"/>
  </r>
  <r>
    <x v="20"/>
    <n v="1"/>
  </r>
  <r>
    <x v="0"/>
    <n v="1"/>
  </r>
  <r>
    <x v="33"/>
    <n v="1"/>
  </r>
  <r>
    <x v="15"/>
    <n v="1"/>
  </r>
  <r>
    <x v="37"/>
    <n v="1"/>
  </r>
  <r>
    <x v="7"/>
    <n v="1"/>
  </r>
  <r>
    <x v="11"/>
    <n v="1"/>
  </r>
  <r>
    <x v="0"/>
    <n v="1"/>
  </r>
  <r>
    <x v="0"/>
    <n v="1"/>
  </r>
  <r>
    <x v="13"/>
    <n v="1"/>
  </r>
  <r>
    <x v="14"/>
    <n v="1"/>
  </r>
  <r>
    <x v="0"/>
    <n v="1"/>
  </r>
  <r>
    <x v="2"/>
    <n v="1"/>
  </r>
  <r>
    <x v="24"/>
    <n v="1"/>
  </r>
  <r>
    <x v="6"/>
    <n v="1"/>
  </r>
  <r>
    <x v="33"/>
    <n v="1"/>
  </r>
  <r>
    <x v="0"/>
    <n v="1"/>
  </r>
  <r>
    <x v="2"/>
    <n v="1"/>
  </r>
  <r>
    <x v="0"/>
    <n v="1"/>
  </r>
  <r>
    <x v="2"/>
    <n v="1"/>
  </r>
  <r>
    <x v="0"/>
    <n v="1"/>
  </r>
  <r>
    <x v="9"/>
    <n v="1"/>
  </r>
  <r>
    <x v="7"/>
    <n v="1"/>
  </r>
  <r>
    <x v="0"/>
    <n v="1"/>
  </r>
  <r>
    <x v="1"/>
    <n v="1"/>
  </r>
  <r>
    <x v="0"/>
    <n v="1"/>
  </r>
  <r>
    <x v="30"/>
    <n v="1"/>
  </r>
  <r>
    <x v="0"/>
    <n v="1"/>
  </r>
  <r>
    <x v="0"/>
    <n v="1"/>
  </r>
  <r>
    <x v="0"/>
    <n v="1"/>
  </r>
  <r>
    <x v="15"/>
    <n v="1"/>
  </r>
  <r>
    <x v="11"/>
    <n v="1"/>
  </r>
  <r>
    <x v="29"/>
    <n v="1"/>
  </r>
  <r>
    <x v="0"/>
    <n v="1"/>
  </r>
  <r>
    <x v="0"/>
    <n v="1"/>
  </r>
  <r>
    <x v="2"/>
    <n v="1"/>
  </r>
  <r>
    <x v="0"/>
    <n v="1"/>
  </r>
  <r>
    <x v="0"/>
    <n v="1"/>
  </r>
  <r>
    <x v="2"/>
    <n v="1"/>
  </r>
  <r>
    <x v="11"/>
    <n v="1"/>
  </r>
  <r>
    <x v="0"/>
    <n v="1"/>
  </r>
  <r>
    <x v="0"/>
    <n v="1"/>
  </r>
  <r>
    <x v="0"/>
    <n v="1"/>
  </r>
  <r>
    <x v="0"/>
    <n v="1"/>
  </r>
  <r>
    <x v="0"/>
    <n v="1"/>
  </r>
  <r>
    <x v="2"/>
    <n v="1"/>
  </r>
  <r>
    <x v="9"/>
    <n v="1"/>
  </r>
  <r>
    <x v="1"/>
    <n v="1"/>
  </r>
  <r>
    <x v="7"/>
    <n v="1"/>
  </r>
  <r>
    <x v="42"/>
    <n v="1"/>
  </r>
  <r>
    <x v="43"/>
    <n v="1"/>
  </r>
  <r>
    <x v="31"/>
    <n v="1"/>
  </r>
  <r>
    <x v="12"/>
    <n v="1"/>
  </r>
  <r>
    <x v="0"/>
    <n v="1"/>
  </r>
  <r>
    <x v="0"/>
    <n v="1"/>
  </r>
  <r>
    <x v="2"/>
    <n v="1"/>
  </r>
  <r>
    <x v="7"/>
    <n v="1"/>
  </r>
  <r>
    <x v="2"/>
    <n v="1"/>
  </r>
  <r>
    <x v="7"/>
    <n v="1"/>
  </r>
  <r>
    <x v="2"/>
    <n v="1"/>
  </r>
  <r>
    <x v="0"/>
    <n v="1"/>
  </r>
  <r>
    <x v="26"/>
    <n v="1"/>
  </r>
  <r>
    <x v="27"/>
    <n v="1"/>
  </r>
  <r>
    <x v="15"/>
    <n v="1"/>
  </r>
  <r>
    <x v="0"/>
    <n v="1"/>
  </r>
  <r>
    <x v="0"/>
    <n v="1"/>
  </r>
  <r>
    <x v="8"/>
    <n v="1"/>
  </r>
  <r>
    <x v="0"/>
    <n v="1"/>
  </r>
  <r>
    <x v="0"/>
    <n v="1"/>
  </r>
  <r>
    <x v="24"/>
    <n v="1"/>
  </r>
  <r>
    <x v="1"/>
    <n v="1"/>
  </r>
  <r>
    <x v="0"/>
    <n v="1"/>
  </r>
  <r>
    <x v="0"/>
    <n v="1"/>
  </r>
  <r>
    <x v="2"/>
    <n v="1"/>
  </r>
  <r>
    <x v="13"/>
    <n v="1"/>
  </r>
  <r>
    <x v="0"/>
    <n v="1"/>
  </r>
  <r>
    <x v="0"/>
    <n v="1"/>
  </r>
  <r>
    <x v="0"/>
    <n v="1"/>
  </r>
  <r>
    <x v="27"/>
    <n v="1"/>
  </r>
  <r>
    <x v="26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2"/>
    <n v="1"/>
  </r>
  <r>
    <x v="33"/>
    <n v="1"/>
  </r>
  <r>
    <x v="29"/>
    <n v="1"/>
  </r>
  <r>
    <x v="6"/>
    <n v="1"/>
  </r>
  <r>
    <x v="0"/>
    <n v="1"/>
  </r>
  <r>
    <x v="2"/>
    <n v="1"/>
  </r>
  <r>
    <x v="1"/>
    <n v="1"/>
  </r>
  <r>
    <x v="0"/>
    <n v="1"/>
  </r>
  <r>
    <x v="0"/>
    <n v="1"/>
  </r>
  <r>
    <x v="2"/>
    <n v="1"/>
  </r>
  <r>
    <x v="2"/>
    <n v="1"/>
  </r>
  <r>
    <x v="0"/>
    <n v="1"/>
  </r>
  <r>
    <x v="44"/>
    <n v="1"/>
  </r>
  <r>
    <x v="23"/>
    <n v="1"/>
  </r>
  <r>
    <x v="36"/>
    <n v="1"/>
  </r>
  <r>
    <x v="0"/>
    <n v="1"/>
  </r>
  <r>
    <x v="8"/>
    <n v="1"/>
  </r>
  <r>
    <x v="1"/>
    <n v="1"/>
  </r>
  <r>
    <x v="0"/>
    <n v="1"/>
  </r>
  <r>
    <x v="6"/>
    <n v="1"/>
  </r>
  <r>
    <x v="0"/>
    <n v="1"/>
  </r>
  <r>
    <x v="8"/>
    <n v="1"/>
  </r>
  <r>
    <x v="38"/>
    <n v="1"/>
  </r>
  <r>
    <x v="0"/>
    <n v="1"/>
  </r>
  <r>
    <x v="2"/>
    <n v="1"/>
  </r>
  <r>
    <x v="13"/>
    <n v="1"/>
  </r>
  <r>
    <x v="0"/>
    <n v="1"/>
  </r>
  <r>
    <x v="38"/>
    <n v="1"/>
  </r>
  <r>
    <x v="27"/>
    <n v="1"/>
  </r>
  <r>
    <x v="2"/>
    <n v="1"/>
  </r>
  <r>
    <x v="8"/>
    <n v="1"/>
  </r>
  <r>
    <x v="0"/>
    <n v="1"/>
  </r>
  <r>
    <x v="24"/>
    <n v="1"/>
  </r>
  <r>
    <x v="7"/>
    <n v="1"/>
  </r>
  <r>
    <x v="2"/>
    <n v="1"/>
  </r>
  <r>
    <x v="1"/>
    <n v="1"/>
  </r>
  <r>
    <x v="0"/>
    <n v="1"/>
  </r>
  <r>
    <x v="2"/>
    <n v="1"/>
  </r>
  <r>
    <x v="0"/>
    <n v="1"/>
  </r>
  <r>
    <x v="0"/>
    <n v="1"/>
  </r>
  <r>
    <x v="0"/>
    <n v="1"/>
  </r>
  <r>
    <x v="7"/>
    <n v="1"/>
  </r>
  <r>
    <x v="1"/>
    <n v="1"/>
  </r>
  <r>
    <x v="0"/>
    <n v="1"/>
  </r>
  <r>
    <x v="6"/>
    <n v="1"/>
  </r>
  <r>
    <x v="0"/>
    <n v="1"/>
  </r>
  <r>
    <x v="0"/>
    <n v="1"/>
  </r>
  <r>
    <x v="0"/>
    <n v="1"/>
  </r>
  <r>
    <x v="10"/>
    <n v="1"/>
  </r>
  <r>
    <x v="9"/>
    <n v="1"/>
  </r>
  <r>
    <x v="2"/>
    <n v="1"/>
  </r>
  <r>
    <x v="15"/>
    <n v="1"/>
  </r>
  <r>
    <x v="0"/>
    <n v="1"/>
  </r>
  <r>
    <x v="6"/>
    <n v="1"/>
  </r>
  <r>
    <x v="23"/>
    <n v="1"/>
  </r>
  <r>
    <x v="37"/>
    <n v="1"/>
  </r>
  <r>
    <x v="16"/>
    <n v="1"/>
  </r>
  <r>
    <x v="18"/>
    <n v="1"/>
  </r>
  <r>
    <x v="19"/>
    <n v="1"/>
  </r>
  <r>
    <x v="1"/>
    <n v="1"/>
  </r>
  <r>
    <x v="15"/>
    <n v="1"/>
  </r>
  <r>
    <x v="35"/>
    <n v="1"/>
  </r>
  <r>
    <x v="8"/>
    <n v="1"/>
  </r>
  <r>
    <x v="43"/>
    <n v="1"/>
  </r>
  <r>
    <x v="0"/>
    <n v="1"/>
  </r>
  <r>
    <x v="0"/>
    <n v="1"/>
  </r>
  <r>
    <x v="2"/>
    <n v="1"/>
  </r>
  <r>
    <x v="1"/>
    <n v="1"/>
  </r>
  <r>
    <x v="45"/>
    <n v="1"/>
  </r>
  <r>
    <x v="24"/>
    <n v="1"/>
  </r>
  <r>
    <x v="2"/>
    <n v="1"/>
  </r>
  <r>
    <x v="0"/>
    <n v="1"/>
  </r>
  <r>
    <x v="3"/>
    <n v="1"/>
  </r>
  <r>
    <x v="0"/>
    <n v="1"/>
  </r>
  <r>
    <x v="12"/>
    <n v="1"/>
  </r>
  <r>
    <x v="36"/>
    <n v="1"/>
  </r>
  <r>
    <x v="2"/>
    <n v="1"/>
  </r>
  <r>
    <x v="2"/>
    <n v="1"/>
  </r>
  <r>
    <x v="0"/>
    <n v="1"/>
  </r>
  <r>
    <x v="0"/>
    <n v="1"/>
  </r>
  <r>
    <x v="0"/>
    <n v="1"/>
  </r>
  <r>
    <x v="0"/>
    <n v="1"/>
  </r>
  <r>
    <x v="7"/>
    <n v="1"/>
  </r>
  <r>
    <x v="0"/>
    <n v="1"/>
  </r>
  <r>
    <x v="0"/>
    <n v="1"/>
  </r>
  <r>
    <x v="15"/>
    <n v="1"/>
  </r>
  <r>
    <x v="0"/>
    <n v="1"/>
  </r>
  <r>
    <x v="13"/>
    <n v="1"/>
  </r>
  <r>
    <x v="2"/>
    <n v="1"/>
  </r>
  <r>
    <x v="0"/>
    <n v="1"/>
  </r>
  <r>
    <x v="2"/>
    <n v="1"/>
  </r>
  <r>
    <x v="2"/>
    <n v="1"/>
  </r>
  <r>
    <x v="10"/>
    <n v="1"/>
  </r>
  <r>
    <x v="29"/>
    <n v="1"/>
  </r>
  <r>
    <x v="2"/>
    <n v="1"/>
  </r>
  <r>
    <x v="2"/>
    <n v="1"/>
  </r>
  <r>
    <x v="0"/>
    <n v="1"/>
  </r>
  <r>
    <x v="2"/>
    <n v="1"/>
  </r>
  <r>
    <x v="7"/>
    <n v="1"/>
  </r>
  <r>
    <x v="0"/>
    <n v="1"/>
  </r>
  <r>
    <x v="1"/>
    <n v="1"/>
  </r>
  <r>
    <x v="10"/>
    <n v="1"/>
  </r>
  <r>
    <x v="0"/>
    <n v="1"/>
  </r>
  <r>
    <x v="0"/>
    <n v="1"/>
  </r>
  <r>
    <x v="15"/>
    <n v="1"/>
  </r>
  <r>
    <x v="3"/>
    <n v="1"/>
  </r>
  <r>
    <x v="2"/>
    <n v="1"/>
  </r>
  <r>
    <x v="2"/>
    <n v="1"/>
  </r>
  <r>
    <x v="2"/>
    <n v="1"/>
  </r>
  <r>
    <x v="33"/>
    <n v="1"/>
  </r>
  <r>
    <x v="13"/>
    <n v="1"/>
  </r>
  <r>
    <x v="0"/>
    <n v="1"/>
  </r>
  <r>
    <x v="0"/>
    <n v="1"/>
  </r>
  <r>
    <x v="11"/>
    <n v="1"/>
  </r>
  <r>
    <x v="2"/>
    <n v="1"/>
  </r>
  <r>
    <x v="2"/>
    <n v="1"/>
  </r>
  <r>
    <x v="0"/>
    <n v="1"/>
  </r>
  <r>
    <x v="1"/>
    <n v="1"/>
  </r>
  <r>
    <x v="2"/>
    <n v="1"/>
  </r>
  <r>
    <x v="1"/>
    <n v="1"/>
  </r>
  <r>
    <x v="0"/>
    <n v="1"/>
  </r>
  <r>
    <x v="0"/>
    <n v="1"/>
  </r>
  <r>
    <x v="46"/>
    <n v="1"/>
  </r>
  <r>
    <x v="47"/>
    <n v="1"/>
  </r>
  <r>
    <x v="9"/>
    <n v="1"/>
  </r>
  <r>
    <x v="1"/>
    <n v="1"/>
  </r>
  <r>
    <x v="2"/>
    <n v="1"/>
  </r>
  <r>
    <x v="6"/>
    <n v="1"/>
  </r>
  <r>
    <x v="0"/>
    <n v="1"/>
  </r>
  <r>
    <x v="0"/>
    <n v="1"/>
  </r>
  <r>
    <x v="0"/>
    <n v="1"/>
  </r>
  <r>
    <x v="8"/>
    <n v="1"/>
  </r>
  <r>
    <x v="0"/>
    <n v="1"/>
  </r>
  <r>
    <x v="29"/>
    <n v="1"/>
  </r>
  <r>
    <x v="48"/>
    <n v="1"/>
  </r>
  <r>
    <x v="2"/>
    <n v="1"/>
  </r>
  <r>
    <x v="30"/>
    <n v="1"/>
  </r>
  <r>
    <x v="2"/>
    <n v="1"/>
  </r>
  <r>
    <x v="13"/>
    <n v="1"/>
  </r>
  <r>
    <x v="1"/>
    <n v="1"/>
  </r>
  <r>
    <x v="0"/>
    <n v="1"/>
  </r>
  <r>
    <x v="0"/>
    <n v="1"/>
  </r>
  <r>
    <x v="23"/>
    <n v="1"/>
  </r>
  <r>
    <x v="2"/>
    <n v="1"/>
  </r>
  <r>
    <x v="2"/>
    <n v="1"/>
  </r>
  <r>
    <x v="1"/>
    <n v="1"/>
  </r>
  <r>
    <x v="0"/>
    <n v="1"/>
  </r>
  <r>
    <x v="0"/>
    <n v="1"/>
  </r>
  <r>
    <x v="0"/>
    <n v="1"/>
  </r>
  <r>
    <x v="1"/>
    <n v="1"/>
  </r>
  <r>
    <x v="15"/>
    <n v="1"/>
  </r>
  <r>
    <x v="8"/>
    <n v="1"/>
  </r>
  <r>
    <x v="29"/>
    <n v="1"/>
  </r>
  <r>
    <x v="0"/>
    <n v="1"/>
  </r>
  <r>
    <x v="0"/>
    <n v="1"/>
  </r>
  <r>
    <x v="1"/>
    <n v="1"/>
  </r>
  <r>
    <x v="13"/>
    <n v="1"/>
  </r>
  <r>
    <x v="0"/>
    <n v="1"/>
  </r>
  <r>
    <x v="3"/>
    <n v="1"/>
  </r>
  <r>
    <x v="0"/>
    <n v="1"/>
  </r>
  <r>
    <x v="0"/>
    <n v="1"/>
  </r>
  <r>
    <x v="0"/>
    <n v="1"/>
  </r>
  <r>
    <x v="1"/>
    <n v="1"/>
  </r>
  <r>
    <x v="0"/>
    <n v="1"/>
  </r>
  <r>
    <x v="2"/>
    <n v="1"/>
  </r>
  <r>
    <x v="0"/>
    <n v="1"/>
  </r>
  <r>
    <x v="49"/>
    <n v="1"/>
  </r>
  <r>
    <x v="0"/>
    <n v="1"/>
  </r>
  <r>
    <x v="1"/>
    <n v="1"/>
  </r>
  <r>
    <x v="2"/>
    <n v="1"/>
  </r>
  <r>
    <x v="50"/>
    <n v="1"/>
  </r>
  <r>
    <x v="0"/>
    <n v="1"/>
  </r>
  <r>
    <x v="0"/>
    <n v="1"/>
  </r>
  <r>
    <x v="10"/>
    <n v="1"/>
  </r>
  <r>
    <x v="49"/>
    <n v="1"/>
  </r>
  <r>
    <x v="0"/>
    <n v="1"/>
  </r>
  <r>
    <x v="2"/>
    <n v="1"/>
  </r>
  <r>
    <x v="0"/>
    <n v="1"/>
  </r>
  <r>
    <x v="6"/>
    <n v="1"/>
  </r>
  <r>
    <x v="2"/>
    <n v="1"/>
  </r>
  <r>
    <x v="0"/>
    <n v="1"/>
  </r>
  <r>
    <x v="0"/>
    <n v="1"/>
  </r>
  <r>
    <x v="14"/>
    <n v="1"/>
  </r>
  <r>
    <x v="17"/>
    <n v="1"/>
  </r>
  <r>
    <x v="1"/>
    <n v="1"/>
  </r>
  <r>
    <x v="0"/>
    <n v="1"/>
  </r>
  <r>
    <x v="7"/>
    <n v="1"/>
  </r>
  <r>
    <x v="1"/>
    <n v="1"/>
  </r>
  <r>
    <x v="10"/>
    <n v="1"/>
  </r>
  <r>
    <x v="31"/>
    <n v="1"/>
  </r>
  <r>
    <x v="23"/>
    <n v="1"/>
  </r>
  <r>
    <x v="1"/>
    <n v="1"/>
  </r>
  <r>
    <x v="0"/>
    <n v="1"/>
  </r>
  <r>
    <x v="0"/>
    <n v="1"/>
  </r>
  <r>
    <x v="0"/>
    <n v="1"/>
  </r>
  <r>
    <x v="2"/>
    <n v="1"/>
  </r>
  <r>
    <x v="2"/>
    <n v="1"/>
  </r>
  <r>
    <x v="0"/>
    <n v="1"/>
  </r>
  <r>
    <x v="2"/>
    <n v="1"/>
  </r>
  <r>
    <x v="0"/>
    <n v="1"/>
  </r>
  <r>
    <x v="2"/>
    <n v="1"/>
  </r>
  <r>
    <x v="7"/>
    <n v="1"/>
  </r>
  <r>
    <x v="0"/>
    <n v="1"/>
  </r>
  <r>
    <x v="43"/>
    <n v="1"/>
  </r>
  <r>
    <x v="0"/>
    <n v="1"/>
  </r>
  <r>
    <x v="8"/>
    <n v="1"/>
  </r>
  <r>
    <x v="7"/>
    <n v="1"/>
  </r>
  <r>
    <x v="2"/>
    <n v="1"/>
  </r>
  <r>
    <x v="9"/>
    <n v="1"/>
  </r>
  <r>
    <x v="8"/>
    <n v="1"/>
  </r>
  <r>
    <x v="0"/>
    <n v="1"/>
  </r>
  <r>
    <x v="0"/>
    <n v="1"/>
  </r>
  <r>
    <x v="0"/>
    <n v="1"/>
  </r>
  <r>
    <x v="47"/>
    <n v="1"/>
  </r>
  <r>
    <x v="0"/>
    <n v="1"/>
  </r>
  <r>
    <x v="35"/>
    <n v="1"/>
  </r>
  <r>
    <x v="0"/>
    <n v="1"/>
  </r>
  <r>
    <x v="13"/>
    <n v="1"/>
  </r>
  <r>
    <x v="1"/>
    <n v="1"/>
  </r>
  <r>
    <x v="35"/>
    <n v="1"/>
  </r>
  <r>
    <x v="0"/>
    <n v="1"/>
  </r>
  <r>
    <x v="30"/>
    <n v="1"/>
  </r>
  <r>
    <x v="0"/>
    <n v="1"/>
  </r>
  <r>
    <x v="31"/>
    <n v="1"/>
  </r>
  <r>
    <x v="0"/>
    <n v="1"/>
  </r>
  <r>
    <x v="0"/>
    <n v="1"/>
  </r>
  <r>
    <x v="0"/>
    <n v="1"/>
  </r>
  <r>
    <x v="6"/>
    <n v="1"/>
  </r>
  <r>
    <x v="0"/>
    <n v="1"/>
  </r>
  <r>
    <x v="0"/>
    <n v="1"/>
  </r>
  <r>
    <x v="15"/>
    <n v="1"/>
  </r>
  <r>
    <x v="9"/>
    <n v="1"/>
  </r>
  <r>
    <x v="9"/>
    <n v="1"/>
  </r>
  <r>
    <x v="21"/>
    <n v="1"/>
  </r>
  <r>
    <x v="0"/>
    <n v="1"/>
  </r>
  <r>
    <x v="29"/>
    <n v="1"/>
  </r>
  <r>
    <x v="0"/>
    <n v="1"/>
  </r>
  <r>
    <x v="1"/>
    <n v="1"/>
  </r>
  <r>
    <x v="14"/>
    <n v="1"/>
  </r>
  <r>
    <x v="0"/>
    <n v="1"/>
  </r>
  <r>
    <x v="0"/>
    <n v="1"/>
  </r>
  <r>
    <x v="2"/>
    <n v="1"/>
  </r>
  <r>
    <x v="0"/>
    <n v="1"/>
  </r>
  <r>
    <x v="21"/>
    <n v="1"/>
  </r>
  <r>
    <x v="7"/>
    <n v="1"/>
  </r>
  <r>
    <x v="51"/>
    <n v="1"/>
  </r>
  <r>
    <x v="12"/>
    <n v="1"/>
  </r>
  <r>
    <x v="9"/>
    <n v="1"/>
  </r>
  <r>
    <x v="0"/>
    <n v="1"/>
  </r>
  <r>
    <x v="0"/>
    <n v="1"/>
  </r>
  <r>
    <x v="0"/>
    <n v="1"/>
  </r>
  <r>
    <x v="2"/>
    <n v="1"/>
  </r>
  <r>
    <x v="0"/>
    <n v="1"/>
  </r>
  <r>
    <x v="0"/>
    <n v="1"/>
  </r>
  <r>
    <x v="6"/>
    <n v="1"/>
  </r>
  <r>
    <x v="0"/>
    <n v="1"/>
  </r>
  <r>
    <x v="0"/>
    <n v="1"/>
  </r>
  <r>
    <x v="1"/>
    <n v="1"/>
  </r>
  <r>
    <x v="14"/>
    <n v="1"/>
  </r>
  <r>
    <x v="22"/>
    <n v="1"/>
  </r>
  <r>
    <x v="0"/>
    <n v="1"/>
  </r>
  <r>
    <x v="13"/>
    <n v="1"/>
  </r>
  <r>
    <x v="11"/>
    <n v="1"/>
  </r>
  <r>
    <x v="0"/>
    <n v="1"/>
  </r>
  <r>
    <x v="10"/>
    <n v="1"/>
  </r>
  <r>
    <x v="0"/>
    <n v="1"/>
  </r>
  <r>
    <x v="0"/>
    <n v="1"/>
  </r>
  <r>
    <x v="0"/>
    <n v="1"/>
  </r>
  <r>
    <x v="0"/>
    <n v="1"/>
  </r>
  <r>
    <x v="31"/>
    <n v="1"/>
  </r>
  <r>
    <x v="0"/>
    <n v="1"/>
  </r>
  <r>
    <x v="0"/>
    <n v="1"/>
  </r>
  <r>
    <x v="0"/>
    <n v="1"/>
  </r>
  <r>
    <x v="52"/>
    <n v="1"/>
  </r>
  <r>
    <x v="38"/>
    <n v="1"/>
  </r>
  <r>
    <x v="0"/>
    <n v="1"/>
  </r>
  <r>
    <x v="0"/>
    <n v="1"/>
  </r>
  <r>
    <x v="32"/>
    <n v="1"/>
  </r>
  <r>
    <x v="10"/>
    <n v="1"/>
  </r>
  <r>
    <x v="0"/>
    <n v="1"/>
  </r>
  <r>
    <x v="0"/>
    <n v="1"/>
  </r>
  <r>
    <x v="34"/>
    <n v="1"/>
  </r>
  <r>
    <x v="1"/>
    <n v="1"/>
  </r>
  <r>
    <x v="11"/>
    <n v="1"/>
  </r>
  <r>
    <x v="0"/>
    <n v="1"/>
  </r>
  <r>
    <x v="2"/>
    <n v="1"/>
  </r>
  <r>
    <x v="8"/>
    <n v="1"/>
  </r>
  <r>
    <x v="10"/>
    <n v="1"/>
  </r>
  <r>
    <x v="0"/>
    <n v="1"/>
  </r>
  <r>
    <x v="0"/>
    <n v="1"/>
  </r>
  <r>
    <x v="50"/>
    <n v="1"/>
  </r>
  <r>
    <x v="0"/>
    <n v="1"/>
  </r>
  <r>
    <x v="0"/>
    <n v="1"/>
  </r>
  <r>
    <x v="15"/>
    <n v="1"/>
  </r>
  <r>
    <x v="0"/>
    <n v="1"/>
  </r>
  <r>
    <x v="0"/>
    <n v="1"/>
  </r>
  <r>
    <x v="0"/>
    <n v="1"/>
  </r>
  <r>
    <x v="53"/>
    <n v="1"/>
  </r>
  <r>
    <x v="42"/>
    <n v="1"/>
  </r>
  <r>
    <x v="24"/>
    <n v="1"/>
  </r>
  <r>
    <x v="2"/>
    <n v="1"/>
  </r>
  <r>
    <x v="0"/>
    <n v="1"/>
  </r>
  <r>
    <x v="0"/>
    <n v="1"/>
  </r>
  <r>
    <x v="35"/>
    <n v="1"/>
  </r>
  <r>
    <x v="2"/>
    <n v="1"/>
  </r>
  <r>
    <x v="37"/>
    <n v="1"/>
  </r>
  <r>
    <x v="0"/>
    <n v="1"/>
  </r>
  <r>
    <x v="13"/>
    <n v="1"/>
  </r>
  <r>
    <x v="13"/>
    <n v="1"/>
  </r>
  <r>
    <x v="24"/>
    <n v="1"/>
  </r>
  <r>
    <x v="0"/>
    <n v="1"/>
  </r>
  <r>
    <x v="0"/>
    <n v="1"/>
  </r>
  <r>
    <x v="4"/>
    <n v="1"/>
  </r>
  <r>
    <x v="13"/>
    <n v="1"/>
  </r>
  <r>
    <x v="0"/>
    <n v="1"/>
  </r>
  <r>
    <x v="37"/>
    <n v="1"/>
  </r>
  <r>
    <x v="0"/>
    <n v="1"/>
  </r>
  <r>
    <x v="0"/>
    <n v="1"/>
  </r>
  <r>
    <x v="0"/>
    <n v="1"/>
  </r>
  <r>
    <x v="0"/>
    <n v="1"/>
  </r>
  <r>
    <x v="8"/>
    <n v="1"/>
  </r>
  <r>
    <x v="0"/>
    <n v="1"/>
  </r>
  <r>
    <x v="36"/>
    <n v="1"/>
  </r>
  <r>
    <x v="0"/>
    <n v="1"/>
  </r>
  <r>
    <x v="33"/>
    <n v="1"/>
  </r>
  <r>
    <x v="12"/>
    <n v="1"/>
  </r>
  <r>
    <x v="0"/>
    <n v="1"/>
  </r>
  <r>
    <x v="15"/>
    <n v="1"/>
  </r>
  <r>
    <x v="2"/>
    <n v="1"/>
  </r>
  <r>
    <x v="15"/>
    <n v="1"/>
  </r>
  <r>
    <x v="0"/>
    <n v="1"/>
  </r>
  <r>
    <x v="29"/>
    <n v="1"/>
  </r>
  <r>
    <x v="0"/>
    <n v="1"/>
  </r>
  <r>
    <x v="12"/>
    <n v="1"/>
  </r>
  <r>
    <x v="1"/>
    <n v="1"/>
  </r>
  <r>
    <x v="0"/>
    <n v="1"/>
  </r>
  <r>
    <x v="1"/>
    <n v="1"/>
  </r>
  <r>
    <x v="3"/>
    <n v="1"/>
  </r>
  <r>
    <x v="2"/>
    <n v="1"/>
  </r>
  <r>
    <x v="2"/>
    <n v="1"/>
  </r>
  <r>
    <x v="2"/>
    <n v="1"/>
  </r>
  <r>
    <x v="29"/>
    <n v="1"/>
  </r>
  <r>
    <x v="0"/>
    <n v="1"/>
  </r>
  <r>
    <x v="1"/>
    <n v="1"/>
  </r>
  <r>
    <x v="1"/>
    <n v="1"/>
  </r>
  <r>
    <x v="15"/>
    <n v="1"/>
  </r>
  <r>
    <x v="0"/>
    <n v="1"/>
  </r>
  <r>
    <x v="0"/>
    <n v="1"/>
  </r>
  <r>
    <x v="0"/>
    <n v="1"/>
  </r>
  <r>
    <x v="0"/>
    <n v="1"/>
  </r>
  <r>
    <x v="7"/>
    <n v="1"/>
  </r>
  <r>
    <x v="2"/>
    <n v="1"/>
  </r>
  <r>
    <x v="36"/>
    <n v="1"/>
  </r>
  <r>
    <x v="2"/>
    <n v="1"/>
  </r>
  <r>
    <x v="0"/>
    <n v="1"/>
  </r>
  <r>
    <x v="0"/>
    <n v="1"/>
  </r>
  <r>
    <x v="32"/>
    <n v="1"/>
  </r>
  <r>
    <x v="1"/>
    <n v="1"/>
  </r>
  <r>
    <x v="0"/>
    <n v="1"/>
  </r>
  <r>
    <x v="7"/>
    <n v="1"/>
  </r>
  <r>
    <x v="6"/>
    <n v="1"/>
  </r>
  <r>
    <x v="6"/>
    <n v="1"/>
  </r>
  <r>
    <x v="0"/>
    <n v="1"/>
  </r>
  <r>
    <x v="0"/>
    <n v="1"/>
  </r>
  <r>
    <x v="24"/>
    <n v="1"/>
  </r>
  <r>
    <x v="23"/>
    <n v="1"/>
  </r>
  <r>
    <x v="36"/>
    <n v="1"/>
  </r>
  <r>
    <x v="0"/>
    <n v="1"/>
  </r>
  <r>
    <x v="0"/>
    <n v="1"/>
  </r>
  <r>
    <x v="2"/>
    <n v="1"/>
  </r>
  <r>
    <x v="0"/>
    <n v="1"/>
  </r>
  <r>
    <x v="29"/>
    <n v="1"/>
  </r>
  <r>
    <x v="29"/>
    <n v="1"/>
  </r>
  <r>
    <x v="4"/>
    <n v="1"/>
  </r>
  <r>
    <x v="0"/>
    <n v="1"/>
  </r>
  <r>
    <x v="1"/>
    <n v="1"/>
  </r>
  <r>
    <x v="33"/>
    <n v="1"/>
  </r>
  <r>
    <x v="0"/>
    <n v="1"/>
  </r>
  <r>
    <x v="2"/>
    <n v="1"/>
  </r>
  <r>
    <x v="0"/>
    <n v="1"/>
  </r>
  <r>
    <x v="0"/>
    <n v="1"/>
  </r>
  <r>
    <x v="29"/>
    <n v="1"/>
  </r>
  <r>
    <x v="29"/>
    <n v="1"/>
  </r>
  <r>
    <x v="31"/>
    <n v="1"/>
  </r>
  <r>
    <x v="0"/>
    <n v="1"/>
  </r>
  <r>
    <x v="13"/>
    <n v="1"/>
  </r>
  <r>
    <x v="31"/>
    <n v="1"/>
  </r>
  <r>
    <x v="19"/>
    <n v="1"/>
  </r>
  <r>
    <x v="3"/>
    <n v="1"/>
  </r>
  <r>
    <x v="12"/>
    <n v="1"/>
  </r>
  <r>
    <x v="0"/>
    <n v="1"/>
  </r>
  <r>
    <x v="2"/>
    <n v="1"/>
  </r>
  <r>
    <x v="0"/>
    <n v="1"/>
  </r>
  <r>
    <x v="0"/>
    <n v="1"/>
  </r>
  <r>
    <x v="2"/>
    <n v="1"/>
  </r>
  <r>
    <x v="2"/>
    <n v="1"/>
  </r>
  <r>
    <x v="2"/>
    <n v="1"/>
  </r>
  <r>
    <x v="0"/>
    <n v="1"/>
  </r>
  <r>
    <x v="29"/>
    <n v="1"/>
  </r>
  <r>
    <x v="2"/>
    <n v="1"/>
  </r>
  <r>
    <x v="7"/>
    <n v="1"/>
  </r>
  <r>
    <x v="2"/>
    <n v="1"/>
  </r>
  <r>
    <x v="6"/>
    <n v="1"/>
  </r>
  <r>
    <x v="8"/>
    <n v="1"/>
  </r>
  <r>
    <x v="21"/>
    <n v="1"/>
  </r>
  <r>
    <x v="15"/>
    <n v="1"/>
  </r>
  <r>
    <x v="21"/>
    <n v="1"/>
  </r>
  <r>
    <x v="0"/>
    <n v="1"/>
  </r>
  <r>
    <x v="14"/>
    <n v="1"/>
  </r>
  <r>
    <x v="13"/>
    <n v="1"/>
  </r>
  <r>
    <x v="27"/>
    <n v="1"/>
  </r>
  <r>
    <x v="52"/>
    <n v="1"/>
  </r>
  <r>
    <x v="0"/>
    <n v="1"/>
  </r>
  <r>
    <x v="11"/>
    <n v="1"/>
  </r>
  <r>
    <x v="0"/>
    <n v="1"/>
  </r>
  <r>
    <x v="2"/>
    <n v="1"/>
  </r>
  <r>
    <x v="0"/>
    <n v="1"/>
  </r>
  <r>
    <x v="10"/>
    <n v="1"/>
  </r>
  <r>
    <x v="1"/>
    <n v="1"/>
  </r>
  <r>
    <x v="0"/>
    <n v="1"/>
  </r>
  <r>
    <x v="2"/>
    <n v="1"/>
  </r>
  <r>
    <x v="0"/>
    <n v="1"/>
  </r>
  <r>
    <x v="38"/>
    <n v="1"/>
  </r>
  <r>
    <x v="2"/>
    <n v="1"/>
  </r>
  <r>
    <x v="23"/>
    <n v="1"/>
  </r>
  <r>
    <x v="0"/>
    <n v="1"/>
  </r>
  <r>
    <x v="1"/>
    <n v="1"/>
  </r>
  <r>
    <x v="2"/>
    <n v="1"/>
  </r>
  <r>
    <x v="2"/>
    <n v="1"/>
  </r>
  <r>
    <x v="0"/>
    <n v="1"/>
  </r>
  <r>
    <x v="2"/>
    <n v="1"/>
  </r>
  <r>
    <x v="0"/>
    <n v="1"/>
  </r>
  <r>
    <x v="1"/>
    <n v="1"/>
  </r>
  <r>
    <x v="42"/>
    <n v="1"/>
  </r>
  <r>
    <x v="0"/>
    <n v="1"/>
  </r>
  <r>
    <x v="0"/>
    <n v="1"/>
  </r>
  <r>
    <x v="13"/>
    <n v="1"/>
  </r>
  <r>
    <x v="2"/>
    <n v="1"/>
  </r>
  <r>
    <x v="0"/>
    <n v="1"/>
  </r>
  <r>
    <x v="0"/>
    <n v="1"/>
  </r>
  <r>
    <x v="0"/>
    <n v="1"/>
  </r>
  <r>
    <x v="0"/>
    <n v="1"/>
  </r>
  <r>
    <x v="42"/>
    <n v="1"/>
  </r>
  <r>
    <x v="27"/>
    <n v="1"/>
  </r>
  <r>
    <x v="0"/>
    <n v="1"/>
  </r>
  <r>
    <x v="0"/>
    <n v="1"/>
  </r>
  <r>
    <x v="2"/>
    <n v="1"/>
  </r>
  <r>
    <x v="2"/>
    <n v="1"/>
  </r>
  <r>
    <x v="3"/>
    <n v="1"/>
  </r>
  <r>
    <x v="11"/>
    <n v="1"/>
  </r>
  <r>
    <x v="0"/>
    <n v="1"/>
  </r>
  <r>
    <x v="0"/>
    <n v="1"/>
  </r>
  <r>
    <x v="10"/>
    <n v="1"/>
  </r>
  <r>
    <x v="7"/>
    <n v="1"/>
  </r>
  <r>
    <x v="0"/>
    <n v="1"/>
  </r>
  <r>
    <x v="38"/>
    <n v="1"/>
  </r>
  <r>
    <x v="8"/>
    <n v="1"/>
  </r>
  <r>
    <x v="2"/>
    <n v="1"/>
  </r>
  <r>
    <x v="27"/>
    <n v="1"/>
  </r>
  <r>
    <x v="35"/>
    <n v="1"/>
  </r>
  <r>
    <x v="2"/>
    <n v="1"/>
  </r>
  <r>
    <x v="10"/>
    <n v="1"/>
  </r>
  <r>
    <x v="0"/>
    <n v="1"/>
  </r>
  <r>
    <x v="0"/>
    <n v="1"/>
  </r>
  <r>
    <x v="0"/>
    <n v="1"/>
  </r>
  <r>
    <x v="6"/>
    <n v="1"/>
  </r>
  <r>
    <x v="0"/>
    <n v="1"/>
  </r>
  <r>
    <x v="0"/>
    <n v="1"/>
  </r>
  <r>
    <x v="31"/>
    <n v="1"/>
  </r>
  <r>
    <x v="1"/>
    <n v="1"/>
  </r>
  <r>
    <x v="0"/>
    <n v="1"/>
  </r>
  <r>
    <x v="37"/>
    <n v="1"/>
  </r>
  <r>
    <x v="6"/>
    <n v="1"/>
  </r>
  <r>
    <x v="2"/>
    <n v="1"/>
  </r>
  <r>
    <x v="0"/>
    <n v="1"/>
  </r>
  <r>
    <x v="15"/>
    <n v="1"/>
  </r>
  <r>
    <x v="37"/>
    <n v="1"/>
  </r>
  <r>
    <x v="10"/>
    <n v="1"/>
  </r>
  <r>
    <x v="6"/>
    <n v="1"/>
  </r>
  <r>
    <x v="0"/>
    <n v="1"/>
  </r>
  <r>
    <x v="29"/>
    <n v="1"/>
  </r>
  <r>
    <x v="0"/>
    <n v="1"/>
  </r>
  <r>
    <x v="0"/>
    <n v="1"/>
  </r>
  <r>
    <x v="27"/>
    <n v="1"/>
  </r>
  <r>
    <x v="37"/>
    <n v="1"/>
  </r>
  <r>
    <x v="6"/>
    <n v="1"/>
  </r>
  <r>
    <x v="29"/>
    <n v="1"/>
  </r>
  <r>
    <x v="0"/>
    <n v="1"/>
  </r>
  <r>
    <x v="1"/>
    <n v="1"/>
  </r>
  <r>
    <x v="0"/>
    <n v="1"/>
  </r>
  <r>
    <x v="34"/>
    <n v="1"/>
  </r>
  <r>
    <x v="3"/>
    <n v="1"/>
  </r>
  <r>
    <x v="27"/>
    <n v="1"/>
  </r>
  <r>
    <x v="0"/>
    <n v="1"/>
  </r>
  <r>
    <x v="10"/>
    <n v="1"/>
  </r>
  <r>
    <x v="0"/>
    <n v="1"/>
  </r>
  <r>
    <x v="35"/>
    <n v="1"/>
  </r>
  <r>
    <x v="8"/>
    <n v="1"/>
  </r>
  <r>
    <x v="1"/>
    <n v="1"/>
  </r>
  <r>
    <x v="0"/>
    <n v="1"/>
  </r>
  <r>
    <x v="0"/>
    <n v="1"/>
  </r>
  <r>
    <x v="0"/>
    <n v="1"/>
  </r>
  <r>
    <x v="2"/>
    <n v="1"/>
  </r>
  <r>
    <x v="24"/>
    <n v="1"/>
  </r>
  <r>
    <x v="0"/>
    <n v="1"/>
  </r>
  <r>
    <x v="2"/>
    <n v="1"/>
  </r>
  <r>
    <x v="6"/>
    <n v="1"/>
  </r>
  <r>
    <x v="2"/>
    <n v="1"/>
  </r>
  <r>
    <x v="0"/>
    <n v="1"/>
  </r>
  <r>
    <x v="2"/>
    <n v="1"/>
  </r>
  <r>
    <x v="0"/>
    <n v="1"/>
  </r>
  <r>
    <x v="0"/>
    <n v="1"/>
  </r>
  <r>
    <x v="0"/>
    <n v="1"/>
  </r>
  <r>
    <x v="2"/>
    <n v="1"/>
  </r>
  <r>
    <x v="17"/>
    <n v="1"/>
  </r>
  <r>
    <x v="27"/>
    <n v="1"/>
  </r>
  <r>
    <x v="27"/>
    <n v="1"/>
  </r>
  <r>
    <x v="0"/>
    <n v="1"/>
  </r>
  <r>
    <x v="0"/>
    <n v="1"/>
  </r>
  <r>
    <x v="0"/>
    <n v="1"/>
  </r>
  <r>
    <x v="1"/>
    <n v="1"/>
  </r>
  <r>
    <x v="7"/>
    <n v="1"/>
  </r>
  <r>
    <x v="34"/>
    <n v="1"/>
  </r>
  <r>
    <x v="2"/>
    <n v="1"/>
  </r>
  <r>
    <x v="1"/>
    <n v="1"/>
  </r>
  <r>
    <x v="15"/>
    <n v="1"/>
  </r>
  <r>
    <x v="0"/>
    <n v="1"/>
  </r>
  <r>
    <x v="43"/>
    <n v="1"/>
  </r>
  <r>
    <x v="0"/>
    <n v="1"/>
  </r>
  <r>
    <x v="4"/>
    <n v="1"/>
  </r>
  <r>
    <x v="27"/>
    <n v="1"/>
  </r>
  <r>
    <x v="2"/>
    <n v="1"/>
  </r>
  <r>
    <x v="1"/>
    <n v="1"/>
  </r>
  <r>
    <x v="0"/>
    <n v="1"/>
  </r>
  <r>
    <x v="0"/>
    <n v="1"/>
  </r>
  <r>
    <x v="0"/>
    <n v="1"/>
  </r>
  <r>
    <x v="19"/>
    <n v="1"/>
  </r>
  <r>
    <x v="3"/>
    <n v="1"/>
  </r>
  <r>
    <x v="0"/>
    <n v="1"/>
  </r>
  <r>
    <x v="8"/>
    <n v="1"/>
  </r>
  <r>
    <x v="0"/>
    <n v="1"/>
  </r>
  <r>
    <x v="1"/>
    <n v="1"/>
  </r>
  <r>
    <x v="23"/>
    <n v="1"/>
  </r>
  <r>
    <x v="7"/>
    <n v="1"/>
  </r>
  <r>
    <x v="4"/>
    <n v="1"/>
  </r>
  <r>
    <x v="17"/>
    <n v="1"/>
  </r>
  <r>
    <x v="0"/>
    <n v="1"/>
  </r>
  <r>
    <x v="0"/>
    <n v="1"/>
  </r>
  <r>
    <x v="0"/>
    <n v="1"/>
  </r>
  <r>
    <x v="39"/>
    <n v="1"/>
  </r>
  <r>
    <x v="17"/>
    <n v="1"/>
  </r>
  <r>
    <x v="4"/>
    <n v="1"/>
  </r>
  <r>
    <x v="27"/>
    <n v="1"/>
  </r>
  <r>
    <x v="0"/>
    <n v="1"/>
  </r>
  <r>
    <x v="0"/>
    <n v="1"/>
  </r>
  <r>
    <x v="2"/>
    <n v="1"/>
  </r>
  <r>
    <x v="0"/>
    <n v="1"/>
  </r>
  <r>
    <x v="0"/>
    <n v="1"/>
  </r>
  <r>
    <x v="23"/>
    <n v="1"/>
  </r>
  <r>
    <x v="2"/>
    <n v="1"/>
  </r>
  <r>
    <x v="0"/>
    <n v="1"/>
  </r>
  <r>
    <x v="6"/>
    <n v="1"/>
  </r>
  <r>
    <x v="0"/>
    <n v="1"/>
  </r>
  <r>
    <x v="2"/>
    <n v="1"/>
  </r>
  <r>
    <x v="36"/>
    <n v="1"/>
  </r>
  <r>
    <x v="27"/>
    <n v="1"/>
  </r>
  <r>
    <x v="0"/>
    <n v="1"/>
  </r>
  <r>
    <x v="2"/>
    <n v="1"/>
  </r>
  <r>
    <x v="0"/>
    <n v="1"/>
  </r>
  <r>
    <x v="0"/>
    <n v="1"/>
  </r>
  <r>
    <x v="1"/>
    <n v="1"/>
  </r>
  <r>
    <x v="0"/>
    <n v="1"/>
  </r>
  <r>
    <x v="0"/>
    <n v="1"/>
  </r>
  <r>
    <x v="2"/>
    <n v="1"/>
  </r>
  <r>
    <x v="10"/>
    <n v="1"/>
  </r>
  <r>
    <x v="2"/>
    <n v="1"/>
  </r>
  <r>
    <x v="6"/>
    <n v="1"/>
  </r>
  <r>
    <x v="0"/>
    <n v="1"/>
  </r>
  <r>
    <x v="0"/>
    <n v="1"/>
  </r>
  <r>
    <x v="0"/>
    <n v="1"/>
  </r>
  <r>
    <x v="32"/>
    <n v="1"/>
  </r>
  <r>
    <x v="10"/>
    <n v="1"/>
  </r>
  <r>
    <x v="54"/>
    <n v="1"/>
  </r>
  <r>
    <x v="0"/>
    <n v="1"/>
  </r>
  <r>
    <x v="0"/>
    <n v="1"/>
  </r>
  <r>
    <x v="2"/>
    <n v="1"/>
  </r>
  <r>
    <x v="10"/>
    <n v="1"/>
  </r>
  <r>
    <x v="26"/>
    <n v="1"/>
  </r>
  <r>
    <x v="8"/>
    <n v="1"/>
  </r>
  <r>
    <x v="2"/>
    <n v="1"/>
  </r>
  <r>
    <x v="2"/>
    <n v="1"/>
  </r>
  <r>
    <x v="0"/>
    <n v="1"/>
  </r>
  <r>
    <x v="1"/>
    <n v="1"/>
  </r>
  <r>
    <x v="0"/>
    <n v="1"/>
  </r>
  <r>
    <x v="29"/>
    <n v="1"/>
  </r>
  <r>
    <x v="1"/>
    <n v="1"/>
  </r>
  <r>
    <x v="1"/>
    <n v="1"/>
  </r>
  <r>
    <x v="0"/>
    <n v="1"/>
  </r>
  <r>
    <x v="2"/>
    <n v="1"/>
  </r>
  <r>
    <x v="9"/>
    <n v="1"/>
  </r>
  <r>
    <x v="3"/>
    <n v="1"/>
  </r>
  <r>
    <x v="13"/>
    <n v="1"/>
  </r>
  <r>
    <x v="15"/>
    <n v="1"/>
  </r>
  <r>
    <x v="0"/>
    <n v="1"/>
  </r>
  <r>
    <x v="13"/>
    <n v="1"/>
  </r>
  <r>
    <x v="1"/>
    <n v="1"/>
  </r>
  <r>
    <x v="0"/>
    <n v="1"/>
  </r>
  <r>
    <x v="1"/>
    <n v="1"/>
  </r>
  <r>
    <x v="9"/>
    <n v="1"/>
  </r>
  <r>
    <x v="8"/>
    <n v="1"/>
  </r>
  <r>
    <x v="1"/>
    <n v="1"/>
  </r>
  <r>
    <x v="2"/>
    <n v="1"/>
  </r>
  <r>
    <x v="33"/>
    <n v="1"/>
  </r>
  <r>
    <x v="0"/>
    <n v="1"/>
  </r>
  <r>
    <x v="1"/>
    <n v="1"/>
  </r>
  <r>
    <x v="2"/>
    <n v="1"/>
  </r>
  <r>
    <x v="53"/>
    <n v="1"/>
  </r>
  <r>
    <x v="31"/>
    <n v="1"/>
  </r>
  <r>
    <x v="0"/>
    <n v="1"/>
  </r>
  <r>
    <x v="29"/>
    <n v="1"/>
  </r>
  <r>
    <x v="2"/>
    <n v="1"/>
  </r>
  <r>
    <x v="10"/>
    <n v="1"/>
  </r>
  <r>
    <x v="0"/>
    <n v="1"/>
  </r>
  <r>
    <x v="16"/>
    <n v="1"/>
  </r>
  <r>
    <x v="42"/>
    <n v="1"/>
  </r>
  <r>
    <x v="0"/>
    <n v="1"/>
  </r>
  <r>
    <x v="0"/>
    <n v="1"/>
  </r>
  <r>
    <x v="0"/>
    <n v="1"/>
  </r>
  <r>
    <x v="18"/>
    <n v="1"/>
  </r>
  <r>
    <x v="0"/>
    <n v="1"/>
  </r>
  <r>
    <x v="0"/>
    <n v="1"/>
  </r>
  <r>
    <x v="2"/>
    <n v="1"/>
  </r>
  <r>
    <x v="31"/>
    <n v="1"/>
  </r>
  <r>
    <x v="2"/>
    <n v="1"/>
  </r>
  <r>
    <x v="0"/>
    <n v="1"/>
  </r>
  <r>
    <x v="10"/>
    <n v="1"/>
  </r>
  <r>
    <x v="0"/>
    <n v="1"/>
  </r>
  <r>
    <x v="0"/>
    <n v="1"/>
  </r>
  <r>
    <x v="4"/>
    <n v="1"/>
  </r>
  <r>
    <x v="33"/>
    <n v="1"/>
  </r>
  <r>
    <x v="2"/>
    <n v="1"/>
  </r>
  <r>
    <x v="26"/>
    <n v="1"/>
  </r>
  <r>
    <x v="0"/>
    <n v="1"/>
  </r>
  <r>
    <x v="0"/>
    <n v="1"/>
  </r>
  <r>
    <x v="1"/>
    <n v="1"/>
  </r>
  <r>
    <x v="0"/>
    <n v="1"/>
  </r>
  <r>
    <x v="8"/>
    <n v="1"/>
  </r>
  <r>
    <x v="0"/>
    <n v="1"/>
  </r>
  <r>
    <x v="0"/>
    <n v="1"/>
  </r>
  <r>
    <x v="7"/>
    <n v="1"/>
  </r>
  <r>
    <x v="0"/>
    <n v="1"/>
  </r>
  <r>
    <x v="0"/>
    <n v="1"/>
  </r>
  <r>
    <x v="0"/>
    <n v="1"/>
  </r>
  <r>
    <x v="33"/>
    <n v="1"/>
  </r>
  <r>
    <x v="3"/>
    <n v="1"/>
  </r>
  <r>
    <x v="3"/>
    <n v="1"/>
  </r>
  <r>
    <x v="10"/>
    <n v="1"/>
  </r>
  <r>
    <x v="24"/>
    <n v="1"/>
  </r>
  <r>
    <x v="0"/>
    <n v="1"/>
  </r>
  <r>
    <x v="10"/>
    <n v="1"/>
  </r>
  <r>
    <x v="52"/>
    <n v="1"/>
  </r>
  <r>
    <x v="55"/>
    <n v="1"/>
  </r>
  <r>
    <x v="33"/>
    <n v="1"/>
  </r>
  <r>
    <x v="0"/>
    <n v="1"/>
  </r>
  <r>
    <x v="3"/>
    <n v="1"/>
  </r>
  <r>
    <x v="52"/>
    <n v="1"/>
  </r>
  <r>
    <x v="9"/>
    <n v="1"/>
  </r>
  <r>
    <x v="0"/>
    <n v="1"/>
  </r>
  <r>
    <x v="22"/>
    <n v="1"/>
  </r>
  <r>
    <x v="56"/>
    <n v="1"/>
  </r>
  <r>
    <x v="0"/>
    <n v="1"/>
  </r>
  <r>
    <x v="32"/>
    <n v="1"/>
  </r>
  <r>
    <x v="0"/>
    <n v="1"/>
  </r>
  <r>
    <x v="0"/>
    <n v="1"/>
  </r>
  <r>
    <x v="30"/>
    <n v="1"/>
  </r>
  <r>
    <x v="2"/>
    <n v="1"/>
  </r>
  <r>
    <x v="0"/>
    <n v="1"/>
  </r>
  <r>
    <x v="1"/>
    <n v="1"/>
  </r>
  <r>
    <x v="0"/>
    <n v="1"/>
  </r>
  <r>
    <x v="13"/>
    <n v="1"/>
  </r>
  <r>
    <x v="0"/>
    <n v="1"/>
  </r>
  <r>
    <x v="2"/>
    <n v="1"/>
  </r>
  <r>
    <x v="0"/>
    <n v="1"/>
  </r>
  <r>
    <x v="0"/>
    <n v="1"/>
  </r>
  <r>
    <x v="2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2"/>
    <n v="1"/>
  </r>
  <r>
    <x v="4"/>
    <n v="1"/>
  </r>
  <r>
    <x v="0"/>
    <n v="1"/>
  </r>
  <r>
    <x v="0"/>
    <n v="1"/>
  </r>
  <r>
    <x v="0"/>
    <n v="1"/>
  </r>
  <r>
    <x v="0"/>
    <n v="1"/>
  </r>
  <r>
    <x v="1"/>
    <n v="1"/>
  </r>
  <r>
    <x v="23"/>
    <n v="1"/>
  </r>
  <r>
    <x v="0"/>
    <n v="1"/>
  </r>
  <r>
    <x v="0"/>
    <n v="1"/>
  </r>
  <r>
    <x v="27"/>
    <n v="1"/>
  </r>
  <r>
    <x v="2"/>
    <n v="1"/>
  </r>
  <r>
    <x v="6"/>
    <n v="1"/>
  </r>
  <r>
    <x v="4"/>
    <n v="1"/>
  </r>
  <r>
    <x v="0"/>
    <n v="1"/>
  </r>
  <r>
    <x v="1"/>
    <n v="1"/>
  </r>
  <r>
    <x v="0"/>
    <n v="1"/>
  </r>
  <r>
    <x v="0"/>
    <n v="1"/>
  </r>
  <r>
    <x v="31"/>
    <n v="1"/>
  </r>
  <r>
    <x v="2"/>
    <n v="1"/>
  </r>
  <r>
    <x v="0"/>
    <n v="1"/>
  </r>
  <r>
    <x v="0"/>
    <n v="1"/>
  </r>
  <r>
    <x v="13"/>
    <n v="1"/>
  </r>
  <r>
    <x v="0"/>
    <n v="1"/>
  </r>
  <r>
    <x v="0"/>
    <n v="1"/>
  </r>
  <r>
    <x v="10"/>
    <n v="1"/>
  </r>
  <r>
    <x v="2"/>
    <n v="1"/>
  </r>
  <r>
    <x v="0"/>
    <n v="1"/>
  </r>
  <r>
    <x v="11"/>
    <n v="1"/>
  </r>
  <r>
    <x v="15"/>
    <n v="1"/>
  </r>
  <r>
    <x v="0"/>
    <n v="1"/>
  </r>
  <r>
    <x v="10"/>
    <n v="1"/>
  </r>
  <r>
    <x v="4"/>
    <n v="1"/>
  </r>
  <r>
    <x v="0"/>
    <n v="1"/>
  </r>
  <r>
    <x v="19"/>
    <n v="1"/>
  </r>
  <r>
    <x v="27"/>
    <n v="1"/>
  </r>
  <r>
    <x v="13"/>
    <n v="1"/>
  </r>
  <r>
    <x v="37"/>
    <n v="1"/>
  </r>
  <r>
    <x v="2"/>
    <n v="1"/>
  </r>
  <r>
    <x v="38"/>
    <n v="1"/>
  </r>
  <r>
    <x v="6"/>
    <n v="1"/>
  </r>
  <r>
    <x v="0"/>
    <n v="1"/>
  </r>
  <r>
    <x v="21"/>
    <n v="1"/>
  </r>
  <r>
    <x v="2"/>
    <n v="1"/>
  </r>
  <r>
    <x v="0"/>
    <n v="1"/>
  </r>
  <r>
    <x v="0"/>
    <n v="1"/>
  </r>
  <r>
    <x v="7"/>
    <n v="1"/>
  </r>
  <r>
    <x v="32"/>
    <n v="1"/>
  </r>
  <r>
    <x v="6"/>
    <n v="1"/>
  </r>
  <r>
    <x v="10"/>
    <n v="1"/>
  </r>
  <r>
    <x v="23"/>
    <n v="1"/>
  </r>
  <r>
    <x v="34"/>
    <n v="1"/>
  </r>
  <r>
    <x v="0"/>
    <n v="1"/>
  </r>
  <r>
    <x v="0"/>
    <n v="1"/>
  </r>
  <r>
    <x v="1"/>
    <n v="1"/>
  </r>
  <r>
    <x v="13"/>
    <n v="1"/>
  </r>
  <r>
    <x v="6"/>
    <n v="1"/>
  </r>
  <r>
    <x v="24"/>
    <n v="1"/>
  </r>
  <r>
    <x v="12"/>
    <n v="1"/>
  </r>
  <r>
    <x v="0"/>
    <n v="1"/>
  </r>
  <r>
    <x v="0"/>
    <n v="1"/>
  </r>
  <r>
    <x v="2"/>
    <n v="1"/>
  </r>
  <r>
    <x v="24"/>
    <n v="1"/>
  </r>
  <r>
    <x v="11"/>
    <n v="1"/>
  </r>
  <r>
    <x v="2"/>
    <n v="1"/>
  </r>
  <r>
    <x v="0"/>
    <n v="1"/>
  </r>
  <r>
    <x v="13"/>
    <n v="1"/>
  </r>
  <r>
    <x v="2"/>
    <n v="1"/>
  </r>
  <r>
    <x v="0"/>
    <n v="1"/>
  </r>
  <r>
    <x v="29"/>
    <n v="1"/>
  </r>
  <r>
    <x v="0"/>
    <n v="1"/>
  </r>
  <r>
    <x v="2"/>
    <n v="1"/>
  </r>
  <r>
    <x v="2"/>
    <n v="1"/>
  </r>
  <r>
    <x v="2"/>
    <n v="1"/>
  </r>
  <r>
    <x v="2"/>
    <n v="1"/>
  </r>
  <r>
    <x v="30"/>
    <n v="1"/>
  </r>
  <r>
    <x v="0"/>
    <n v="1"/>
  </r>
  <r>
    <x v="0"/>
    <n v="1"/>
  </r>
  <r>
    <x v="0"/>
    <n v="1"/>
  </r>
  <r>
    <x v="0"/>
    <n v="1"/>
  </r>
  <r>
    <x v="50"/>
    <n v="1"/>
  </r>
  <r>
    <x v="2"/>
    <n v="1"/>
  </r>
  <r>
    <x v="0"/>
    <n v="1"/>
  </r>
  <r>
    <x v="36"/>
    <n v="1"/>
  </r>
  <r>
    <x v="2"/>
    <n v="1"/>
  </r>
  <r>
    <x v="0"/>
    <n v="1"/>
  </r>
  <r>
    <x v="7"/>
    <n v="1"/>
  </r>
  <r>
    <x v="0"/>
    <n v="1"/>
  </r>
  <r>
    <x v="2"/>
    <n v="1"/>
  </r>
  <r>
    <x v="22"/>
    <n v="1"/>
  </r>
  <r>
    <x v="2"/>
    <n v="1"/>
  </r>
  <r>
    <x v="2"/>
    <n v="1"/>
  </r>
  <r>
    <x v="33"/>
    <n v="1"/>
  </r>
  <r>
    <x v="0"/>
    <n v="1"/>
  </r>
  <r>
    <x v="0"/>
    <n v="1"/>
  </r>
  <r>
    <x v="0"/>
    <n v="1"/>
  </r>
  <r>
    <x v="0"/>
    <n v="1"/>
  </r>
  <r>
    <x v="0"/>
    <n v="1"/>
  </r>
  <r>
    <x v="2"/>
    <n v="1"/>
  </r>
  <r>
    <x v="2"/>
    <n v="1"/>
  </r>
  <r>
    <x v="31"/>
    <n v="1"/>
  </r>
  <r>
    <x v="27"/>
    <n v="1"/>
  </r>
  <r>
    <x v="2"/>
    <n v="1"/>
  </r>
  <r>
    <x v="36"/>
    <n v="1"/>
  </r>
  <r>
    <x v="9"/>
    <n v="1"/>
  </r>
  <r>
    <x v="0"/>
    <n v="1"/>
  </r>
  <r>
    <x v="2"/>
    <n v="1"/>
  </r>
  <r>
    <x v="11"/>
    <n v="1"/>
  </r>
  <r>
    <x v="1"/>
    <n v="1"/>
  </r>
  <r>
    <x v="10"/>
    <n v="1"/>
  </r>
  <r>
    <x v="0"/>
    <n v="1"/>
  </r>
  <r>
    <x v="38"/>
    <n v="1"/>
  </r>
  <r>
    <x v="2"/>
    <n v="1"/>
  </r>
  <r>
    <x v="2"/>
    <n v="1"/>
  </r>
  <r>
    <x v="0"/>
    <n v="1"/>
  </r>
  <r>
    <x v="4"/>
    <n v="1"/>
  </r>
  <r>
    <x v="2"/>
    <n v="1"/>
  </r>
  <r>
    <x v="14"/>
    <n v="1"/>
  </r>
  <r>
    <x v="30"/>
    <n v="1"/>
  </r>
  <r>
    <x v="0"/>
    <n v="1"/>
  </r>
  <r>
    <x v="2"/>
    <n v="1"/>
  </r>
  <r>
    <x v="0"/>
    <n v="1"/>
  </r>
  <r>
    <x v="27"/>
    <n v="1"/>
  </r>
  <r>
    <x v="2"/>
    <n v="1"/>
  </r>
  <r>
    <x v="2"/>
    <n v="1"/>
  </r>
  <r>
    <x v="0"/>
    <n v="1"/>
  </r>
  <r>
    <x v="8"/>
    <n v="1"/>
  </r>
  <r>
    <x v="43"/>
    <n v="1"/>
  </r>
  <r>
    <x v="12"/>
    <n v="1"/>
  </r>
  <r>
    <x v="0"/>
    <n v="1"/>
  </r>
  <r>
    <x v="2"/>
    <n v="1"/>
  </r>
  <r>
    <x v="30"/>
    <n v="1"/>
  </r>
  <r>
    <x v="1"/>
    <n v="1"/>
  </r>
  <r>
    <x v="2"/>
    <n v="1"/>
  </r>
  <r>
    <x v="2"/>
    <n v="1"/>
  </r>
  <r>
    <x v="33"/>
    <n v="1"/>
  </r>
  <r>
    <x v="0"/>
    <n v="1"/>
  </r>
  <r>
    <x v="2"/>
    <n v="1"/>
  </r>
  <r>
    <x v="2"/>
    <n v="1"/>
  </r>
  <r>
    <x v="2"/>
    <n v="1"/>
  </r>
  <r>
    <x v="2"/>
    <n v="1"/>
  </r>
  <r>
    <x v="2"/>
    <n v="1"/>
  </r>
  <r>
    <x v="0"/>
    <n v="1"/>
  </r>
  <r>
    <x v="7"/>
    <n v="1"/>
  </r>
  <r>
    <x v="0"/>
    <n v="1"/>
  </r>
  <r>
    <x v="1"/>
    <n v="1"/>
  </r>
  <r>
    <x v="36"/>
    <n v="1"/>
  </r>
  <r>
    <x v="2"/>
    <n v="1"/>
  </r>
  <r>
    <x v="29"/>
    <n v="1"/>
  </r>
  <r>
    <x v="8"/>
    <n v="1"/>
  </r>
  <r>
    <x v="29"/>
    <n v="1"/>
  </r>
  <r>
    <x v="2"/>
    <n v="1"/>
  </r>
  <r>
    <x v="0"/>
    <n v="1"/>
  </r>
  <r>
    <x v="1"/>
    <n v="1"/>
  </r>
  <r>
    <x v="57"/>
    <n v="1"/>
  </r>
  <r>
    <x v="0"/>
    <n v="1"/>
  </r>
  <r>
    <x v="0"/>
    <n v="1"/>
  </r>
  <r>
    <x v="10"/>
    <n v="1"/>
  </r>
  <r>
    <x v="13"/>
    <n v="1"/>
  </r>
  <r>
    <x v="0"/>
    <n v="1"/>
  </r>
  <r>
    <x v="4"/>
    <n v="1"/>
  </r>
  <r>
    <x v="4"/>
    <n v="1"/>
  </r>
  <r>
    <x v="11"/>
    <n v="1"/>
  </r>
  <r>
    <x v="30"/>
    <n v="1"/>
  </r>
  <r>
    <x v="33"/>
    <n v="1"/>
  </r>
  <r>
    <x v="0"/>
    <n v="1"/>
  </r>
  <r>
    <x v="0"/>
    <n v="1"/>
  </r>
  <r>
    <x v="13"/>
    <n v="1"/>
  </r>
  <r>
    <x v="36"/>
    <n v="1"/>
  </r>
  <r>
    <x v="0"/>
    <n v="1"/>
  </r>
  <r>
    <x v="0"/>
    <n v="1"/>
  </r>
  <r>
    <x v="2"/>
    <n v="1"/>
  </r>
  <r>
    <x v="0"/>
    <n v="1"/>
  </r>
  <r>
    <x v="2"/>
    <n v="1"/>
  </r>
  <r>
    <x v="0"/>
    <n v="1"/>
  </r>
  <r>
    <x v="2"/>
    <n v="1"/>
  </r>
  <r>
    <x v="0"/>
    <n v="1"/>
  </r>
  <r>
    <x v="0"/>
    <n v="1"/>
  </r>
  <r>
    <x v="36"/>
    <n v="1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30"/>
    <n v="1"/>
  </r>
  <r>
    <x v="2"/>
    <n v="1"/>
  </r>
  <r>
    <x v="0"/>
    <n v="1"/>
  </r>
  <r>
    <x v="2"/>
    <n v="1"/>
  </r>
  <r>
    <x v="0"/>
    <n v="1"/>
  </r>
  <r>
    <x v="0"/>
    <n v="1"/>
  </r>
  <r>
    <x v="2"/>
    <n v="1"/>
  </r>
  <r>
    <x v="13"/>
    <n v="1"/>
  </r>
  <r>
    <x v="24"/>
    <n v="1"/>
  </r>
  <r>
    <x v="0"/>
    <n v="1"/>
  </r>
  <r>
    <x v="6"/>
    <n v="1"/>
  </r>
  <r>
    <x v="0"/>
    <n v="1"/>
  </r>
  <r>
    <x v="30"/>
    <n v="1"/>
  </r>
  <r>
    <x v="2"/>
    <n v="1"/>
  </r>
  <r>
    <x v="2"/>
    <n v="1"/>
  </r>
  <r>
    <x v="2"/>
    <n v="1"/>
  </r>
  <r>
    <x v="2"/>
    <n v="1"/>
  </r>
  <r>
    <x v="10"/>
    <n v="1"/>
  </r>
  <r>
    <x v="2"/>
    <n v="1"/>
  </r>
  <r>
    <x v="0"/>
    <n v="1"/>
  </r>
  <r>
    <x v="13"/>
    <n v="1"/>
  </r>
  <r>
    <x v="2"/>
    <n v="1"/>
  </r>
  <r>
    <x v="2"/>
    <n v="1"/>
  </r>
  <r>
    <x v="0"/>
    <n v="1"/>
  </r>
  <r>
    <x v="2"/>
    <n v="1"/>
  </r>
  <r>
    <x v="0"/>
    <n v="1"/>
  </r>
  <r>
    <x v="0"/>
    <n v="1"/>
  </r>
  <r>
    <x v="0"/>
    <n v="1"/>
  </r>
  <r>
    <x v="2"/>
    <n v="1"/>
  </r>
  <r>
    <x v="22"/>
    <n v="1"/>
  </r>
  <r>
    <x v="11"/>
    <n v="1"/>
  </r>
  <r>
    <x v="2"/>
    <n v="1"/>
  </r>
  <r>
    <x v="0"/>
    <n v="1"/>
  </r>
  <r>
    <x v="1"/>
    <n v="1"/>
  </r>
  <r>
    <x v="2"/>
    <n v="1"/>
  </r>
  <r>
    <x v="52"/>
    <n v="1"/>
  </r>
  <r>
    <x v="2"/>
    <n v="1"/>
  </r>
  <r>
    <x v="2"/>
    <n v="1"/>
  </r>
  <r>
    <x v="24"/>
    <n v="1"/>
  </r>
  <r>
    <x v="12"/>
    <n v="1"/>
  </r>
  <r>
    <x v="0"/>
    <n v="1"/>
  </r>
  <r>
    <x v="2"/>
    <n v="1"/>
  </r>
  <r>
    <x v="2"/>
    <n v="1"/>
  </r>
  <r>
    <x v="0"/>
    <n v="1"/>
  </r>
  <r>
    <x v="2"/>
    <n v="1"/>
  </r>
  <r>
    <x v="1"/>
    <n v="1"/>
  </r>
  <r>
    <x v="22"/>
    <n v="1"/>
  </r>
  <r>
    <x v="2"/>
    <n v="1"/>
  </r>
  <r>
    <x v="2"/>
    <n v="1"/>
  </r>
  <r>
    <x v="58"/>
    <n v="1"/>
  </r>
  <r>
    <x v="0"/>
    <n v="1"/>
  </r>
  <r>
    <x v="15"/>
    <n v="1"/>
  </r>
  <r>
    <x v="0"/>
    <n v="1"/>
  </r>
  <r>
    <x v="0"/>
    <n v="1"/>
  </r>
  <r>
    <x v="0"/>
    <n v="1"/>
  </r>
  <r>
    <x v="43"/>
    <n v="1"/>
  </r>
  <r>
    <x v="2"/>
    <n v="1"/>
  </r>
  <r>
    <x v="7"/>
    <n v="1"/>
  </r>
  <r>
    <x v="0"/>
    <n v="1"/>
  </r>
  <r>
    <x v="2"/>
    <n v="1"/>
  </r>
  <r>
    <x v="3"/>
    <n v="1"/>
  </r>
  <r>
    <x v="10"/>
    <n v="1"/>
  </r>
  <r>
    <x v="0"/>
    <n v="1"/>
  </r>
  <r>
    <x v="2"/>
    <n v="1"/>
  </r>
  <r>
    <x v="0"/>
    <n v="1"/>
  </r>
  <r>
    <x v="2"/>
    <n v="1"/>
  </r>
  <r>
    <x v="2"/>
    <n v="1"/>
  </r>
  <r>
    <x v="2"/>
    <n v="1"/>
  </r>
  <r>
    <x v="0"/>
    <n v="1"/>
  </r>
  <r>
    <x v="1"/>
    <n v="1"/>
  </r>
  <r>
    <x v="2"/>
    <n v="1"/>
  </r>
  <r>
    <x v="2"/>
    <n v="1"/>
  </r>
  <r>
    <x v="0"/>
    <n v="1"/>
  </r>
  <r>
    <x v="11"/>
    <n v="1"/>
  </r>
  <r>
    <x v="0"/>
    <n v="1"/>
  </r>
  <r>
    <x v="0"/>
    <n v="1"/>
  </r>
  <r>
    <x v="1"/>
    <n v="1"/>
  </r>
  <r>
    <x v="1"/>
    <n v="1"/>
  </r>
  <r>
    <x v="10"/>
    <n v="1"/>
  </r>
  <r>
    <x v="2"/>
    <n v="1"/>
  </r>
  <r>
    <x v="13"/>
    <n v="1"/>
  </r>
  <r>
    <x v="0"/>
    <n v="1"/>
  </r>
  <r>
    <x v="2"/>
    <n v="1"/>
  </r>
  <r>
    <x v="0"/>
    <n v="1"/>
  </r>
  <r>
    <x v="23"/>
    <n v="1"/>
  </r>
  <r>
    <x v="2"/>
    <n v="1"/>
  </r>
  <r>
    <x v="0"/>
    <n v="1"/>
  </r>
  <r>
    <x v="0"/>
    <n v="1"/>
  </r>
  <r>
    <x v="2"/>
    <n v="1"/>
  </r>
  <r>
    <x v="0"/>
    <n v="1"/>
  </r>
  <r>
    <x v="1"/>
    <n v="1"/>
  </r>
  <r>
    <x v="0"/>
    <n v="1"/>
  </r>
  <r>
    <x v="0"/>
    <n v="1"/>
  </r>
  <r>
    <x v="33"/>
    <n v="1"/>
  </r>
  <r>
    <x v="2"/>
    <n v="1"/>
  </r>
  <r>
    <x v="0"/>
    <n v="1"/>
  </r>
  <r>
    <x v="12"/>
    <n v="1"/>
  </r>
  <r>
    <x v="0"/>
    <n v="1"/>
  </r>
  <r>
    <x v="0"/>
    <n v="1"/>
  </r>
  <r>
    <x v="2"/>
    <n v="1"/>
  </r>
  <r>
    <x v="10"/>
    <n v="1"/>
  </r>
  <r>
    <x v="0"/>
    <n v="1"/>
  </r>
  <r>
    <x v="36"/>
    <n v="1"/>
  </r>
  <r>
    <x v="2"/>
    <n v="1"/>
  </r>
  <r>
    <x v="0"/>
    <n v="1"/>
  </r>
  <r>
    <x v="8"/>
    <n v="1"/>
  </r>
  <r>
    <x v="2"/>
    <n v="1"/>
  </r>
  <r>
    <x v="1"/>
    <n v="1"/>
  </r>
  <r>
    <x v="37"/>
    <n v="1"/>
  </r>
  <r>
    <x v="0"/>
    <n v="1"/>
  </r>
  <r>
    <x v="0"/>
    <n v="1"/>
  </r>
  <r>
    <x v="2"/>
    <n v="1"/>
  </r>
  <r>
    <x v="0"/>
    <n v="1"/>
  </r>
  <r>
    <x v="0"/>
    <n v="1"/>
  </r>
  <r>
    <x v="0"/>
    <n v="1"/>
  </r>
  <r>
    <x v="16"/>
    <n v="1"/>
  </r>
  <r>
    <x v="29"/>
    <n v="1"/>
  </r>
  <r>
    <x v="29"/>
    <n v="1"/>
  </r>
  <r>
    <x v="2"/>
    <n v="1"/>
  </r>
  <r>
    <x v="0"/>
    <n v="1"/>
  </r>
  <r>
    <x v="2"/>
    <n v="1"/>
  </r>
  <r>
    <x v="30"/>
    <n v="1"/>
  </r>
  <r>
    <x v="0"/>
    <n v="1"/>
  </r>
  <r>
    <x v="0"/>
    <n v="1"/>
  </r>
  <r>
    <x v="13"/>
    <n v="1"/>
  </r>
  <r>
    <x v="0"/>
    <n v="1"/>
  </r>
  <r>
    <x v="36"/>
    <n v="1"/>
  </r>
  <r>
    <x v="15"/>
    <n v="1"/>
  </r>
  <r>
    <x v="7"/>
    <n v="1"/>
  </r>
  <r>
    <x v="15"/>
    <n v="1"/>
  </r>
  <r>
    <x v="2"/>
    <n v="1"/>
  </r>
  <r>
    <x v="0"/>
    <n v="1"/>
  </r>
  <r>
    <x v="23"/>
    <n v="1"/>
  </r>
  <r>
    <x v="13"/>
    <n v="1"/>
  </r>
  <r>
    <x v="2"/>
    <n v="1"/>
  </r>
  <r>
    <x v="1"/>
    <n v="1"/>
  </r>
  <r>
    <x v="2"/>
    <n v="1"/>
  </r>
  <r>
    <x v="11"/>
    <n v="1"/>
  </r>
  <r>
    <x v="2"/>
    <n v="1"/>
  </r>
  <r>
    <x v="22"/>
    <n v="1"/>
  </r>
  <r>
    <x v="0"/>
    <n v="1"/>
  </r>
  <r>
    <x v="3"/>
    <n v="1"/>
  </r>
  <r>
    <x v="2"/>
    <n v="1"/>
  </r>
  <r>
    <x v="0"/>
    <n v="1"/>
  </r>
  <r>
    <x v="1"/>
    <n v="1"/>
  </r>
  <r>
    <x v="43"/>
    <n v="1"/>
  </r>
  <r>
    <x v="2"/>
    <n v="1"/>
  </r>
  <r>
    <x v="0"/>
    <n v="1"/>
  </r>
  <r>
    <x v="0"/>
    <n v="1"/>
  </r>
  <r>
    <x v="0"/>
    <n v="1"/>
  </r>
  <r>
    <x v="2"/>
    <n v="1"/>
  </r>
  <r>
    <x v="50"/>
    <n v="1"/>
  </r>
  <r>
    <x v="8"/>
    <n v="1"/>
  </r>
  <r>
    <x v="2"/>
    <n v="1"/>
  </r>
  <r>
    <x v="0"/>
    <n v="1"/>
  </r>
  <r>
    <x v="2"/>
    <n v="1"/>
  </r>
  <r>
    <x v="59"/>
    <n v="1"/>
  </r>
  <r>
    <x v="1"/>
    <n v="1"/>
  </r>
  <r>
    <x v="0"/>
    <n v="1"/>
  </r>
  <r>
    <x v="46"/>
    <n v="1"/>
  </r>
  <r>
    <x v="35"/>
    <n v="1"/>
  </r>
  <r>
    <x v="0"/>
    <n v="1"/>
  </r>
  <r>
    <x v="2"/>
    <n v="1"/>
  </r>
  <r>
    <x v="15"/>
    <n v="1"/>
  </r>
  <r>
    <x v="7"/>
    <n v="1"/>
  </r>
  <r>
    <x v="0"/>
    <n v="1"/>
  </r>
  <r>
    <x v="12"/>
    <n v="1"/>
  </r>
  <r>
    <x v="0"/>
    <n v="1"/>
  </r>
  <r>
    <x v="7"/>
    <n v="1"/>
  </r>
  <r>
    <x v="24"/>
    <n v="1"/>
  </r>
  <r>
    <x v="1"/>
    <n v="1"/>
  </r>
  <r>
    <x v="38"/>
    <n v="1"/>
  </r>
  <r>
    <x v="1"/>
    <n v="1"/>
  </r>
  <r>
    <x v="2"/>
    <n v="1"/>
  </r>
  <r>
    <x v="29"/>
    <n v="1"/>
  </r>
  <r>
    <x v="2"/>
    <n v="1"/>
  </r>
  <r>
    <x v="0"/>
    <n v="1"/>
  </r>
  <r>
    <x v="10"/>
    <n v="1"/>
  </r>
  <r>
    <x v="36"/>
    <n v="1"/>
  </r>
  <r>
    <x v="0"/>
    <n v="1"/>
  </r>
  <r>
    <x v="0"/>
    <n v="1"/>
  </r>
  <r>
    <x v="0"/>
    <n v="1"/>
  </r>
  <r>
    <x v="7"/>
    <n v="1"/>
  </r>
  <r>
    <x v="0"/>
    <n v="1"/>
  </r>
  <r>
    <x v="2"/>
    <n v="1"/>
  </r>
  <r>
    <x v="0"/>
    <n v="1"/>
  </r>
  <r>
    <x v="2"/>
    <n v="1"/>
  </r>
  <r>
    <x v="29"/>
    <n v="1"/>
  </r>
  <r>
    <x v="9"/>
    <n v="1"/>
  </r>
  <r>
    <x v="2"/>
    <n v="1"/>
  </r>
  <r>
    <x v="10"/>
    <n v="1"/>
  </r>
  <r>
    <x v="1"/>
    <n v="1"/>
  </r>
  <r>
    <x v="2"/>
    <n v="1"/>
  </r>
  <r>
    <x v="9"/>
    <n v="1"/>
  </r>
  <r>
    <x v="29"/>
    <n v="1"/>
  </r>
  <r>
    <x v="2"/>
    <n v="1"/>
  </r>
  <r>
    <x v="0"/>
    <n v="1"/>
  </r>
  <r>
    <x v="24"/>
    <n v="1"/>
  </r>
  <r>
    <x v="8"/>
    <n v="1"/>
  </r>
  <r>
    <x v="1"/>
    <n v="1"/>
  </r>
  <r>
    <x v="13"/>
    <n v="1"/>
  </r>
  <r>
    <x v="2"/>
    <n v="1"/>
  </r>
  <r>
    <x v="0"/>
    <n v="1"/>
  </r>
  <r>
    <x v="0"/>
    <n v="1"/>
  </r>
  <r>
    <x v="0"/>
    <n v="1"/>
  </r>
  <r>
    <x v="2"/>
    <n v="1"/>
  </r>
  <r>
    <x v="2"/>
    <n v="1"/>
  </r>
  <r>
    <x v="32"/>
    <n v="1"/>
  </r>
  <r>
    <x v="21"/>
    <n v="1"/>
  </r>
  <r>
    <x v="15"/>
    <n v="1"/>
  </r>
  <r>
    <x v="21"/>
    <n v="1"/>
  </r>
  <r>
    <x v="3"/>
    <n v="1"/>
  </r>
  <r>
    <x v="15"/>
    <n v="1"/>
  </r>
  <r>
    <x v="2"/>
    <n v="1"/>
  </r>
  <r>
    <x v="1"/>
    <n v="1"/>
  </r>
  <r>
    <x v="0"/>
    <n v="1"/>
  </r>
  <r>
    <x v="0"/>
    <n v="1"/>
  </r>
  <r>
    <x v="27"/>
    <n v="1"/>
  </r>
  <r>
    <x v="0"/>
    <n v="1"/>
  </r>
  <r>
    <x v="2"/>
    <n v="1"/>
  </r>
  <r>
    <x v="0"/>
    <n v="1"/>
  </r>
  <r>
    <x v="0"/>
    <n v="1"/>
  </r>
  <r>
    <x v="43"/>
    <n v="1"/>
  </r>
  <r>
    <x v="2"/>
    <n v="1"/>
  </r>
  <r>
    <x v="0"/>
    <n v="1"/>
  </r>
  <r>
    <x v="0"/>
    <n v="1"/>
  </r>
  <r>
    <x v="10"/>
    <n v="1"/>
  </r>
  <r>
    <x v="9"/>
    <n v="1"/>
  </r>
  <r>
    <x v="1"/>
    <n v="1"/>
  </r>
  <r>
    <x v="42"/>
    <n v="1"/>
  </r>
  <r>
    <x v="0"/>
    <n v="1"/>
  </r>
  <r>
    <x v="2"/>
    <n v="1"/>
  </r>
  <r>
    <x v="14"/>
    <n v="1"/>
  </r>
  <r>
    <x v="0"/>
    <n v="1"/>
  </r>
  <r>
    <x v="0"/>
    <n v="1"/>
  </r>
  <r>
    <x v="3"/>
    <n v="1"/>
  </r>
  <r>
    <x v="24"/>
    <n v="1"/>
  </r>
  <r>
    <x v="16"/>
    <n v="1"/>
  </r>
  <r>
    <x v="37"/>
    <n v="1"/>
  </r>
  <r>
    <x v="60"/>
    <n v="1"/>
  </r>
  <r>
    <x v="0"/>
    <n v="1"/>
  </r>
  <r>
    <x v="2"/>
    <n v="1"/>
  </r>
  <r>
    <x v="7"/>
    <n v="1"/>
  </r>
  <r>
    <x v="1"/>
    <n v="1"/>
  </r>
  <r>
    <x v="0"/>
    <n v="1"/>
  </r>
  <r>
    <x v="2"/>
    <n v="1"/>
  </r>
  <r>
    <x v="47"/>
    <n v="1"/>
  </r>
  <r>
    <x v="0"/>
    <n v="1"/>
  </r>
  <r>
    <x v="33"/>
    <n v="1"/>
  </r>
  <r>
    <x v="2"/>
    <n v="1"/>
  </r>
  <r>
    <x v="0"/>
    <n v="1"/>
  </r>
  <r>
    <x v="1"/>
    <n v="1"/>
  </r>
  <r>
    <x v="47"/>
    <n v="1"/>
  </r>
  <r>
    <x v="4"/>
    <n v="1"/>
  </r>
  <r>
    <x v="0"/>
    <n v="1"/>
  </r>
  <r>
    <x v="3"/>
    <n v="1"/>
  </r>
  <r>
    <x v="7"/>
    <n v="1"/>
  </r>
  <r>
    <x v="2"/>
    <n v="1"/>
  </r>
  <r>
    <x v="13"/>
    <n v="1"/>
  </r>
  <r>
    <x v="8"/>
    <n v="1"/>
  </r>
  <r>
    <x v="3"/>
    <n v="1"/>
  </r>
  <r>
    <x v="0"/>
    <n v="1"/>
  </r>
  <r>
    <x v="7"/>
    <n v="1"/>
  </r>
  <r>
    <x v="2"/>
    <n v="1"/>
  </r>
  <r>
    <x v="38"/>
    <n v="1"/>
  </r>
  <r>
    <x v="0"/>
    <n v="1"/>
  </r>
  <r>
    <x v="0"/>
    <n v="1"/>
  </r>
  <r>
    <x v="6"/>
    <n v="1"/>
  </r>
  <r>
    <x v="11"/>
    <n v="1"/>
  </r>
  <r>
    <x v="13"/>
    <n v="1"/>
  </r>
  <r>
    <x v="27"/>
    <n v="1"/>
  </r>
  <r>
    <x v="29"/>
    <n v="1"/>
  </r>
  <r>
    <x v="0"/>
    <n v="1"/>
  </r>
  <r>
    <x v="10"/>
    <n v="1"/>
  </r>
  <r>
    <x v="8"/>
    <n v="1"/>
  </r>
  <r>
    <x v="4"/>
    <n v="1"/>
  </r>
  <r>
    <x v="21"/>
    <n v="1"/>
  </r>
  <r>
    <x v="2"/>
    <n v="1"/>
  </r>
  <r>
    <x v="27"/>
    <n v="1"/>
  </r>
  <r>
    <x v="27"/>
    <n v="1"/>
  </r>
  <r>
    <x v="0"/>
    <n v="1"/>
  </r>
  <r>
    <x v="2"/>
    <n v="1"/>
  </r>
  <r>
    <x v="57"/>
    <n v="1"/>
  </r>
  <r>
    <x v="2"/>
    <n v="1"/>
  </r>
  <r>
    <x v="2"/>
    <n v="1"/>
  </r>
  <r>
    <x v="0"/>
    <n v="1"/>
  </r>
  <r>
    <x v="0"/>
    <n v="1"/>
  </r>
  <r>
    <x v="15"/>
    <n v="1"/>
  </r>
  <r>
    <x v="9"/>
    <n v="1"/>
  </r>
  <r>
    <x v="7"/>
    <n v="1"/>
  </r>
  <r>
    <x v="1"/>
    <n v="1"/>
  </r>
  <r>
    <x v="35"/>
    <n v="1"/>
  </r>
  <r>
    <x v="2"/>
    <n v="1"/>
  </r>
  <r>
    <x v="27"/>
    <n v="1"/>
  </r>
  <r>
    <x v="6"/>
    <n v="1"/>
  </r>
  <r>
    <x v="27"/>
    <n v="1"/>
  </r>
  <r>
    <x v="6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893F0-07BE-4ABB-8DD6-86C1A55F5055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:F1196" firstHeaderRow="1" firstDataRow="1" firstDataCol="1"/>
  <pivotFields count="2">
    <pivotField axis="axisRow" showAll="0">
      <items count="1196"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h="1" x="1194"/>
        <item t="default"/>
      </items>
    </pivotField>
    <pivotField dataField="1" showAll="0"/>
  </pivotFields>
  <rowFields count="1">
    <field x="0"/>
  </rowFields>
  <rowItems count="11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 t="grand">
      <x/>
    </i>
  </rowItems>
  <colItems count="1">
    <i/>
  </colItems>
  <dataFields count="1">
    <dataField name="Suma de conteo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98E19-36F6-4E1B-86D7-803AD38A75AE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CTORES">
  <location ref="O4:P32" firstHeaderRow="1" firstDataRow="1" firstDataCol="1"/>
  <pivotFields count="2">
    <pivotField axis="axisRow" showAll="0">
      <items count="29">
        <item x="19"/>
        <item x="0"/>
        <item x="22"/>
        <item x="21"/>
        <item x="18"/>
        <item x="1"/>
        <item x="24"/>
        <item x="4"/>
        <item x="5"/>
        <item x="9"/>
        <item x="8"/>
        <item x="17"/>
        <item x="25"/>
        <item x="23"/>
        <item x="13"/>
        <item x="2"/>
        <item x="20"/>
        <item x="12"/>
        <item x="3"/>
        <item x="6"/>
        <item x="14"/>
        <item x="11"/>
        <item x="7"/>
        <item x="10"/>
        <item x="26"/>
        <item x="16"/>
        <item x="15"/>
        <item h="1" x="27"/>
        <item t="default"/>
      </items>
    </pivotField>
    <pivotField dataField="1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ni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7B574-FDE3-4902-9EB5-CC34AE4ED78A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aís">
  <location ref="AM4:AN66" firstHeaderRow="1" firstDataRow="1" firstDataCol="1"/>
  <pivotFields count="2">
    <pivotField axis="axisRow" showAll="0">
      <items count="63">
        <item x="46"/>
        <item x="15"/>
        <item x="20"/>
        <item x="32"/>
        <item x="58"/>
        <item x="17"/>
        <item x="12"/>
        <item x="21"/>
        <item x="13"/>
        <item x="52"/>
        <item x="47"/>
        <item x="11"/>
        <item x="53"/>
        <item x="22"/>
        <item x="14"/>
        <item x="6"/>
        <item x="56"/>
        <item x="7"/>
        <item x="38"/>
        <item x="24"/>
        <item x="49"/>
        <item x="27"/>
        <item x="42"/>
        <item x="26"/>
        <item x="40"/>
        <item x="43"/>
        <item x="8"/>
        <item x="2"/>
        <item x="48"/>
        <item x="18"/>
        <item x="50"/>
        <item x="41"/>
        <item x="39"/>
        <item x="36"/>
        <item x="33"/>
        <item x="4"/>
        <item x="5"/>
        <item x="45"/>
        <item x="19"/>
        <item x="54"/>
        <item x="28"/>
        <item x="60"/>
        <item x="57"/>
        <item x="51"/>
        <item x="34"/>
        <item x="16"/>
        <item x="30"/>
        <item x="31"/>
        <item x="10"/>
        <item x="9"/>
        <item x="23"/>
        <item x="3"/>
        <item x="29"/>
        <item x="35"/>
        <item x="37"/>
        <item x="1"/>
        <item x="25"/>
        <item x="44"/>
        <item x="55"/>
        <item x="0"/>
        <item x="59"/>
        <item h="1" x="61"/>
        <item t="default"/>
      </items>
    </pivotField>
    <pivotField dataField="1" showAll="0"/>
  </pivotFields>
  <rowFields count="1">
    <field x="0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a de conteo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zoomScaleNormal="100" workbookViewId="0">
      <selection activeCell="K25" sqref="K25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>
        <v>2</v>
      </c>
      <c r="B3">
        <v>2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3">
      <c r="A4">
        <v>3</v>
      </c>
      <c r="B4">
        <v>3</v>
      </c>
      <c r="C4" t="s">
        <v>22</v>
      </c>
      <c r="D4" t="s">
        <v>10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  <row r="5" spans="1:9" x14ac:dyDescent="0.3">
      <c r="A5">
        <v>4</v>
      </c>
      <c r="B5">
        <v>4</v>
      </c>
      <c r="C5" t="s">
        <v>28</v>
      </c>
      <c r="D5" t="s">
        <v>10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</row>
    <row r="6" spans="1:9" x14ac:dyDescent="0.3">
      <c r="A6">
        <v>5</v>
      </c>
      <c r="B6">
        <v>5</v>
      </c>
      <c r="C6" t="s">
        <v>34</v>
      </c>
      <c r="D6" t="s">
        <v>35</v>
      </c>
      <c r="E6" t="s">
        <v>29</v>
      </c>
      <c r="F6" t="s">
        <v>36</v>
      </c>
      <c r="G6" t="s">
        <v>37</v>
      </c>
      <c r="H6" t="s">
        <v>38</v>
      </c>
      <c r="I6" t="s">
        <v>39</v>
      </c>
    </row>
    <row r="7" spans="1:9" x14ac:dyDescent="0.3">
      <c r="A7">
        <v>6</v>
      </c>
      <c r="B7">
        <v>6</v>
      </c>
      <c r="C7" t="s">
        <v>40</v>
      </c>
      <c r="D7" t="s">
        <v>10</v>
      </c>
      <c r="E7" t="s">
        <v>11</v>
      </c>
      <c r="F7" t="s">
        <v>41</v>
      </c>
      <c r="G7" t="s">
        <v>42</v>
      </c>
      <c r="H7" t="s">
        <v>43</v>
      </c>
      <c r="I7" t="s">
        <v>44</v>
      </c>
    </row>
    <row r="8" spans="1:9" x14ac:dyDescent="0.3">
      <c r="A8">
        <v>7</v>
      </c>
      <c r="B8">
        <v>7</v>
      </c>
      <c r="C8" t="s">
        <v>45</v>
      </c>
      <c r="D8" t="s">
        <v>35</v>
      </c>
      <c r="E8" t="s">
        <v>11</v>
      </c>
      <c r="F8" t="s">
        <v>46</v>
      </c>
      <c r="G8" t="s">
        <v>47</v>
      </c>
      <c r="H8" t="s">
        <v>48</v>
      </c>
      <c r="I8" t="s">
        <v>49</v>
      </c>
    </row>
    <row r="9" spans="1:9" x14ac:dyDescent="0.3">
      <c r="A9">
        <v>8</v>
      </c>
      <c r="B9">
        <v>8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</row>
    <row r="10" spans="1:9" x14ac:dyDescent="0.3">
      <c r="A10">
        <v>9</v>
      </c>
      <c r="B10">
        <v>9</v>
      </c>
      <c r="C10" t="s">
        <v>57</v>
      </c>
      <c r="D10" t="s">
        <v>10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</row>
    <row r="11" spans="1:9" x14ac:dyDescent="0.3">
      <c r="A11">
        <v>10</v>
      </c>
      <c r="B11">
        <v>10</v>
      </c>
      <c r="C11" t="s">
        <v>63</v>
      </c>
      <c r="D11" t="s">
        <v>10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</row>
    <row r="12" spans="1:9" x14ac:dyDescent="0.3">
      <c r="A12">
        <v>11</v>
      </c>
      <c r="B12">
        <v>11</v>
      </c>
      <c r="C12" t="s">
        <v>69</v>
      </c>
      <c r="D12" t="s">
        <v>70</v>
      </c>
      <c r="E12" t="s">
        <v>58</v>
      </c>
      <c r="F12" t="s">
        <v>71</v>
      </c>
      <c r="G12" t="s">
        <v>72</v>
      </c>
      <c r="H12" t="s">
        <v>73</v>
      </c>
      <c r="I12" t="s">
        <v>74</v>
      </c>
    </row>
    <row r="13" spans="1:9" x14ac:dyDescent="0.3">
      <c r="A13">
        <v>12</v>
      </c>
      <c r="B13">
        <v>12</v>
      </c>
      <c r="C13" t="s">
        <v>75</v>
      </c>
      <c r="D13" t="s">
        <v>76</v>
      </c>
      <c r="E13" t="s">
        <v>58</v>
      </c>
      <c r="F13" t="s">
        <v>77</v>
      </c>
      <c r="G13" t="s">
        <v>78</v>
      </c>
      <c r="H13" t="s">
        <v>79</v>
      </c>
      <c r="I13" t="s">
        <v>80</v>
      </c>
    </row>
    <row r="14" spans="1:9" x14ac:dyDescent="0.3">
      <c r="A14">
        <v>13</v>
      </c>
      <c r="B14">
        <v>13</v>
      </c>
      <c r="C14" t="s">
        <v>81</v>
      </c>
      <c r="D14" t="s">
        <v>82</v>
      </c>
      <c r="E14" t="s">
        <v>29</v>
      </c>
      <c r="F14" t="s">
        <v>83</v>
      </c>
      <c r="G14" t="s">
        <v>84</v>
      </c>
      <c r="H14" t="s">
        <v>85</v>
      </c>
      <c r="I14" t="s">
        <v>86</v>
      </c>
    </row>
    <row r="15" spans="1:9" x14ac:dyDescent="0.3">
      <c r="A15">
        <v>14</v>
      </c>
      <c r="B15">
        <v>14</v>
      </c>
      <c r="C15" t="s">
        <v>87</v>
      </c>
      <c r="D15" t="s">
        <v>10</v>
      </c>
      <c r="E15" t="s">
        <v>23</v>
      </c>
      <c r="F15" t="s">
        <v>88</v>
      </c>
      <c r="G15" t="s">
        <v>89</v>
      </c>
      <c r="H15" t="s">
        <v>90</v>
      </c>
      <c r="I15" t="s">
        <v>91</v>
      </c>
    </row>
    <row r="16" spans="1:9" x14ac:dyDescent="0.3">
      <c r="A16">
        <v>15</v>
      </c>
      <c r="B16">
        <v>15</v>
      </c>
      <c r="C16" t="s">
        <v>92</v>
      </c>
      <c r="D16" t="s">
        <v>10</v>
      </c>
      <c r="E16" t="s">
        <v>11</v>
      </c>
      <c r="F16" t="s">
        <v>93</v>
      </c>
      <c r="G16" t="s">
        <v>94</v>
      </c>
      <c r="H16" t="s">
        <v>95</v>
      </c>
      <c r="I16" t="s">
        <v>96</v>
      </c>
    </row>
    <row r="17" spans="1:9" x14ac:dyDescent="0.3">
      <c r="A17">
        <v>16</v>
      </c>
      <c r="B17">
        <v>16</v>
      </c>
      <c r="C17" t="s">
        <v>97</v>
      </c>
      <c r="D17" t="s">
        <v>10</v>
      </c>
      <c r="E17" t="s">
        <v>98</v>
      </c>
      <c r="F17" t="s">
        <v>99</v>
      </c>
      <c r="G17" t="s">
        <v>100</v>
      </c>
      <c r="H17" t="s">
        <v>101</v>
      </c>
      <c r="I17" t="s">
        <v>102</v>
      </c>
    </row>
    <row r="18" spans="1:9" x14ac:dyDescent="0.3">
      <c r="A18">
        <v>17</v>
      </c>
      <c r="B18">
        <v>17</v>
      </c>
      <c r="C18" t="s">
        <v>103</v>
      </c>
      <c r="D18" t="s">
        <v>104</v>
      </c>
      <c r="E18" t="s">
        <v>29</v>
      </c>
      <c r="F18" t="s">
        <v>105</v>
      </c>
      <c r="G18" t="s">
        <v>106</v>
      </c>
      <c r="H18" t="s">
        <v>107</v>
      </c>
      <c r="I18" t="s">
        <v>108</v>
      </c>
    </row>
    <row r="19" spans="1:9" x14ac:dyDescent="0.3">
      <c r="A19">
        <v>18</v>
      </c>
      <c r="B19">
        <v>18</v>
      </c>
      <c r="C19" t="s">
        <v>109</v>
      </c>
      <c r="D19" t="s">
        <v>104</v>
      </c>
      <c r="E19" t="s">
        <v>11</v>
      </c>
      <c r="F19" t="s">
        <v>110</v>
      </c>
      <c r="G19" t="s">
        <v>78</v>
      </c>
      <c r="H19" t="s">
        <v>111</v>
      </c>
      <c r="I19" t="s">
        <v>112</v>
      </c>
    </row>
    <row r="20" spans="1:9" x14ac:dyDescent="0.3">
      <c r="A20">
        <v>19</v>
      </c>
      <c r="B20">
        <v>19</v>
      </c>
      <c r="C20" t="s">
        <v>113</v>
      </c>
      <c r="D20" t="s">
        <v>35</v>
      </c>
      <c r="E20" t="s">
        <v>11</v>
      </c>
      <c r="F20" t="s">
        <v>114</v>
      </c>
      <c r="G20" t="s">
        <v>115</v>
      </c>
      <c r="H20" t="s">
        <v>116</v>
      </c>
      <c r="I20" t="s">
        <v>117</v>
      </c>
    </row>
    <row r="21" spans="1:9" x14ac:dyDescent="0.3">
      <c r="A21">
        <v>20</v>
      </c>
      <c r="B21">
        <v>20</v>
      </c>
      <c r="C21" t="s">
        <v>118</v>
      </c>
      <c r="D21" t="s">
        <v>10</v>
      </c>
      <c r="E21" t="s">
        <v>58</v>
      </c>
      <c r="F21" t="s">
        <v>119</v>
      </c>
      <c r="G21" t="s">
        <v>120</v>
      </c>
      <c r="H21" t="s">
        <v>121</v>
      </c>
      <c r="I21" t="s">
        <v>122</v>
      </c>
    </row>
    <row r="22" spans="1:9" x14ac:dyDescent="0.3">
      <c r="A22">
        <v>21</v>
      </c>
      <c r="B22">
        <v>21</v>
      </c>
      <c r="C22" t="s">
        <v>123</v>
      </c>
      <c r="D22" t="s">
        <v>124</v>
      </c>
      <c r="E22" t="s">
        <v>52</v>
      </c>
      <c r="F22" t="s">
        <v>125</v>
      </c>
      <c r="G22" t="s">
        <v>126</v>
      </c>
      <c r="H22" t="s">
        <v>127</v>
      </c>
      <c r="I22" t="s">
        <v>128</v>
      </c>
    </row>
    <row r="23" spans="1:9" x14ac:dyDescent="0.3">
      <c r="A23">
        <v>22</v>
      </c>
      <c r="B23">
        <v>22</v>
      </c>
      <c r="C23" t="s">
        <v>129</v>
      </c>
      <c r="D23" t="s">
        <v>10</v>
      </c>
      <c r="E23" t="s">
        <v>130</v>
      </c>
      <c r="F23" t="s">
        <v>131</v>
      </c>
      <c r="G23" t="s">
        <v>132</v>
      </c>
      <c r="H23" t="s">
        <v>133</v>
      </c>
      <c r="I23" t="s">
        <v>134</v>
      </c>
    </row>
    <row r="24" spans="1:9" x14ac:dyDescent="0.3">
      <c r="A24">
        <v>23</v>
      </c>
      <c r="B24">
        <v>23</v>
      </c>
      <c r="C24" t="s">
        <v>135</v>
      </c>
      <c r="D24" t="s">
        <v>10</v>
      </c>
      <c r="E24" t="s">
        <v>29</v>
      </c>
      <c r="F24" t="s">
        <v>136</v>
      </c>
      <c r="G24" t="s">
        <v>137</v>
      </c>
      <c r="H24" t="s">
        <v>138</v>
      </c>
      <c r="I24" t="s">
        <v>139</v>
      </c>
    </row>
    <row r="25" spans="1:9" x14ac:dyDescent="0.3">
      <c r="A25">
        <v>24</v>
      </c>
      <c r="B25">
        <v>24</v>
      </c>
      <c r="C25" t="s">
        <v>140</v>
      </c>
      <c r="D25" t="s">
        <v>10</v>
      </c>
      <c r="E25" t="s">
        <v>141</v>
      </c>
      <c r="F25" t="s">
        <v>142</v>
      </c>
      <c r="G25" t="s">
        <v>143</v>
      </c>
      <c r="H25" t="s">
        <v>144</v>
      </c>
      <c r="I25" t="s">
        <v>145</v>
      </c>
    </row>
    <row r="26" spans="1:9" x14ac:dyDescent="0.3">
      <c r="A26">
        <v>25</v>
      </c>
      <c r="B26">
        <v>25</v>
      </c>
      <c r="C26" t="s">
        <v>146</v>
      </c>
      <c r="D26" t="s">
        <v>10</v>
      </c>
      <c r="E26" t="s">
        <v>11</v>
      </c>
      <c r="F26" t="s">
        <v>147</v>
      </c>
      <c r="G26" t="s">
        <v>143</v>
      </c>
      <c r="H26" t="s">
        <v>148</v>
      </c>
      <c r="I26" t="s">
        <v>149</v>
      </c>
    </row>
    <row r="27" spans="1:9" x14ac:dyDescent="0.3">
      <c r="A27">
        <v>26</v>
      </c>
      <c r="B27">
        <v>26</v>
      </c>
      <c r="C27" t="s">
        <v>150</v>
      </c>
      <c r="D27" t="s">
        <v>10</v>
      </c>
      <c r="E27" t="s">
        <v>151</v>
      </c>
      <c r="F27" t="s">
        <v>152</v>
      </c>
      <c r="G27" t="s">
        <v>153</v>
      </c>
      <c r="H27" t="s">
        <v>154</v>
      </c>
      <c r="I27" t="s">
        <v>155</v>
      </c>
    </row>
    <row r="28" spans="1:9" x14ac:dyDescent="0.3">
      <c r="A28">
        <v>27</v>
      </c>
      <c r="B28">
        <v>27</v>
      </c>
      <c r="C28" t="s">
        <v>156</v>
      </c>
      <c r="D28" t="s">
        <v>35</v>
      </c>
      <c r="E28" t="s">
        <v>11</v>
      </c>
      <c r="F28" t="s">
        <v>157</v>
      </c>
      <c r="G28" t="s">
        <v>158</v>
      </c>
      <c r="H28" t="s">
        <v>159</v>
      </c>
      <c r="I28" t="s">
        <v>160</v>
      </c>
    </row>
    <row r="29" spans="1:9" x14ac:dyDescent="0.3">
      <c r="A29">
        <v>28</v>
      </c>
      <c r="B29">
        <v>28</v>
      </c>
      <c r="C29" t="s">
        <v>161</v>
      </c>
      <c r="D29" t="s">
        <v>10</v>
      </c>
      <c r="E29" t="s">
        <v>58</v>
      </c>
      <c r="F29">
        <v>33</v>
      </c>
      <c r="G29" t="s">
        <v>162</v>
      </c>
      <c r="H29" t="s">
        <v>163</v>
      </c>
      <c r="I29" t="s">
        <v>164</v>
      </c>
    </row>
    <row r="30" spans="1:9" x14ac:dyDescent="0.3">
      <c r="A30">
        <v>29</v>
      </c>
      <c r="B30">
        <v>29</v>
      </c>
      <c r="C30" t="s">
        <v>165</v>
      </c>
      <c r="D30" t="s">
        <v>10</v>
      </c>
      <c r="E30" t="s">
        <v>52</v>
      </c>
      <c r="F30" t="s">
        <v>166</v>
      </c>
      <c r="G30" t="s">
        <v>167</v>
      </c>
      <c r="H30">
        <v>450</v>
      </c>
      <c r="I30" t="s">
        <v>168</v>
      </c>
    </row>
    <row r="31" spans="1:9" x14ac:dyDescent="0.3">
      <c r="A31">
        <v>30</v>
      </c>
      <c r="B31">
        <v>30</v>
      </c>
      <c r="C31" t="s">
        <v>169</v>
      </c>
      <c r="D31" t="s">
        <v>51</v>
      </c>
      <c r="E31" t="s">
        <v>151</v>
      </c>
      <c r="F31" t="s">
        <v>170</v>
      </c>
      <c r="G31" t="s">
        <v>171</v>
      </c>
      <c r="H31" t="s">
        <v>172</v>
      </c>
      <c r="I31">
        <v>73</v>
      </c>
    </row>
    <row r="32" spans="1:9" x14ac:dyDescent="0.3">
      <c r="A32">
        <v>31</v>
      </c>
      <c r="B32">
        <v>31</v>
      </c>
      <c r="C32" t="s">
        <v>173</v>
      </c>
      <c r="D32" t="s">
        <v>10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</row>
    <row r="33" spans="1:9" x14ac:dyDescent="0.3">
      <c r="A33">
        <v>32</v>
      </c>
      <c r="B33">
        <v>32</v>
      </c>
      <c r="C33" t="s">
        <v>179</v>
      </c>
      <c r="D33" t="s">
        <v>70</v>
      </c>
      <c r="E33" t="s">
        <v>130</v>
      </c>
      <c r="F33" t="s">
        <v>180</v>
      </c>
      <c r="G33" t="s">
        <v>181</v>
      </c>
      <c r="H33" t="s">
        <v>182</v>
      </c>
      <c r="I33" t="s">
        <v>183</v>
      </c>
    </row>
    <row r="34" spans="1:9" x14ac:dyDescent="0.3">
      <c r="A34">
        <v>33</v>
      </c>
      <c r="B34">
        <v>33</v>
      </c>
      <c r="C34" t="s">
        <v>184</v>
      </c>
      <c r="D34" t="s">
        <v>10</v>
      </c>
      <c r="E34" t="s">
        <v>151</v>
      </c>
      <c r="F34" t="s">
        <v>185</v>
      </c>
      <c r="G34" t="s">
        <v>186</v>
      </c>
      <c r="H34" t="s">
        <v>187</v>
      </c>
      <c r="I34" t="s">
        <v>188</v>
      </c>
    </row>
    <row r="35" spans="1:9" x14ac:dyDescent="0.3">
      <c r="A35">
        <v>34</v>
      </c>
      <c r="B35">
        <v>34</v>
      </c>
      <c r="C35" t="s">
        <v>189</v>
      </c>
      <c r="D35" t="s">
        <v>124</v>
      </c>
      <c r="E35" t="s">
        <v>58</v>
      </c>
      <c r="F35" t="s">
        <v>190</v>
      </c>
      <c r="G35" t="s">
        <v>191</v>
      </c>
      <c r="H35" t="s">
        <v>192</v>
      </c>
      <c r="I35" t="s">
        <v>193</v>
      </c>
    </row>
    <row r="36" spans="1:9" x14ac:dyDescent="0.3">
      <c r="A36">
        <v>35</v>
      </c>
      <c r="B36">
        <v>35</v>
      </c>
      <c r="C36" t="s">
        <v>194</v>
      </c>
      <c r="D36" t="s">
        <v>124</v>
      </c>
      <c r="E36" t="s">
        <v>17</v>
      </c>
      <c r="F36" t="s">
        <v>195</v>
      </c>
      <c r="G36" t="s">
        <v>196</v>
      </c>
      <c r="H36" t="s">
        <v>197</v>
      </c>
      <c r="I36" t="s">
        <v>198</v>
      </c>
    </row>
    <row r="37" spans="1:9" x14ac:dyDescent="0.3">
      <c r="A37">
        <v>36</v>
      </c>
      <c r="B37">
        <v>36</v>
      </c>
      <c r="C37" t="s">
        <v>199</v>
      </c>
      <c r="D37" t="s">
        <v>35</v>
      </c>
      <c r="E37" t="s">
        <v>11</v>
      </c>
      <c r="F37" t="s">
        <v>200</v>
      </c>
      <c r="G37" t="s">
        <v>201</v>
      </c>
      <c r="H37" t="s">
        <v>202</v>
      </c>
      <c r="I37" t="s">
        <v>203</v>
      </c>
    </row>
    <row r="38" spans="1:9" x14ac:dyDescent="0.3">
      <c r="A38">
        <v>37</v>
      </c>
      <c r="B38">
        <v>37</v>
      </c>
      <c r="C38" t="s">
        <v>204</v>
      </c>
      <c r="D38" t="s">
        <v>205</v>
      </c>
      <c r="E38" t="s">
        <v>29</v>
      </c>
      <c r="F38" t="s">
        <v>206</v>
      </c>
      <c r="G38" t="s">
        <v>207</v>
      </c>
      <c r="H38" t="s">
        <v>208</v>
      </c>
      <c r="I38" t="s">
        <v>209</v>
      </c>
    </row>
    <row r="39" spans="1:9" x14ac:dyDescent="0.3">
      <c r="A39">
        <v>38</v>
      </c>
      <c r="B39">
        <v>38</v>
      </c>
      <c r="C39" t="s">
        <v>210</v>
      </c>
      <c r="D39" t="s">
        <v>10</v>
      </c>
      <c r="E39" t="s">
        <v>29</v>
      </c>
      <c r="F39" t="s">
        <v>211</v>
      </c>
      <c r="G39" t="s">
        <v>212</v>
      </c>
      <c r="H39" t="s">
        <v>213</v>
      </c>
      <c r="I39" t="s">
        <v>214</v>
      </c>
    </row>
    <row r="40" spans="1:9" x14ac:dyDescent="0.3">
      <c r="A40">
        <v>39</v>
      </c>
      <c r="B40">
        <v>39</v>
      </c>
      <c r="C40" t="s">
        <v>215</v>
      </c>
      <c r="D40" t="s">
        <v>216</v>
      </c>
      <c r="E40" t="s">
        <v>11</v>
      </c>
      <c r="F40" t="s">
        <v>217</v>
      </c>
      <c r="G40" t="s">
        <v>218</v>
      </c>
      <c r="H40" t="s">
        <v>219</v>
      </c>
      <c r="I40" t="s">
        <v>220</v>
      </c>
    </row>
    <row r="41" spans="1:9" x14ac:dyDescent="0.3">
      <c r="A41">
        <v>40</v>
      </c>
      <c r="B41">
        <v>40</v>
      </c>
      <c r="C41" t="s">
        <v>221</v>
      </c>
      <c r="D41" t="s">
        <v>10</v>
      </c>
      <c r="E41" t="s">
        <v>58</v>
      </c>
      <c r="F41" t="s">
        <v>222</v>
      </c>
      <c r="G41" t="s">
        <v>223</v>
      </c>
      <c r="H41" t="s">
        <v>224</v>
      </c>
      <c r="I41" t="s">
        <v>225</v>
      </c>
    </row>
    <row r="42" spans="1:9" x14ac:dyDescent="0.3">
      <c r="A42">
        <v>41</v>
      </c>
      <c r="B42">
        <v>41</v>
      </c>
      <c r="C42" t="s">
        <v>226</v>
      </c>
      <c r="D42" t="s">
        <v>10</v>
      </c>
      <c r="E42" t="s">
        <v>11</v>
      </c>
      <c r="F42" t="s">
        <v>227</v>
      </c>
      <c r="G42" t="s">
        <v>228</v>
      </c>
      <c r="H42" t="s">
        <v>229</v>
      </c>
      <c r="I42" t="s">
        <v>230</v>
      </c>
    </row>
    <row r="43" spans="1:9" x14ac:dyDescent="0.3">
      <c r="A43">
        <v>42</v>
      </c>
      <c r="B43">
        <v>42</v>
      </c>
      <c r="C43" t="s">
        <v>231</v>
      </c>
      <c r="D43" t="s">
        <v>10</v>
      </c>
      <c r="E43" t="s">
        <v>232</v>
      </c>
      <c r="F43" t="s">
        <v>233</v>
      </c>
      <c r="G43" t="s">
        <v>234</v>
      </c>
      <c r="H43" t="s">
        <v>235</v>
      </c>
      <c r="I43" t="s">
        <v>236</v>
      </c>
    </row>
    <row r="44" spans="1:9" x14ac:dyDescent="0.3">
      <c r="A44">
        <v>43</v>
      </c>
      <c r="B44">
        <v>43</v>
      </c>
      <c r="C44" t="s">
        <v>237</v>
      </c>
      <c r="D44" t="s">
        <v>10</v>
      </c>
      <c r="E44" t="s">
        <v>98</v>
      </c>
      <c r="F44" t="s">
        <v>238</v>
      </c>
      <c r="G44" t="s">
        <v>239</v>
      </c>
      <c r="H44" t="s">
        <v>240</v>
      </c>
      <c r="I44" t="s">
        <v>241</v>
      </c>
    </row>
    <row r="45" spans="1:9" x14ac:dyDescent="0.3">
      <c r="A45">
        <v>44</v>
      </c>
      <c r="B45">
        <v>44</v>
      </c>
      <c r="C45" t="s">
        <v>242</v>
      </c>
      <c r="D45" t="s">
        <v>10</v>
      </c>
      <c r="E45" t="s">
        <v>243</v>
      </c>
      <c r="F45" t="s">
        <v>244</v>
      </c>
      <c r="G45" t="s">
        <v>245</v>
      </c>
      <c r="H45" t="s">
        <v>246</v>
      </c>
      <c r="I45" t="s">
        <v>247</v>
      </c>
    </row>
    <row r="46" spans="1:9" x14ac:dyDescent="0.3">
      <c r="A46">
        <v>45</v>
      </c>
      <c r="B46">
        <v>45</v>
      </c>
      <c r="C46" t="s">
        <v>248</v>
      </c>
      <c r="D46" t="s">
        <v>249</v>
      </c>
      <c r="E46" t="s">
        <v>250</v>
      </c>
      <c r="F46" t="s">
        <v>251</v>
      </c>
      <c r="G46" t="s">
        <v>252</v>
      </c>
      <c r="H46" t="s">
        <v>253</v>
      </c>
      <c r="I46" t="s">
        <v>254</v>
      </c>
    </row>
    <row r="47" spans="1:9" x14ac:dyDescent="0.3">
      <c r="A47">
        <v>46</v>
      </c>
      <c r="B47">
        <v>46</v>
      </c>
      <c r="C47" t="s">
        <v>255</v>
      </c>
      <c r="D47" t="s">
        <v>10</v>
      </c>
      <c r="E47" t="s">
        <v>141</v>
      </c>
      <c r="F47" t="s">
        <v>256</v>
      </c>
      <c r="G47" t="s">
        <v>257</v>
      </c>
      <c r="H47" t="s">
        <v>258</v>
      </c>
      <c r="I47" t="s">
        <v>259</v>
      </c>
    </row>
    <row r="48" spans="1:9" x14ac:dyDescent="0.3">
      <c r="A48">
        <v>47</v>
      </c>
      <c r="B48">
        <v>47</v>
      </c>
      <c r="C48" t="s">
        <v>260</v>
      </c>
      <c r="D48" t="s">
        <v>35</v>
      </c>
      <c r="E48" t="s">
        <v>11</v>
      </c>
      <c r="F48" t="s">
        <v>261</v>
      </c>
      <c r="G48" t="s">
        <v>262</v>
      </c>
      <c r="H48" t="s">
        <v>263</v>
      </c>
      <c r="I48" t="s">
        <v>264</v>
      </c>
    </row>
    <row r="49" spans="1:9" x14ac:dyDescent="0.3">
      <c r="A49">
        <v>48</v>
      </c>
      <c r="B49">
        <v>48</v>
      </c>
      <c r="C49" t="s">
        <v>265</v>
      </c>
      <c r="D49" t="s">
        <v>76</v>
      </c>
      <c r="E49" t="s">
        <v>11</v>
      </c>
      <c r="F49" t="s">
        <v>266</v>
      </c>
      <c r="G49" t="s">
        <v>267</v>
      </c>
      <c r="H49" t="s">
        <v>268</v>
      </c>
      <c r="I49" t="s">
        <v>269</v>
      </c>
    </row>
    <row r="50" spans="1:9" x14ac:dyDescent="0.3">
      <c r="A50">
        <v>49</v>
      </c>
      <c r="B50">
        <v>49</v>
      </c>
      <c r="C50" t="s">
        <v>270</v>
      </c>
      <c r="D50" t="s">
        <v>51</v>
      </c>
      <c r="E50" t="s">
        <v>52</v>
      </c>
      <c r="F50" t="s">
        <v>271</v>
      </c>
      <c r="G50" t="s">
        <v>272</v>
      </c>
      <c r="H50" t="s">
        <v>273</v>
      </c>
      <c r="I50" t="s">
        <v>274</v>
      </c>
    </row>
    <row r="51" spans="1:9" x14ac:dyDescent="0.3">
      <c r="A51">
        <v>50</v>
      </c>
      <c r="B51">
        <v>50</v>
      </c>
      <c r="C51" t="s">
        <v>275</v>
      </c>
      <c r="D51" t="s">
        <v>10</v>
      </c>
      <c r="E51" t="s">
        <v>58</v>
      </c>
      <c r="F51" t="s">
        <v>276</v>
      </c>
      <c r="G51">
        <v>3</v>
      </c>
      <c r="H51">
        <v>175</v>
      </c>
      <c r="I51" t="s">
        <v>277</v>
      </c>
    </row>
    <row r="52" spans="1:9" x14ac:dyDescent="0.3">
      <c r="A52">
        <v>51</v>
      </c>
      <c r="B52">
        <v>51</v>
      </c>
      <c r="C52" t="s">
        <v>278</v>
      </c>
      <c r="D52" t="s">
        <v>51</v>
      </c>
      <c r="E52" t="s">
        <v>52</v>
      </c>
      <c r="F52" t="s">
        <v>279</v>
      </c>
      <c r="G52" t="s">
        <v>280</v>
      </c>
      <c r="H52" t="s">
        <v>281</v>
      </c>
      <c r="I52" t="s">
        <v>282</v>
      </c>
    </row>
    <row r="53" spans="1:9" x14ac:dyDescent="0.3">
      <c r="A53">
        <v>52</v>
      </c>
      <c r="B53">
        <v>52</v>
      </c>
      <c r="C53" t="s">
        <v>283</v>
      </c>
      <c r="D53" t="s">
        <v>10</v>
      </c>
      <c r="E53" t="s">
        <v>11</v>
      </c>
      <c r="F53" t="s">
        <v>284</v>
      </c>
      <c r="G53" t="s">
        <v>285</v>
      </c>
      <c r="H53" t="s">
        <v>286</v>
      </c>
      <c r="I53" t="s">
        <v>287</v>
      </c>
    </row>
    <row r="54" spans="1:9" x14ac:dyDescent="0.3">
      <c r="A54">
        <v>53</v>
      </c>
      <c r="B54">
        <v>53</v>
      </c>
      <c r="C54" t="s">
        <v>288</v>
      </c>
      <c r="D54" t="s">
        <v>104</v>
      </c>
      <c r="E54" t="s">
        <v>23</v>
      </c>
      <c r="F54" t="s">
        <v>289</v>
      </c>
      <c r="G54">
        <v>1</v>
      </c>
      <c r="H54" t="s">
        <v>290</v>
      </c>
      <c r="I54" t="s">
        <v>291</v>
      </c>
    </row>
    <row r="55" spans="1:9" x14ac:dyDescent="0.3">
      <c r="A55">
        <v>54</v>
      </c>
      <c r="B55">
        <v>54</v>
      </c>
      <c r="C55" t="s">
        <v>292</v>
      </c>
      <c r="D55" t="s">
        <v>104</v>
      </c>
      <c r="E55" t="s">
        <v>11</v>
      </c>
      <c r="F55" t="s">
        <v>293</v>
      </c>
      <c r="G55" t="s">
        <v>294</v>
      </c>
      <c r="H55" t="s">
        <v>295</v>
      </c>
      <c r="I55" t="s">
        <v>274</v>
      </c>
    </row>
    <row r="56" spans="1:9" x14ac:dyDescent="0.3">
      <c r="A56">
        <v>55</v>
      </c>
      <c r="B56">
        <v>55</v>
      </c>
      <c r="C56" t="s">
        <v>296</v>
      </c>
      <c r="D56" t="s">
        <v>297</v>
      </c>
      <c r="E56" t="s">
        <v>29</v>
      </c>
      <c r="F56" t="s">
        <v>298</v>
      </c>
      <c r="G56" t="s">
        <v>299</v>
      </c>
      <c r="H56" t="s">
        <v>300</v>
      </c>
      <c r="I56" t="s">
        <v>211</v>
      </c>
    </row>
    <row r="57" spans="1:9" x14ac:dyDescent="0.3">
      <c r="A57">
        <v>56</v>
      </c>
      <c r="B57">
        <v>56</v>
      </c>
      <c r="C57" t="s">
        <v>301</v>
      </c>
      <c r="D57" t="s">
        <v>10</v>
      </c>
      <c r="E57" t="s">
        <v>58</v>
      </c>
      <c r="F57" t="s">
        <v>302</v>
      </c>
      <c r="G57" t="s">
        <v>239</v>
      </c>
      <c r="H57" t="s">
        <v>303</v>
      </c>
      <c r="I57" t="s">
        <v>304</v>
      </c>
    </row>
    <row r="58" spans="1:9" x14ac:dyDescent="0.3">
      <c r="A58">
        <v>57</v>
      </c>
      <c r="B58">
        <v>57</v>
      </c>
      <c r="C58" t="s">
        <v>305</v>
      </c>
      <c r="D58" t="s">
        <v>216</v>
      </c>
      <c r="E58" t="s">
        <v>11</v>
      </c>
      <c r="F58" t="s">
        <v>306</v>
      </c>
      <c r="G58" t="s">
        <v>196</v>
      </c>
      <c r="H58" t="s">
        <v>307</v>
      </c>
      <c r="I58" t="s">
        <v>308</v>
      </c>
    </row>
    <row r="59" spans="1:9" x14ac:dyDescent="0.3">
      <c r="A59">
        <v>58</v>
      </c>
      <c r="B59">
        <v>58</v>
      </c>
      <c r="C59" t="s">
        <v>309</v>
      </c>
      <c r="D59" t="s">
        <v>10</v>
      </c>
      <c r="E59" t="s">
        <v>250</v>
      </c>
      <c r="F59" t="s">
        <v>310</v>
      </c>
      <c r="G59" t="s">
        <v>311</v>
      </c>
      <c r="H59" t="s">
        <v>312</v>
      </c>
      <c r="I59" t="s">
        <v>313</v>
      </c>
    </row>
    <row r="60" spans="1:9" x14ac:dyDescent="0.3">
      <c r="A60">
        <v>59</v>
      </c>
      <c r="B60">
        <v>59</v>
      </c>
      <c r="C60" t="s">
        <v>314</v>
      </c>
      <c r="D60" t="s">
        <v>10</v>
      </c>
      <c r="E60" t="s">
        <v>23</v>
      </c>
      <c r="F60" t="s">
        <v>315</v>
      </c>
      <c r="G60" t="s">
        <v>316</v>
      </c>
      <c r="H60" t="s">
        <v>317</v>
      </c>
      <c r="I60" t="s">
        <v>318</v>
      </c>
    </row>
    <row r="61" spans="1:9" x14ac:dyDescent="0.3">
      <c r="A61">
        <v>60</v>
      </c>
      <c r="B61">
        <v>60</v>
      </c>
      <c r="C61" t="s">
        <v>319</v>
      </c>
      <c r="D61" t="s">
        <v>10</v>
      </c>
      <c r="E61" t="s">
        <v>64</v>
      </c>
      <c r="F61" t="s">
        <v>320</v>
      </c>
      <c r="G61" t="s">
        <v>321</v>
      </c>
      <c r="H61" t="s">
        <v>322</v>
      </c>
      <c r="I61" t="s">
        <v>323</v>
      </c>
    </row>
    <row r="62" spans="1:9" x14ac:dyDescent="0.3">
      <c r="A62">
        <v>61</v>
      </c>
      <c r="B62">
        <v>61</v>
      </c>
      <c r="C62" t="s">
        <v>324</v>
      </c>
      <c r="D62" t="s">
        <v>10</v>
      </c>
      <c r="E62" t="s">
        <v>232</v>
      </c>
      <c r="F62" t="s">
        <v>325</v>
      </c>
      <c r="G62" t="s">
        <v>326</v>
      </c>
      <c r="H62" t="s">
        <v>327</v>
      </c>
      <c r="I62" t="s">
        <v>328</v>
      </c>
    </row>
    <row r="63" spans="1:9" x14ac:dyDescent="0.3">
      <c r="A63">
        <v>62</v>
      </c>
      <c r="B63">
        <v>62</v>
      </c>
      <c r="C63" t="s">
        <v>329</v>
      </c>
      <c r="D63" t="s">
        <v>10</v>
      </c>
      <c r="E63" t="s">
        <v>23</v>
      </c>
      <c r="F63" t="s">
        <v>330</v>
      </c>
      <c r="G63" t="s">
        <v>331</v>
      </c>
      <c r="H63" t="s">
        <v>332</v>
      </c>
      <c r="I63" t="s">
        <v>333</v>
      </c>
    </row>
    <row r="64" spans="1:9" x14ac:dyDescent="0.3">
      <c r="A64">
        <v>63</v>
      </c>
      <c r="B64">
        <v>63</v>
      </c>
      <c r="C64" t="s">
        <v>334</v>
      </c>
      <c r="D64" t="s">
        <v>10</v>
      </c>
      <c r="E64" t="s">
        <v>141</v>
      </c>
      <c r="F64" t="s">
        <v>335</v>
      </c>
      <c r="G64" t="s">
        <v>336</v>
      </c>
      <c r="H64" t="s">
        <v>337</v>
      </c>
      <c r="I64" t="s">
        <v>338</v>
      </c>
    </row>
    <row r="65" spans="1:9" x14ac:dyDescent="0.3">
      <c r="A65">
        <v>64</v>
      </c>
      <c r="B65">
        <v>64</v>
      </c>
      <c r="C65" t="s">
        <v>339</v>
      </c>
      <c r="D65" t="s">
        <v>70</v>
      </c>
      <c r="E65" t="s">
        <v>141</v>
      </c>
      <c r="F65" t="s">
        <v>340</v>
      </c>
      <c r="G65" t="s">
        <v>341</v>
      </c>
      <c r="H65" t="s">
        <v>342</v>
      </c>
      <c r="I65" t="s">
        <v>343</v>
      </c>
    </row>
    <row r="66" spans="1:9" x14ac:dyDescent="0.3">
      <c r="A66">
        <v>65</v>
      </c>
      <c r="B66">
        <v>65</v>
      </c>
      <c r="C66" t="s">
        <v>344</v>
      </c>
      <c r="D66" t="s">
        <v>205</v>
      </c>
      <c r="E66" t="s">
        <v>345</v>
      </c>
      <c r="F66" t="s">
        <v>346</v>
      </c>
      <c r="G66" t="s">
        <v>347</v>
      </c>
      <c r="H66" t="s">
        <v>348</v>
      </c>
      <c r="I66" t="s">
        <v>349</v>
      </c>
    </row>
    <row r="67" spans="1:9" x14ac:dyDescent="0.3">
      <c r="A67">
        <v>66</v>
      </c>
      <c r="B67">
        <v>66</v>
      </c>
      <c r="C67" t="s">
        <v>350</v>
      </c>
      <c r="D67" t="s">
        <v>82</v>
      </c>
      <c r="E67" t="s">
        <v>130</v>
      </c>
      <c r="F67" t="s">
        <v>351</v>
      </c>
      <c r="G67" t="s">
        <v>316</v>
      </c>
      <c r="H67" t="s">
        <v>352</v>
      </c>
      <c r="I67" t="s">
        <v>353</v>
      </c>
    </row>
    <row r="68" spans="1:9" x14ac:dyDescent="0.3">
      <c r="A68">
        <v>67</v>
      </c>
      <c r="B68">
        <v>67</v>
      </c>
      <c r="C68" t="s">
        <v>354</v>
      </c>
      <c r="D68" t="s">
        <v>10</v>
      </c>
      <c r="E68" t="s">
        <v>11</v>
      </c>
      <c r="F68" t="s">
        <v>355</v>
      </c>
      <c r="G68" t="s">
        <v>356</v>
      </c>
      <c r="H68" t="s">
        <v>357</v>
      </c>
      <c r="I68" t="s">
        <v>358</v>
      </c>
    </row>
    <row r="69" spans="1:9" x14ac:dyDescent="0.3">
      <c r="A69">
        <v>68</v>
      </c>
      <c r="B69">
        <v>68</v>
      </c>
      <c r="C69" t="s">
        <v>359</v>
      </c>
      <c r="D69" t="s">
        <v>104</v>
      </c>
      <c r="E69" t="s">
        <v>11</v>
      </c>
      <c r="F69" t="s">
        <v>360</v>
      </c>
      <c r="G69" t="s">
        <v>361</v>
      </c>
      <c r="H69" t="s">
        <v>362</v>
      </c>
      <c r="I69" t="s">
        <v>363</v>
      </c>
    </row>
    <row r="70" spans="1:9" x14ac:dyDescent="0.3">
      <c r="A70">
        <v>69</v>
      </c>
      <c r="B70">
        <v>69</v>
      </c>
      <c r="C70" t="s">
        <v>364</v>
      </c>
      <c r="D70" t="s">
        <v>124</v>
      </c>
      <c r="E70" t="s">
        <v>365</v>
      </c>
      <c r="F70" t="s">
        <v>366</v>
      </c>
      <c r="G70" t="s">
        <v>367</v>
      </c>
      <c r="H70" t="s">
        <v>368</v>
      </c>
      <c r="I70" t="s">
        <v>369</v>
      </c>
    </row>
    <row r="71" spans="1:9" x14ac:dyDescent="0.3">
      <c r="A71">
        <v>70</v>
      </c>
      <c r="B71">
        <v>70</v>
      </c>
      <c r="C71" t="s">
        <v>370</v>
      </c>
      <c r="D71" t="s">
        <v>10</v>
      </c>
      <c r="E71" t="s">
        <v>232</v>
      </c>
      <c r="F71" t="s">
        <v>371</v>
      </c>
      <c r="G71" t="s">
        <v>372</v>
      </c>
      <c r="H71" t="s">
        <v>373</v>
      </c>
      <c r="I71" t="s">
        <v>374</v>
      </c>
    </row>
    <row r="72" spans="1:9" x14ac:dyDescent="0.3">
      <c r="A72">
        <v>71</v>
      </c>
      <c r="B72">
        <v>71</v>
      </c>
      <c r="C72" t="s">
        <v>375</v>
      </c>
      <c r="D72" t="s">
        <v>124</v>
      </c>
      <c r="E72" t="s">
        <v>52</v>
      </c>
      <c r="F72" t="s">
        <v>376</v>
      </c>
      <c r="G72" t="s">
        <v>377</v>
      </c>
      <c r="H72" t="s">
        <v>378</v>
      </c>
      <c r="I72" t="s">
        <v>379</v>
      </c>
    </row>
    <row r="73" spans="1:9" x14ac:dyDescent="0.3">
      <c r="A73">
        <v>72</v>
      </c>
      <c r="B73">
        <v>72</v>
      </c>
      <c r="C73" t="s">
        <v>380</v>
      </c>
      <c r="D73" t="s">
        <v>51</v>
      </c>
      <c r="E73" t="s">
        <v>345</v>
      </c>
      <c r="F73" t="s">
        <v>381</v>
      </c>
      <c r="G73" t="s">
        <v>382</v>
      </c>
      <c r="H73" t="s">
        <v>383</v>
      </c>
      <c r="I73" t="s">
        <v>384</v>
      </c>
    </row>
    <row r="74" spans="1:9" x14ac:dyDescent="0.3">
      <c r="A74">
        <v>73</v>
      </c>
      <c r="B74">
        <v>73</v>
      </c>
      <c r="C74" t="s">
        <v>385</v>
      </c>
      <c r="D74" t="s">
        <v>124</v>
      </c>
      <c r="E74" t="s">
        <v>23</v>
      </c>
      <c r="F74" t="s">
        <v>386</v>
      </c>
      <c r="G74" t="s">
        <v>387</v>
      </c>
      <c r="H74" t="s">
        <v>388</v>
      </c>
      <c r="I74" t="s">
        <v>389</v>
      </c>
    </row>
    <row r="75" spans="1:9" x14ac:dyDescent="0.3">
      <c r="A75">
        <v>74</v>
      </c>
      <c r="B75">
        <v>74</v>
      </c>
      <c r="C75" t="s">
        <v>390</v>
      </c>
      <c r="D75" t="s">
        <v>124</v>
      </c>
      <c r="E75" t="s">
        <v>52</v>
      </c>
      <c r="F75" t="s">
        <v>391</v>
      </c>
      <c r="G75" t="s">
        <v>392</v>
      </c>
      <c r="H75" t="s">
        <v>393</v>
      </c>
      <c r="I75" t="s">
        <v>394</v>
      </c>
    </row>
    <row r="76" spans="1:9" x14ac:dyDescent="0.3">
      <c r="A76">
        <v>75</v>
      </c>
      <c r="B76">
        <v>75</v>
      </c>
      <c r="C76" t="s">
        <v>395</v>
      </c>
      <c r="D76" t="s">
        <v>10</v>
      </c>
      <c r="E76" t="s">
        <v>52</v>
      </c>
      <c r="F76" t="s">
        <v>396</v>
      </c>
      <c r="G76" t="s">
        <v>397</v>
      </c>
      <c r="H76" t="s">
        <v>398</v>
      </c>
      <c r="I76" t="s">
        <v>399</v>
      </c>
    </row>
    <row r="77" spans="1:9" x14ac:dyDescent="0.3">
      <c r="A77">
        <v>76</v>
      </c>
      <c r="B77">
        <v>76</v>
      </c>
      <c r="C77" t="s">
        <v>400</v>
      </c>
      <c r="D77" t="s">
        <v>401</v>
      </c>
      <c r="E77" t="s">
        <v>17</v>
      </c>
      <c r="F77" t="s">
        <v>402</v>
      </c>
      <c r="G77" t="s">
        <v>403</v>
      </c>
      <c r="H77" t="s">
        <v>404</v>
      </c>
      <c r="I77" t="s">
        <v>405</v>
      </c>
    </row>
    <row r="78" spans="1:9" x14ac:dyDescent="0.3">
      <c r="A78">
        <v>77</v>
      </c>
      <c r="B78">
        <v>77</v>
      </c>
      <c r="C78" t="s">
        <v>406</v>
      </c>
      <c r="D78" t="s">
        <v>10</v>
      </c>
      <c r="E78" t="s">
        <v>11</v>
      </c>
      <c r="F78" t="s">
        <v>407</v>
      </c>
      <c r="G78" t="s">
        <v>408</v>
      </c>
      <c r="H78" t="s">
        <v>409</v>
      </c>
      <c r="I78" t="s">
        <v>410</v>
      </c>
    </row>
    <row r="79" spans="1:9" x14ac:dyDescent="0.3">
      <c r="A79">
        <v>78</v>
      </c>
      <c r="B79">
        <v>78</v>
      </c>
      <c r="C79" t="s">
        <v>411</v>
      </c>
      <c r="D79" t="s">
        <v>70</v>
      </c>
      <c r="E79" t="s">
        <v>141</v>
      </c>
      <c r="F79" t="s">
        <v>412</v>
      </c>
      <c r="G79" t="s">
        <v>413</v>
      </c>
      <c r="H79" t="s">
        <v>414</v>
      </c>
      <c r="I79" t="s">
        <v>415</v>
      </c>
    </row>
    <row r="80" spans="1:9" x14ac:dyDescent="0.3">
      <c r="A80">
        <v>79</v>
      </c>
      <c r="B80">
        <v>79</v>
      </c>
      <c r="C80" t="s">
        <v>416</v>
      </c>
      <c r="D80" t="s">
        <v>417</v>
      </c>
      <c r="E80" t="s">
        <v>11</v>
      </c>
      <c r="F80" t="s">
        <v>418</v>
      </c>
      <c r="G80" t="s">
        <v>419</v>
      </c>
      <c r="H80" t="s">
        <v>420</v>
      </c>
      <c r="I80" t="s">
        <v>421</v>
      </c>
    </row>
    <row r="81" spans="1:9" x14ac:dyDescent="0.3">
      <c r="A81">
        <v>80</v>
      </c>
      <c r="B81">
        <v>80</v>
      </c>
      <c r="C81" t="s">
        <v>422</v>
      </c>
      <c r="D81" t="s">
        <v>35</v>
      </c>
      <c r="E81" t="s">
        <v>141</v>
      </c>
      <c r="F81" t="s">
        <v>423</v>
      </c>
      <c r="G81" t="s">
        <v>424</v>
      </c>
      <c r="H81" t="s">
        <v>425</v>
      </c>
      <c r="I81" t="s">
        <v>426</v>
      </c>
    </row>
    <row r="82" spans="1:9" x14ac:dyDescent="0.3">
      <c r="A82">
        <v>81</v>
      </c>
      <c r="B82">
        <v>81</v>
      </c>
      <c r="C82" t="s">
        <v>427</v>
      </c>
      <c r="D82" t="s">
        <v>297</v>
      </c>
      <c r="E82" t="s">
        <v>29</v>
      </c>
      <c r="F82" t="s">
        <v>185</v>
      </c>
      <c r="G82" t="s">
        <v>428</v>
      </c>
      <c r="H82" t="s">
        <v>429</v>
      </c>
      <c r="I82" t="s">
        <v>430</v>
      </c>
    </row>
    <row r="83" spans="1:9" x14ac:dyDescent="0.3">
      <c r="A83">
        <v>82</v>
      </c>
      <c r="B83">
        <v>82</v>
      </c>
      <c r="C83" t="s">
        <v>431</v>
      </c>
      <c r="D83" t="s">
        <v>51</v>
      </c>
      <c r="E83" t="s">
        <v>52</v>
      </c>
      <c r="F83" t="s">
        <v>432</v>
      </c>
      <c r="G83" t="s">
        <v>433</v>
      </c>
      <c r="H83" t="s">
        <v>434</v>
      </c>
      <c r="I83">
        <v>38</v>
      </c>
    </row>
    <row r="84" spans="1:9" x14ac:dyDescent="0.3">
      <c r="A84">
        <v>83</v>
      </c>
      <c r="B84">
        <v>83</v>
      </c>
      <c r="C84" t="s">
        <v>435</v>
      </c>
      <c r="D84" t="s">
        <v>436</v>
      </c>
      <c r="E84" t="s">
        <v>98</v>
      </c>
      <c r="F84" t="s">
        <v>437</v>
      </c>
      <c r="G84" t="s">
        <v>438</v>
      </c>
      <c r="H84" t="s">
        <v>439</v>
      </c>
      <c r="I84" t="s">
        <v>440</v>
      </c>
    </row>
    <row r="85" spans="1:9" x14ac:dyDescent="0.3">
      <c r="A85">
        <v>84</v>
      </c>
      <c r="B85">
        <v>84</v>
      </c>
      <c r="C85" t="s">
        <v>441</v>
      </c>
      <c r="D85" t="s">
        <v>10</v>
      </c>
      <c r="E85" t="s">
        <v>151</v>
      </c>
      <c r="F85" t="s">
        <v>442</v>
      </c>
      <c r="G85" t="s">
        <v>443</v>
      </c>
      <c r="H85" t="s">
        <v>444</v>
      </c>
      <c r="I85" t="s">
        <v>445</v>
      </c>
    </row>
    <row r="86" spans="1:9" x14ac:dyDescent="0.3">
      <c r="A86">
        <v>85</v>
      </c>
      <c r="B86">
        <v>85</v>
      </c>
      <c r="C86" t="s">
        <v>446</v>
      </c>
      <c r="D86" t="s">
        <v>10</v>
      </c>
      <c r="E86" t="s">
        <v>232</v>
      </c>
      <c r="F86" t="s">
        <v>447</v>
      </c>
      <c r="G86" t="s">
        <v>448</v>
      </c>
      <c r="H86" t="s">
        <v>449</v>
      </c>
      <c r="I86" t="s">
        <v>450</v>
      </c>
    </row>
    <row r="87" spans="1:9" x14ac:dyDescent="0.3">
      <c r="A87">
        <v>86</v>
      </c>
      <c r="B87">
        <v>86</v>
      </c>
      <c r="C87" t="s">
        <v>451</v>
      </c>
      <c r="D87" t="s">
        <v>452</v>
      </c>
      <c r="E87" t="s">
        <v>11</v>
      </c>
      <c r="F87" t="s">
        <v>453</v>
      </c>
      <c r="G87" t="s">
        <v>454</v>
      </c>
      <c r="H87" t="s">
        <v>455</v>
      </c>
      <c r="I87" t="s">
        <v>456</v>
      </c>
    </row>
    <row r="88" spans="1:9" x14ac:dyDescent="0.3">
      <c r="A88">
        <v>87</v>
      </c>
      <c r="B88">
        <v>87</v>
      </c>
      <c r="C88" t="s">
        <v>457</v>
      </c>
      <c r="D88" t="s">
        <v>458</v>
      </c>
      <c r="E88" t="s">
        <v>29</v>
      </c>
      <c r="F88" t="s">
        <v>459</v>
      </c>
      <c r="G88" t="s">
        <v>460</v>
      </c>
      <c r="H88" t="s">
        <v>461</v>
      </c>
      <c r="I88" t="s">
        <v>462</v>
      </c>
    </row>
    <row r="89" spans="1:9" x14ac:dyDescent="0.3">
      <c r="A89">
        <v>88</v>
      </c>
      <c r="B89">
        <v>88</v>
      </c>
      <c r="C89" t="s">
        <v>463</v>
      </c>
      <c r="D89" t="s">
        <v>104</v>
      </c>
      <c r="E89" t="s">
        <v>464</v>
      </c>
      <c r="F89" t="s">
        <v>465</v>
      </c>
      <c r="G89" t="s">
        <v>466</v>
      </c>
      <c r="H89" t="s">
        <v>467</v>
      </c>
      <c r="I89" t="s">
        <v>468</v>
      </c>
    </row>
    <row r="90" spans="1:9" x14ac:dyDescent="0.3">
      <c r="A90">
        <v>89</v>
      </c>
      <c r="B90">
        <v>89</v>
      </c>
      <c r="C90" t="s">
        <v>469</v>
      </c>
      <c r="D90" t="s">
        <v>10</v>
      </c>
      <c r="E90" t="s">
        <v>98</v>
      </c>
      <c r="F90" t="s">
        <v>470</v>
      </c>
      <c r="G90" t="s">
        <v>471</v>
      </c>
      <c r="H90" t="s">
        <v>472</v>
      </c>
      <c r="I90" t="s">
        <v>473</v>
      </c>
    </row>
    <row r="91" spans="1:9" x14ac:dyDescent="0.3">
      <c r="A91">
        <v>90</v>
      </c>
      <c r="B91">
        <v>90</v>
      </c>
      <c r="C91" t="s">
        <v>474</v>
      </c>
      <c r="D91" t="s">
        <v>10</v>
      </c>
      <c r="E91" t="s">
        <v>11</v>
      </c>
      <c r="F91" t="s">
        <v>475</v>
      </c>
      <c r="G91" t="s">
        <v>476</v>
      </c>
      <c r="H91" t="s">
        <v>477</v>
      </c>
      <c r="I91" t="s">
        <v>478</v>
      </c>
    </row>
    <row r="92" spans="1:9" x14ac:dyDescent="0.3">
      <c r="A92">
        <v>91</v>
      </c>
      <c r="B92">
        <v>91</v>
      </c>
      <c r="C92" t="s">
        <v>479</v>
      </c>
      <c r="D92" t="s">
        <v>124</v>
      </c>
      <c r="E92" t="s">
        <v>345</v>
      </c>
      <c r="F92" t="s">
        <v>480</v>
      </c>
      <c r="G92" t="s">
        <v>481</v>
      </c>
      <c r="H92" t="s">
        <v>482</v>
      </c>
      <c r="I92" t="s">
        <v>483</v>
      </c>
    </row>
    <row r="93" spans="1:9" x14ac:dyDescent="0.3">
      <c r="A93">
        <v>92</v>
      </c>
      <c r="B93">
        <v>92</v>
      </c>
      <c r="C93" t="s">
        <v>484</v>
      </c>
      <c r="D93" t="s">
        <v>205</v>
      </c>
      <c r="E93" t="s">
        <v>11</v>
      </c>
      <c r="F93" t="s">
        <v>485</v>
      </c>
      <c r="G93" t="s">
        <v>486</v>
      </c>
      <c r="H93" t="s">
        <v>487</v>
      </c>
      <c r="I93" t="s">
        <v>488</v>
      </c>
    </row>
    <row r="94" spans="1:9" x14ac:dyDescent="0.3">
      <c r="A94">
        <v>93</v>
      </c>
      <c r="B94">
        <v>93</v>
      </c>
      <c r="C94" t="s">
        <v>489</v>
      </c>
      <c r="D94" t="s">
        <v>35</v>
      </c>
      <c r="E94" t="s">
        <v>151</v>
      </c>
      <c r="F94" t="s">
        <v>490</v>
      </c>
      <c r="G94" t="s">
        <v>491</v>
      </c>
      <c r="H94" t="s">
        <v>492</v>
      </c>
      <c r="I94" t="s">
        <v>493</v>
      </c>
    </row>
    <row r="95" spans="1:9" x14ac:dyDescent="0.3">
      <c r="A95">
        <v>94</v>
      </c>
      <c r="B95">
        <v>94</v>
      </c>
      <c r="C95" t="s">
        <v>494</v>
      </c>
      <c r="D95" t="s">
        <v>10</v>
      </c>
      <c r="E95" t="s">
        <v>365</v>
      </c>
      <c r="F95" t="s">
        <v>495</v>
      </c>
      <c r="G95" t="s">
        <v>496</v>
      </c>
      <c r="H95" t="s">
        <v>497</v>
      </c>
      <c r="I95" t="s">
        <v>498</v>
      </c>
    </row>
    <row r="96" spans="1:9" x14ac:dyDescent="0.3">
      <c r="A96">
        <v>95</v>
      </c>
      <c r="B96">
        <v>95</v>
      </c>
      <c r="C96" t="s">
        <v>499</v>
      </c>
      <c r="D96" t="s">
        <v>10</v>
      </c>
      <c r="E96" t="s">
        <v>17</v>
      </c>
      <c r="F96" t="s">
        <v>500</v>
      </c>
      <c r="G96" t="s">
        <v>501</v>
      </c>
      <c r="H96" t="s">
        <v>502</v>
      </c>
      <c r="I96" t="s">
        <v>503</v>
      </c>
    </row>
    <row r="97" spans="1:9" x14ac:dyDescent="0.3">
      <c r="A97">
        <v>96</v>
      </c>
      <c r="B97">
        <v>96</v>
      </c>
      <c r="C97" t="s">
        <v>504</v>
      </c>
      <c r="D97" t="s">
        <v>76</v>
      </c>
      <c r="E97" t="s">
        <v>58</v>
      </c>
      <c r="F97" t="s">
        <v>505</v>
      </c>
      <c r="G97" t="s">
        <v>506</v>
      </c>
      <c r="H97" t="s">
        <v>507</v>
      </c>
      <c r="I97" t="s">
        <v>508</v>
      </c>
    </row>
    <row r="98" spans="1:9" x14ac:dyDescent="0.3">
      <c r="A98">
        <v>97</v>
      </c>
      <c r="B98">
        <v>97</v>
      </c>
      <c r="C98" t="s">
        <v>509</v>
      </c>
      <c r="D98" t="s">
        <v>10</v>
      </c>
      <c r="E98" t="s">
        <v>510</v>
      </c>
      <c r="F98" t="s">
        <v>511</v>
      </c>
      <c r="G98" t="s">
        <v>512</v>
      </c>
      <c r="H98" t="s">
        <v>513</v>
      </c>
      <c r="I98" t="s">
        <v>514</v>
      </c>
    </row>
    <row r="99" spans="1:9" x14ac:dyDescent="0.3">
      <c r="A99">
        <v>98</v>
      </c>
      <c r="B99">
        <v>98</v>
      </c>
      <c r="C99" t="s">
        <v>515</v>
      </c>
      <c r="D99" t="s">
        <v>76</v>
      </c>
      <c r="E99" t="s">
        <v>23</v>
      </c>
      <c r="F99" t="s">
        <v>516</v>
      </c>
      <c r="G99" t="s">
        <v>517</v>
      </c>
      <c r="H99" t="s">
        <v>518</v>
      </c>
      <c r="I99" t="s">
        <v>519</v>
      </c>
    </row>
    <row r="100" spans="1:9" x14ac:dyDescent="0.3">
      <c r="A100">
        <v>99</v>
      </c>
      <c r="B100">
        <v>99</v>
      </c>
      <c r="C100" t="s">
        <v>520</v>
      </c>
      <c r="D100" t="s">
        <v>521</v>
      </c>
      <c r="E100" t="s">
        <v>11</v>
      </c>
      <c r="F100" t="s">
        <v>522</v>
      </c>
      <c r="G100" t="s">
        <v>523</v>
      </c>
      <c r="H100" t="s">
        <v>524</v>
      </c>
      <c r="I100" t="s">
        <v>525</v>
      </c>
    </row>
    <row r="101" spans="1:9" x14ac:dyDescent="0.3">
      <c r="A101">
        <v>100</v>
      </c>
      <c r="B101">
        <v>100</v>
      </c>
      <c r="C101" t="s">
        <v>526</v>
      </c>
      <c r="D101" t="s">
        <v>104</v>
      </c>
      <c r="E101" t="s">
        <v>52</v>
      </c>
      <c r="F101" t="s">
        <v>527</v>
      </c>
      <c r="G101" t="s">
        <v>528</v>
      </c>
      <c r="H101" t="s">
        <v>529</v>
      </c>
      <c r="I101" t="s">
        <v>530</v>
      </c>
    </row>
    <row r="102" spans="1:9" x14ac:dyDescent="0.3">
      <c r="A102">
        <v>101</v>
      </c>
      <c r="B102">
        <v>101</v>
      </c>
      <c r="C102" t="s">
        <v>531</v>
      </c>
      <c r="D102" t="s">
        <v>10</v>
      </c>
      <c r="E102" t="s">
        <v>64</v>
      </c>
      <c r="F102" t="s">
        <v>532</v>
      </c>
      <c r="G102" t="s">
        <v>533</v>
      </c>
      <c r="H102" t="s">
        <v>534</v>
      </c>
      <c r="I102" t="s">
        <v>535</v>
      </c>
    </row>
    <row r="103" spans="1:9" x14ac:dyDescent="0.3">
      <c r="A103">
        <v>102</v>
      </c>
      <c r="B103">
        <v>102</v>
      </c>
      <c r="C103" t="s">
        <v>536</v>
      </c>
      <c r="D103" t="s">
        <v>10</v>
      </c>
      <c r="E103" t="s">
        <v>130</v>
      </c>
      <c r="F103" t="s">
        <v>537</v>
      </c>
      <c r="G103" t="s">
        <v>471</v>
      </c>
      <c r="H103" t="s">
        <v>538</v>
      </c>
      <c r="I103" t="s">
        <v>539</v>
      </c>
    </row>
    <row r="104" spans="1:9" x14ac:dyDescent="0.3">
      <c r="A104">
        <v>103</v>
      </c>
      <c r="B104">
        <v>103</v>
      </c>
      <c r="C104" t="s">
        <v>540</v>
      </c>
      <c r="D104" t="s">
        <v>10</v>
      </c>
      <c r="E104" t="s">
        <v>58</v>
      </c>
      <c r="F104" t="s">
        <v>541</v>
      </c>
      <c r="G104" t="s">
        <v>542</v>
      </c>
      <c r="H104" t="s">
        <v>543</v>
      </c>
      <c r="I104" t="s">
        <v>544</v>
      </c>
    </row>
    <row r="105" spans="1:9" x14ac:dyDescent="0.3">
      <c r="A105">
        <v>104</v>
      </c>
      <c r="B105">
        <v>104</v>
      </c>
      <c r="C105" t="s">
        <v>545</v>
      </c>
      <c r="D105" t="s">
        <v>10</v>
      </c>
      <c r="E105" t="s">
        <v>130</v>
      </c>
      <c r="F105" t="s">
        <v>546</v>
      </c>
      <c r="G105" t="s">
        <v>547</v>
      </c>
      <c r="H105" t="s">
        <v>548</v>
      </c>
      <c r="I105" t="s">
        <v>549</v>
      </c>
    </row>
    <row r="106" spans="1:9" x14ac:dyDescent="0.3">
      <c r="A106">
        <v>105</v>
      </c>
      <c r="B106">
        <v>105</v>
      </c>
      <c r="C106" t="s">
        <v>550</v>
      </c>
      <c r="D106" t="s">
        <v>35</v>
      </c>
      <c r="E106" t="s">
        <v>23</v>
      </c>
      <c r="F106" t="s">
        <v>551</v>
      </c>
      <c r="G106" t="s">
        <v>552</v>
      </c>
      <c r="H106" t="s">
        <v>553</v>
      </c>
      <c r="I106" t="s">
        <v>554</v>
      </c>
    </row>
    <row r="107" spans="1:9" x14ac:dyDescent="0.3">
      <c r="A107">
        <v>106</v>
      </c>
      <c r="B107">
        <v>106</v>
      </c>
      <c r="C107" t="s">
        <v>555</v>
      </c>
      <c r="D107" t="s">
        <v>417</v>
      </c>
      <c r="E107" t="s">
        <v>11</v>
      </c>
      <c r="F107" t="s">
        <v>556</v>
      </c>
      <c r="G107" t="s">
        <v>557</v>
      </c>
      <c r="H107">
        <v>216</v>
      </c>
      <c r="I107" t="s">
        <v>558</v>
      </c>
    </row>
    <row r="108" spans="1:9" x14ac:dyDescent="0.3">
      <c r="A108">
        <v>107</v>
      </c>
      <c r="B108">
        <v>107</v>
      </c>
      <c r="C108" t="s">
        <v>559</v>
      </c>
      <c r="D108" t="s">
        <v>10</v>
      </c>
      <c r="E108" t="s">
        <v>560</v>
      </c>
      <c r="F108" t="s">
        <v>561</v>
      </c>
      <c r="G108" t="s">
        <v>562</v>
      </c>
      <c r="H108" t="s">
        <v>563</v>
      </c>
      <c r="I108" t="s">
        <v>564</v>
      </c>
    </row>
    <row r="109" spans="1:9" x14ac:dyDescent="0.3">
      <c r="A109">
        <v>108</v>
      </c>
      <c r="B109">
        <v>108</v>
      </c>
      <c r="C109" t="s">
        <v>565</v>
      </c>
      <c r="D109" t="s">
        <v>104</v>
      </c>
      <c r="E109" t="s">
        <v>141</v>
      </c>
      <c r="F109" t="s">
        <v>566</v>
      </c>
      <c r="G109" t="s">
        <v>567</v>
      </c>
      <c r="H109" t="s">
        <v>568</v>
      </c>
      <c r="I109" t="s">
        <v>569</v>
      </c>
    </row>
    <row r="110" spans="1:9" x14ac:dyDescent="0.3">
      <c r="A110">
        <v>109</v>
      </c>
      <c r="B110">
        <v>109</v>
      </c>
      <c r="C110" t="s">
        <v>570</v>
      </c>
      <c r="D110" t="s">
        <v>216</v>
      </c>
      <c r="E110" t="s">
        <v>29</v>
      </c>
      <c r="F110" t="s">
        <v>571</v>
      </c>
      <c r="G110" t="s">
        <v>528</v>
      </c>
      <c r="H110" t="s">
        <v>572</v>
      </c>
      <c r="I110" t="s">
        <v>573</v>
      </c>
    </row>
    <row r="111" spans="1:9" x14ac:dyDescent="0.3">
      <c r="A111">
        <v>110</v>
      </c>
      <c r="B111">
        <v>110</v>
      </c>
      <c r="C111" t="s">
        <v>574</v>
      </c>
      <c r="D111" t="s">
        <v>452</v>
      </c>
      <c r="E111" t="s">
        <v>232</v>
      </c>
      <c r="F111" t="s">
        <v>575</v>
      </c>
      <c r="G111" t="s">
        <v>576</v>
      </c>
      <c r="H111" t="s">
        <v>577</v>
      </c>
      <c r="I111" t="s">
        <v>578</v>
      </c>
    </row>
    <row r="112" spans="1:9" x14ac:dyDescent="0.3">
      <c r="A112">
        <v>111</v>
      </c>
      <c r="B112">
        <v>111</v>
      </c>
      <c r="C112" t="s">
        <v>579</v>
      </c>
      <c r="D112" t="s">
        <v>124</v>
      </c>
      <c r="E112" t="s">
        <v>510</v>
      </c>
      <c r="F112" t="s">
        <v>580</v>
      </c>
      <c r="G112" t="s">
        <v>581</v>
      </c>
      <c r="H112" t="s">
        <v>582</v>
      </c>
      <c r="I112">
        <v>30</v>
      </c>
    </row>
    <row r="113" spans="1:9" x14ac:dyDescent="0.3">
      <c r="A113">
        <v>112</v>
      </c>
      <c r="B113">
        <v>112</v>
      </c>
      <c r="C113" t="s">
        <v>583</v>
      </c>
      <c r="D113" t="s">
        <v>584</v>
      </c>
      <c r="E113" t="s">
        <v>151</v>
      </c>
      <c r="F113" t="s">
        <v>585</v>
      </c>
      <c r="G113" t="s">
        <v>586</v>
      </c>
      <c r="H113" t="s">
        <v>587</v>
      </c>
      <c r="I113" t="s">
        <v>588</v>
      </c>
    </row>
    <row r="114" spans="1:9" x14ac:dyDescent="0.3">
      <c r="A114">
        <v>113</v>
      </c>
      <c r="B114">
        <v>113</v>
      </c>
      <c r="C114" t="s">
        <v>589</v>
      </c>
      <c r="D114" t="s">
        <v>10</v>
      </c>
      <c r="E114" t="s">
        <v>98</v>
      </c>
      <c r="F114" t="s">
        <v>590</v>
      </c>
      <c r="G114" t="s">
        <v>234</v>
      </c>
      <c r="H114" t="s">
        <v>591</v>
      </c>
      <c r="I114" t="s">
        <v>592</v>
      </c>
    </row>
    <row r="115" spans="1:9" x14ac:dyDescent="0.3">
      <c r="A115">
        <v>114</v>
      </c>
      <c r="B115">
        <v>114</v>
      </c>
      <c r="C115" t="s">
        <v>593</v>
      </c>
      <c r="D115" t="s">
        <v>104</v>
      </c>
      <c r="E115" t="s">
        <v>52</v>
      </c>
      <c r="F115" t="s">
        <v>594</v>
      </c>
      <c r="G115" t="s">
        <v>486</v>
      </c>
      <c r="H115" t="s">
        <v>595</v>
      </c>
      <c r="I115" t="s">
        <v>596</v>
      </c>
    </row>
    <row r="116" spans="1:9" x14ac:dyDescent="0.3">
      <c r="A116">
        <v>115</v>
      </c>
      <c r="B116">
        <v>115</v>
      </c>
      <c r="C116" t="s">
        <v>597</v>
      </c>
      <c r="D116" t="s">
        <v>216</v>
      </c>
      <c r="E116" t="s">
        <v>345</v>
      </c>
      <c r="F116" t="s">
        <v>598</v>
      </c>
      <c r="G116" t="s">
        <v>599</v>
      </c>
      <c r="H116" t="s">
        <v>600</v>
      </c>
      <c r="I116" t="s">
        <v>601</v>
      </c>
    </row>
    <row r="117" spans="1:9" x14ac:dyDescent="0.3">
      <c r="A117">
        <v>116</v>
      </c>
      <c r="B117">
        <v>116</v>
      </c>
      <c r="C117" t="s">
        <v>602</v>
      </c>
      <c r="D117" t="s">
        <v>10</v>
      </c>
      <c r="E117" t="s">
        <v>151</v>
      </c>
      <c r="F117" t="s">
        <v>603</v>
      </c>
      <c r="G117" t="s">
        <v>604</v>
      </c>
      <c r="H117" t="s">
        <v>605</v>
      </c>
      <c r="I117" t="s">
        <v>606</v>
      </c>
    </row>
    <row r="118" spans="1:9" x14ac:dyDescent="0.3">
      <c r="A118">
        <v>117</v>
      </c>
      <c r="B118">
        <v>117</v>
      </c>
      <c r="C118" t="s">
        <v>607</v>
      </c>
      <c r="D118" t="s">
        <v>608</v>
      </c>
      <c r="E118" t="s">
        <v>29</v>
      </c>
      <c r="F118" t="s">
        <v>609</v>
      </c>
      <c r="G118" t="s">
        <v>501</v>
      </c>
      <c r="H118" t="s">
        <v>610</v>
      </c>
      <c r="I118" t="s">
        <v>611</v>
      </c>
    </row>
    <row r="119" spans="1:9" x14ac:dyDescent="0.3">
      <c r="A119">
        <v>118</v>
      </c>
      <c r="B119">
        <v>118</v>
      </c>
      <c r="C119" t="s">
        <v>612</v>
      </c>
      <c r="D119" t="s">
        <v>10</v>
      </c>
      <c r="E119" t="s">
        <v>141</v>
      </c>
      <c r="F119" t="s">
        <v>613</v>
      </c>
      <c r="G119" t="s">
        <v>614</v>
      </c>
      <c r="H119" t="s">
        <v>615</v>
      </c>
      <c r="I119" t="s">
        <v>616</v>
      </c>
    </row>
    <row r="120" spans="1:9" x14ac:dyDescent="0.3">
      <c r="A120">
        <v>119</v>
      </c>
      <c r="B120">
        <v>119</v>
      </c>
      <c r="C120" t="s">
        <v>617</v>
      </c>
      <c r="D120" t="s">
        <v>35</v>
      </c>
      <c r="E120" t="s">
        <v>141</v>
      </c>
      <c r="F120" t="s">
        <v>618</v>
      </c>
      <c r="G120" t="s">
        <v>619</v>
      </c>
      <c r="H120" t="s">
        <v>620</v>
      </c>
      <c r="I120" t="s">
        <v>621</v>
      </c>
    </row>
    <row r="121" spans="1:9" x14ac:dyDescent="0.3">
      <c r="A121">
        <v>120</v>
      </c>
      <c r="B121">
        <v>120</v>
      </c>
      <c r="C121" t="s">
        <v>622</v>
      </c>
      <c r="D121" t="s">
        <v>35</v>
      </c>
      <c r="E121" t="s">
        <v>464</v>
      </c>
      <c r="F121" t="s">
        <v>623</v>
      </c>
      <c r="G121" t="s">
        <v>624</v>
      </c>
      <c r="H121" t="s">
        <v>625</v>
      </c>
      <c r="I121" t="s">
        <v>626</v>
      </c>
    </row>
    <row r="122" spans="1:9" x14ac:dyDescent="0.3">
      <c r="A122">
        <v>121</v>
      </c>
      <c r="B122">
        <v>121</v>
      </c>
      <c r="C122" t="s">
        <v>627</v>
      </c>
      <c r="D122" t="s">
        <v>10</v>
      </c>
      <c r="E122" t="s">
        <v>141</v>
      </c>
      <c r="F122" t="s">
        <v>628</v>
      </c>
      <c r="G122" t="s">
        <v>629</v>
      </c>
      <c r="H122" t="s">
        <v>630</v>
      </c>
      <c r="I122" t="s">
        <v>631</v>
      </c>
    </row>
    <row r="123" spans="1:9" x14ac:dyDescent="0.3">
      <c r="A123">
        <v>122</v>
      </c>
      <c r="B123">
        <v>122</v>
      </c>
      <c r="C123" t="s">
        <v>632</v>
      </c>
      <c r="D123" t="s">
        <v>633</v>
      </c>
      <c r="E123" t="s">
        <v>634</v>
      </c>
      <c r="F123" t="s">
        <v>635</v>
      </c>
      <c r="G123" t="s">
        <v>476</v>
      </c>
      <c r="H123" t="s">
        <v>636</v>
      </c>
      <c r="I123" t="s">
        <v>637</v>
      </c>
    </row>
    <row r="124" spans="1:9" x14ac:dyDescent="0.3">
      <c r="A124">
        <v>123</v>
      </c>
      <c r="B124">
        <v>123</v>
      </c>
      <c r="C124" t="s">
        <v>638</v>
      </c>
      <c r="D124" t="s">
        <v>124</v>
      </c>
      <c r="E124" t="s">
        <v>510</v>
      </c>
      <c r="F124" t="s">
        <v>639</v>
      </c>
      <c r="G124" t="s">
        <v>640</v>
      </c>
      <c r="H124" t="s">
        <v>641</v>
      </c>
      <c r="I124" t="s">
        <v>642</v>
      </c>
    </row>
    <row r="125" spans="1:9" x14ac:dyDescent="0.3">
      <c r="A125">
        <v>124</v>
      </c>
      <c r="B125">
        <v>124</v>
      </c>
      <c r="C125" t="s">
        <v>643</v>
      </c>
      <c r="D125" t="s">
        <v>10</v>
      </c>
      <c r="E125" t="s">
        <v>23</v>
      </c>
      <c r="F125" t="s">
        <v>644</v>
      </c>
      <c r="G125" t="s">
        <v>645</v>
      </c>
      <c r="H125" t="s">
        <v>646</v>
      </c>
      <c r="I125" t="s">
        <v>647</v>
      </c>
    </row>
    <row r="126" spans="1:9" x14ac:dyDescent="0.3">
      <c r="A126">
        <v>125</v>
      </c>
      <c r="B126">
        <v>125</v>
      </c>
      <c r="C126" t="s">
        <v>648</v>
      </c>
      <c r="D126" t="s">
        <v>10</v>
      </c>
      <c r="E126" t="s">
        <v>58</v>
      </c>
      <c r="F126" t="s">
        <v>649</v>
      </c>
      <c r="G126" t="s">
        <v>171</v>
      </c>
      <c r="H126" t="s">
        <v>650</v>
      </c>
      <c r="I126" t="s">
        <v>651</v>
      </c>
    </row>
    <row r="127" spans="1:9" x14ac:dyDescent="0.3">
      <c r="A127">
        <v>126</v>
      </c>
      <c r="B127">
        <v>126</v>
      </c>
      <c r="C127" t="s">
        <v>652</v>
      </c>
      <c r="D127" t="s">
        <v>452</v>
      </c>
      <c r="E127" t="s">
        <v>11</v>
      </c>
      <c r="F127" t="s">
        <v>653</v>
      </c>
      <c r="G127" t="s">
        <v>523</v>
      </c>
      <c r="H127" t="s">
        <v>654</v>
      </c>
      <c r="I127" t="s">
        <v>655</v>
      </c>
    </row>
    <row r="128" spans="1:9" x14ac:dyDescent="0.3">
      <c r="A128">
        <v>127</v>
      </c>
      <c r="B128">
        <v>127</v>
      </c>
      <c r="C128" t="s">
        <v>656</v>
      </c>
      <c r="D128" t="s">
        <v>657</v>
      </c>
      <c r="E128" t="s">
        <v>29</v>
      </c>
      <c r="F128" t="s">
        <v>658</v>
      </c>
      <c r="G128" t="s">
        <v>567</v>
      </c>
      <c r="H128" t="s">
        <v>659</v>
      </c>
      <c r="I128" t="s">
        <v>293</v>
      </c>
    </row>
    <row r="129" spans="1:9" x14ac:dyDescent="0.3">
      <c r="A129">
        <v>128</v>
      </c>
      <c r="B129">
        <v>128</v>
      </c>
      <c r="C129" t="s">
        <v>660</v>
      </c>
      <c r="D129" t="s">
        <v>205</v>
      </c>
      <c r="E129" t="s">
        <v>11</v>
      </c>
      <c r="F129" t="s">
        <v>661</v>
      </c>
      <c r="G129" t="s">
        <v>662</v>
      </c>
      <c r="H129" t="s">
        <v>663</v>
      </c>
      <c r="I129" t="s">
        <v>664</v>
      </c>
    </row>
    <row r="130" spans="1:9" x14ac:dyDescent="0.3">
      <c r="A130">
        <v>129</v>
      </c>
      <c r="B130">
        <v>129</v>
      </c>
      <c r="C130" t="s">
        <v>665</v>
      </c>
      <c r="D130" t="s">
        <v>10</v>
      </c>
      <c r="E130" t="s">
        <v>141</v>
      </c>
      <c r="F130" t="s">
        <v>666</v>
      </c>
      <c r="G130" t="s">
        <v>619</v>
      </c>
      <c r="H130" t="s">
        <v>667</v>
      </c>
      <c r="I130" t="s">
        <v>668</v>
      </c>
    </row>
    <row r="131" spans="1:9" x14ac:dyDescent="0.3">
      <c r="A131">
        <v>130</v>
      </c>
      <c r="B131">
        <v>130</v>
      </c>
      <c r="C131" t="s">
        <v>669</v>
      </c>
      <c r="D131" t="s">
        <v>417</v>
      </c>
      <c r="E131" t="s">
        <v>11</v>
      </c>
      <c r="F131">
        <v>13</v>
      </c>
      <c r="G131" t="s">
        <v>670</v>
      </c>
      <c r="H131">
        <v>209</v>
      </c>
      <c r="I131" t="s">
        <v>671</v>
      </c>
    </row>
    <row r="132" spans="1:9" x14ac:dyDescent="0.3">
      <c r="A132">
        <v>131</v>
      </c>
      <c r="B132">
        <v>131</v>
      </c>
      <c r="C132" t="s">
        <v>672</v>
      </c>
      <c r="D132" t="s">
        <v>10</v>
      </c>
      <c r="E132" t="s">
        <v>98</v>
      </c>
      <c r="F132" t="s">
        <v>659</v>
      </c>
      <c r="G132" t="s">
        <v>673</v>
      </c>
      <c r="H132" t="s">
        <v>674</v>
      </c>
      <c r="I132" t="s">
        <v>675</v>
      </c>
    </row>
    <row r="133" spans="1:9" x14ac:dyDescent="0.3">
      <c r="A133">
        <v>132</v>
      </c>
      <c r="B133">
        <v>132</v>
      </c>
      <c r="C133" t="s">
        <v>676</v>
      </c>
      <c r="D133" t="s">
        <v>10</v>
      </c>
      <c r="E133" t="s">
        <v>510</v>
      </c>
      <c r="F133" t="s">
        <v>677</v>
      </c>
      <c r="G133" t="s">
        <v>552</v>
      </c>
      <c r="H133" t="s">
        <v>678</v>
      </c>
      <c r="I133" t="s">
        <v>679</v>
      </c>
    </row>
    <row r="134" spans="1:9" x14ac:dyDescent="0.3">
      <c r="A134">
        <v>133</v>
      </c>
      <c r="B134">
        <v>133</v>
      </c>
      <c r="C134" t="s">
        <v>680</v>
      </c>
      <c r="D134" t="s">
        <v>681</v>
      </c>
      <c r="E134" t="s">
        <v>11</v>
      </c>
      <c r="F134" t="s">
        <v>682</v>
      </c>
      <c r="G134" t="s">
        <v>683</v>
      </c>
      <c r="H134" t="s">
        <v>684</v>
      </c>
      <c r="I134" t="s">
        <v>685</v>
      </c>
    </row>
    <row r="135" spans="1:9" x14ac:dyDescent="0.3">
      <c r="A135">
        <v>134</v>
      </c>
      <c r="B135">
        <v>134</v>
      </c>
      <c r="C135" t="s">
        <v>686</v>
      </c>
      <c r="D135" t="s">
        <v>10</v>
      </c>
      <c r="E135" t="s">
        <v>687</v>
      </c>
      <c r="F135" t="s">
        <v>688</v>
      </c>
      <c r="G135" t="s">
        <v>481</v>
      </c>
      <c r="H135" t="s">
        <v>689</v>
      </c>
      <c r="I135" t="s">
        <v>389</v>
      </c>
    </row>
    <row r="136" spans="1:9" x14ac:dyDescent="0.3">
      <c r="A136">
        <v>135</v>
      </c>
      <c r="B136">
        <v>135</v>
      </c>
      <c r="C136" t="s">
        <v>690</v>
      </c>
      <c r="D136" t="s">
        <v>10</v>
      </c>
      <c r="E136" t="s">
        <v>560</v>
      </c>
      <c r="F136" t="s">
        <v>691</v>
      </c>
      <c r="G136" t="s">
        <v>692</v>
      </c>
      <c r="H136" t="s">
        <v>693</v>
      </c>
      <c r="I136" t="s">
        <v>694</v>
      </c>
    </row>
    <row r="137" spans="1:9" x14ac:dyDescent="0.3">
      <c r="A137">
        <v>136</v>
      </c>
      <c r="B137">
        <v>136</v>
      </c>
      <c r="C137" t="s">
        <v>695</v>
      </c>
      <c r="D137" t="s">
        <v>696</v>
      </c>
      <c r="E137" t="s">
        <v>11</v>
      </c>
      <c r="F137" t="s">
        <v>697</v>
      </c>
      <c r="G137" t="s">
        <v>662</v>
      </c>
      <c r="H137" t="s">
        <v>698</v>
      </c>
      <c r="I137" t="s">
        <v>699</v>
      </c>
    </row>
    <row r="138" spans="1:9" x14ac:dyDescent="0.3">
      <c r="A138">
        <v>137</v>
      </c>
      <c r="B138">
        <v>137</v>
      </c>
      <c r="C138" t="s">
        <v>700</v>
      </c>
      <c r="D138" t="s">
        <v>35</v>
      </c>
      <c r="E138" t="s">
        <v>634</v>
      </c>
      <c r="F138" t="s">
        <v>701</v>
      </c>
      <c r="G138" t="s">
        <v>702</v>
      </c>
      <c r="H138" t="s">
        <v>703</v>
      </c>
      <c r="I138" t="s">
        <v>704</v>
      </c>
    </row>
    <row r="139" spans="1:9" x14ac:dyDescent="0.3">
      <c r="A139">
        <v>138</v>
      </c>
      <c r="B139">
        <v>138</v>
      </c>
      <c r="C139" t="s">
        <v>705</v>
      </c>
      <c r="D139" t="s">
        <v>51</v>
      </c>
      <c r="E139" t="s">
        <v>706</v>
      </c>
      <c r="F139" t="s">
        <v>707</v>
      </c>
      <c r="G139" t="s">
        <v>294</v>
      </c>
      <c r="H139" t="s">
        <v>708</v>
      </c>
      <c r="I139" t="s">
        <v>709</v>
      </c>
    </row>
    <row r="140" spans="1:9" x14ac:dyDescent="0.3">
      <c r="A140">
        <v>139</v>
      </c>
      <c r="B140">
        <v>139</v>
      </c>
      <c r="C140" t="s">
        <v>710</v>
      </c>
      <c r="D140" t="s">
        <v>10</v>
      </c>
      <c r="E140" t="s">
        <v>23</v>
      </c>
      <c r="F140" t="s">
        <v>711</v>
      </c>
      <c r="G140" t="s">
        <v>533</v>
      </c>
      <c r="H140" t="s">
        <v>712</v>
      </c>
      <c r="I140" t="s">
        <v>713</v>
      </c>
    </row>
    <row r="141" spans="1:9" x14ac:dyDescent="0.3">
      <c r="A141">
        <v>140</v>
      </c>
      <c r="B141">
        <v>140</v>
      </c>
      <c r="C141" t="s">
        <v>714</v>
      </c>
      <c r="D141" t="s">
        <v>10</v>
      </c>
      <c r="E141" t="s">
        <v>715</v>
      </c>
      <c r="F141" t="s">
        <v>716</v>
      </c>
      <c r="G141" t="s">
        <v>717</v>
      </c>
      <c r="H141" t="s">
        <v>718</v>
      </c>
      <c r="I141" t="s">
        <v>719</v>
      </c>
    </row>
    <row r="142" spans="1:9" x14ac:dyDescent="0.3">
      <c r="A142">
        <v>141</v>
      </c>
      <c r="B142">
        <v>141</v>
      </c>
      <c r="C142" t="s">
        <v>720</v>
      </c>
      <c r="D142" t="s">
        <v>417</v>
      </c>
      <c r="E142" t="s">
        <v>23</v>
      </c>
      <c r="F142" t="s">
        <v>721</v>
      </c>
      <c r="G142" t="s">
        <v>722</v>
      </c>
      <c r="H142" t="s">
        <v>723</v>
      </c>
      <c r="I142" t="s">
        <v>724</v>
      </c>
    </row>
    <row r="143" spans="1:9" x14ac:dyDescent="0.3">
      <c r="A143">
        <v>142</v>
      </c>
      <c r="B143">
        <v>142</v>
      </c>
      <c r="C143" t="s">
        <v>725</v>
      </c>
      <c r="D143" t="s">
        <v>104</v>
      </c>
      <c r="E143" t="s">
        <v>726</v>
      </c>
      <c r="F143" t="s">
        <v>727</v>
      </c>
      <c r="G143" t="s">
        <v>728</v>
      </c>
      <c r="H143" t="s">
        <v>729</v>
      </c>
      <c r="I143" t="s">
        <v>730</v>
      </c>
    </row>
    <row r="144" spans="1:9" x14ac:dyDescent="0.3">
      <c r="A144">
        <v>143</v>
      </c>
      <c r="B144">
        <v>143</v>
      </c>
      <c r="C144" t="s">
        <v>731</v>
      </c>
      <c r="D144" t="s">
        <v>51</v>
      </c>
      <c r="E144" t="s">
        <v>365</v>
      </c>
      <c r="F144" t="s">
        <v>732</v>
      </c>
      <c r="G144" t="s">
        <v>733</v>
      </c>
      <c r="H144" t="s">
        <v>734</v>
      </c>
      <c r="I144" t="s">
        <v>735</v>
      </c>
    </row>
    <row r="145" spans="1:9" x14ac:dyDescent="0.3">
      <c r="A145">
        <v>144</v>
      </c>
      <c r="B145">
        <v>144</v>
      </c>
      <c r="C145" t="s">
        <v>736</v>
      </c>
      <c r="D145" t="s">
        <v>737</v>
      </c>
      <c r="E145" t="s">
        <v>17</v>
      </c>
      <c r="F145" t="s">
        <v>738</v>
      </c>
      <c r="G145" t="s">
        <v>739</v>
      </c>
      <c r="H145" t="s">
        <v>740</v>
      </c>
      <c r="I145" t="s">
        <v>741</v>
      </c>
    </row>
    <row r="146" spans="1:9" x14ac:dyDescent="0.3">
      <c r="A146">
        <v>145</v>
      </c>
      <c r="B146">
        <v>145</v>
      </c>
      <c r="C146" t="s">
        <v>742</v>
      </c>
      <c r="D146" t="s">
        <v>10</v>
      </c>
      <c r="E146" t="s">
        <v>743</v>
      </c>
      <c r="F146" t="s">
        <v>744</v>
      </c>
      <c r="G146" t="s">
        <v>466</v>
      </c>
      <c r="H146" t="s">
        <v>745</v>
      </c>
      <c r="I146" t="s">
        <v>746</v>
      </c>
    </row>
    <row r="147" spans="1:9" x14ac:dyDescent="0.3">
      <c r="A147">
        <v>146</v>
      </c>
      <c r="B147">
        <v>146</v>
      </c>
      <c r="C147" t="s">
        <v>747</v>
      </c>
      <c r="D147" t="s">
        <v>417</v>
      </c>
      <c r="E147" t="s">
        <v>11</v>
      </c>
      <c r="F147" t="s">
        <v>748</v>
      </c>
      <c r="G147" t="s">
        <v>749</v>
      </c>
      <c r="H147" t="s">
        <v>750</v>
      </c>
      <c r="I147" t="s">
        <v>751</v>
      </c>
    </row>
    <row r="148" spans="1:9" x14ac:dyDescent="0.3">
      <c r="A148">
        <v>147</v>
      </c>
      <c r="B148">
        <v>147</v>
      </c>
      <c r="C148" t="s">
        <v>752</v>
      </c>
      <c r="D148" t="s">
        <v>10</v>
      </c>
      <c r="E148" t="s">
        <v>634</v>
      </c>
      <c r="F148" t="s">
        <v>753</v>
      </c>
      <c r="G148" t="s">
        <v>754</v>
      </c>
      <c r="H148" t="s">
        <v>755</v>
      </c>
      <c r="I148" t="s">
        <v>756</v>
      </c>
    </row>
    <row r="149" spans="1:9" x14ac:dyDescent="0.3">
      <c r="A149">
        <v>148</v>
      </c>
      <c r="B149">
        <v>148</v>
      </c>
      <c r="C149" t="s">
        <v>757</v>
      </c>
      <c r="D149" t="s">
        <v>10</v>
      </c>
      <c r="E149" t="s">
        <v>11</v>
      </c>
      <c r="F149" t="s">
        <v>758</v>
      </c>
      <c r="G149" t="s">
        <v>392</v>
      </c>
      <c r="H149" t="s">
        <v>759</v>
      </c>
      <c r="I149" t="s">
        <v>760</v>
      </c>
    </row>
    <row r="150" spans="1:9" x14ac:dyDescent="0.3">
      <c r="A150">
        <v>149</v>
      </c>
      <c r="B150">
        <v>149</v>
      </c>
      <c r="C150" t="s">
        <v>761</v>
      </c>
      <c r="D150" t="s">
        <v>452</v>
      </c>
      <c r="E150" t="s">
        <v>11</v>
      </c>
      <c r="F150" t="s">
        <v>762</v>
      </c>
      <c r="G150" t="s">
        <v>624</v>
      </c>
      <c r="H150" t="s">
        <v>763</v>
      </c>
      <c r="I150" t="s">
        <v>764</v>
      </c>
    </row>
    <row r="151" spans="1:9" x14ac:dyDescent="0.3">
      <c r="A151">
        <v>150</v>
      </c>
      <c r="B151">
        <v>150</v>
      </c>
      <c r="C151" t="s">
        <v>765</v>
      </c>
      <c r="D151" t="s">
        <v>10</v>
      </c>
      <c r="E151" t="s">
        <v>64</v>
      </c>
      <c r="F151" t="s">
        <v>766</v>
      </c>
      <c r="G151" t="s">
        <v>767</v>
      </c>
      <c r="H151" t="s">
        <v>768</v>
      </c>
      <c r="I151" t="s">
        <v>769</v>
      </c>
    </row>
    <row r="152" spans="1:9" x14ac:dyDescent="0.3">
      <c r="A152">
        <v>151</v>
      </c>
      <c r="B152">
        <v>151</v>
      </c>
      <c r="C152" t="s">
        <v>770</v>
      </c>
      <c r="D152" t="s">
        <v>417</v>
      </c>
      <c r="E152" t="s">
        <v>11</v>
      </c>
      <c r="F152" t="s">
        <v>771</v>
      </c>
      <c r="G152" t="s">
        <v>772</v>
      </c>
      <c r="H152" t="s">
        <v>773</v>
      </c>
      <c r="I152" t="s">
        <v>774</v>
      </c>
    </row>
    <row r="153" spans="1:9" x14ac:dyDescent="0.3">
      <c r="A153">
        <v>152</v>
      </c>
      <c r="B153">
        <v>152</v>
      </c>
      <c r="C153" t="s">
        <v>775</v>
      </c>
      <c r="D153" t="s">
        <v>249</v>
      </c>
      <c r="E153" t="s">
        <v>345</v>
      </c>
      <c r="F153" t="s">
        <v>355</v>
      </c>
      <c r="G153" t="s">
        <v>153</v>
      </c>
      <c r="H153" t="s">
        <v>287</v>
      </c>
      <c r="I153" t="s">
        <v>776</v>
      </c>
    </row>
    <row r="154" spans="1:9" x14ac:dyDescent="0.3">
      <c r="A154">
        <v>153</v>
      </c>
      <c r="B154">
        <v>153</v>
      </c>
      <c r="C154" t="s">
        <v>777</v>
      </c>
      <c r="D154" t="s">
        <v>681</v>
      </c>
      <c r="E154" t="s">
        <v>365</v>
      </c>
      <c r="F154" t="s">
        <v>778</v>
      </c>
      <c r="G154" t="s">
        <v>191</v>
      </c>
      <c r="H154" t="s">
        <v>779</v>
      </c>
      <c r="I154" t="s">
        <v>780</v>
      </c>
    </row>
    <row r="155" spans="1:9" x14ac:dyDescent="0.3">
      <c r="A155">
        <v>154</v>
      </c>
      <c r="B155">
        <v>154</v>
      </c>
      <c r="C155" t="s">
        <v>781</v>
      </c>
      <c r="D155" t="s">
        <v>249</v>
      </c>
      <c r="E155" t="s">
        <v>11</v>
      </c>
      <c r="F155" t="s">
        <v>782</v>
      </c>
      <c r="G155" t="s">
        <v>783</v>
      </c>
      <c r="H155" t="s">
        <v>784</v>
      </c>
      <c r="I155" t="s">
        <v>785</v>
      </c>
    </row>
    <row r="156" spans="1:9" x14ac:dyDescent="0.3">
      <c r="A156">
        <v>155</v>
      </c>
      <c r="B156">
        <v>155</v>
      </c>
      <c r="C156" t="s">
        <v>786</v>
      </c>
      <c r="D156" t="s">
        <v>35</v>
      </c>
      <c r="E156" t="s">
        <v>130</v>
      </c>
      <c r="F156" t="s">
        <v>787</v>
      </c>
      <c r="G156" t="s">
        <v>788</v>
      </c>
      <c r="H156" t="s">
        <v>789</v>
      </c>
      <c r="I156" t="s">
        <v>790</v>
      </c>
    </row>
    <row r="157" spans="1:9" x14ac:dyDescent="0.3">
      <c r="A157">
        <v>156</v>
      </c>
      <c r="B157">
        <v>156</v>
      </c>
      <c r="C157" t="s">
        <v>791</v>
      </c>
      <c r="D157" t="s">
        <v>51</v>
      </c>
      <c r="E157" t="s">
        <v>792</v>
      </c>
      <c r="F157" t="s">
        <v>793</v>
      </c>
      <c r="G157" t="s">
        <v>794</v>
      </c>
      <c r="H157" t="s">
        <v>795</v>
      </c>
      <c r="I157" t="s">
        <v>796</v>
      </c>
    </row>
    <row r="158" spans="1:9" x14ac:dyDescent="0.3">
      <c r="A158">
        <v>157</v>
      </c>
      <c r="B158">
        <v>157</v>
      </c>
      <c r="C158" t="s">
        <v>797</v>
      </c>
      <c r="D158" t="s">
        <v>51</v>
      </c>
      <c r="E158" t="s">
        <v>345</v>
      </c>
      <c r="F158" t="s">
        <v>798</v>
      </c>
      <c r="G158" t="s">
        <v>799</v>
      </c>
      <c r="H158" t="s">
        <v>800</v>
      </c>
      <c r="I158" t="s">
        <v>801</v>
      </c>
    </row>
    <row r="159" spans="1:9" x14ac:dyDescent="0.3">
      <c r="A159">
        <v>158</v>
      </c>
      <c r="B159">
        <v>158</v>
      </c>
      <c r="C159" t="s">
        <v>802</v>
      </c>
      <c r="D159" t="s">
        <v>521</v>
      </c>
      <c r="E159" t="s">
        <v>58</v>
      </c>
      <c r="F159" t="s">
        <v>803</v>
      </c>
      <c r="G159" t="s">
        <v>804</v>
      </c>
      <c r="H159" t="s">
        <v>805</v>
      </c>
      <c r="I159" t="s">
        <v>806</v>
      </c>
    </row>
    <row r="160" spans="1:9" x14ac:dyDescent="0.3">
      <c r="A160">
        <v>159</v>
      </c>
      <c r="B160">
        <v>159</v>
      </c>
      <c r="C160" t="s">
        <v>807</v>
      </c>
      <c r="D160" t="s">
        <v>51</v>
      </c>
      <c r="E160" t="s">
        <v>23</v>
      </c>
      <c r="F160" t="s">
        <v>808</v>
      </c>
      <c r="G160" t="s">
        <v>809</v>
      </c>
      <c r="H160" t="s">
        <v>810</v>
      </c>
      <c r="I160" t="s">
        <v>811</v>
      </c>
    </row>
    <row r="161" spans="1:9" x14ac:dyDescent="0.3">
      <c r="A161">
        <v>160</v>
      </c>
      <c r="B161">
        <v>160</v>
      </c>
      <c r="C161" t="s">
        <v>812</v>
      </c>
      <c r="D161" t="s">
        <v>452</v>
      </c>
      <c r="E161" t="s">
        <v>11</v>
      </c>
      <c r="F161" t="s">
        <v>813</v>
      </c>
      <c r="G161" t="s">
        <v>814</v>
      </c>
      <c r="H161" t="s">
        <v>815</v>
      </c>
      <c r="I161" t="s">
        <v>816</v>
      </c>
    </row>
    <row r="162" spans="1:9" x14ac:dyDescent="0.3">
      <c r="A162">
        <v>161</v>
      </c>
      <c r="B162">
        <v>161</v>
      </c>
      <c r="C162" t="s">
        <v>817</v>
      </c>
      <c r="D162" t="s">
        <v>10</v>
      </c>
      <c r="E162" t="s">
        <v>58</v>
      </c>
      <c r="F162" t="s">
        <v>818</v>
      </c>
      <c r="G162" t="s">
        <v>819</v>
      </c>
      <c r="H162" t="s">
        <v>820</v>
      </c>
      <c r="I162" t="s">
        <v>821</v>
      </c>
    </row>
    <row r="163" spans="1:9" x14ac:dyDescent="0.3">
      <c r="A163">
        <v>162</v>
      </c>
      <c r="B163">
        <v>162</v>
      </c>
      <c r="C163" t="s">
        <v>822</v>
      </c>
      <c r="D163" t="s">
        <v>10</v>
      </c>
      <c r="E163" t="s">
        <v>560</v>
      </c>
      <c r="F163" t="s">
        <v>421</v>
      </c>
      <c r="G163" t="s">
        <v>823</v>
      </c>
      <c r="H163" t="s">
        <v>824</v>
      </c>
      <c r="I163" t="s">
        <v>825</v>
      </c>
    </row>
    <row r="164" spans="1:9" x14ac:dyDescent="0.3">
      <c r="A164">
        <v>163</v>
      </c>
      <c r="B164">
        <v>163</v>
      </c>
      <c r="C164" t="s">
        <v>826</v>
      </c>
      <c r="D164" t="s">
        <v>10</v>
      </c>
      <c r="E164" t="s">
        <v>17</v>
      </c>
      <c r="F164" t="s">
        <v>827</v>
      </c>
      <c r="G164" t="s">
        <v>828</v>
      </c>
      <c r="H164" t="s">
        <v>829</v>
      </c>
      <c r="I164" t="s">
        <v>830</v>
      </c>
    </row>
    <row r="165" spans="1:9" x14ac:dyDescent="0.3">
      <c r="A165">
        <v>164</v>
      </c>
      <c r="B165">
        <v>164</v>
      </c>
      <c r="C165" t="s">
        <v>831</v>
      </c>
      <c r="D165" t="s">
        <v>452</v>
      </c>
      <c r="E165" t="s">
        <v>151</v>
      </c>
      <c r="F165" t="s">
        <v>832</v>
      </c>
      <c r="G165" t="s">
        <v>833</v>
      </c>
      <c r="H165" t="s">
        <v>834</v>
      </c>
      <c r="I165" t="s">
        <v>835</v>
      </c>
    </row>
    <row r="166" spans="1:9" x14ac:dyDescent="0.3">
      <c r="A166">
        <v>165</v>
      </c>
      <c r="B166">
        <v>165</v>
      </c>
      <c r="C166" t="s">
        <v>836</v>
      </c>
      <c r="D166" t="s">
        <v>10</v>
      </c>
      <c r="E166" t="s">
        <v>141</v>
      </c>
      <c r="F166" t="s">
        <v>837</v>
      </c>
      <c r="G166" t="s">
        <v>838</v>
      </c>
      <c r="H166" t="s">
        <v>839</v>
      </c>
      <c r="I166" t="s">
        <v>840</v>
      </c>
    </row>
    <row r="167" spans="1:9" x14ac:dyDescent="0.3">
      <c r="A167">
        <v>166</v>
      </c>
      <c r="B167">
        <v>166</v>
      </c>
      <c r="C167" t="s">
        <v>841</v>
      </c>
      <c r="D167" t="s">
        <v>10</v>
      </c>
      <c r="E167" t="s">
        <v>743</v>
      </c>
      <c r="F167" t="s">
        <v>842</v>
      </c>
      <c r="G167" t="s">
        <v>739</v>
      </c>
      <c r="H167" t="s">
        <v>843</v>
      </c>
      <c r="I167" t="s">
        <v>844</v>
      </c>
    </row>
    <row r="168" spans="1:9" x14ac:dyDescent="0.3">
      <c r="A168">
        <v>167</v>
      </c>
      <c r="B168">
        <v>167</v>
      </c>
      <c r="C168" t="s">
        <v>845</v>
      </c>
      <c r="D168" t="s">
        <v>104</v>
      </c>
      <c r="E168" t="s">
        <v>64</v>
      </c>
      <c r="F168" t="s">
        <v>846</v>
      </c>
      <c r="G168" t="s">
        <v>702</v>
      </c>
      <c r="H168" t="s">
        <v>847</v>
      </c>
      <c r="I168" t="s">
        <v>848</v>
      </c>
    </row>
    <row r="169" spans="1:9" x14ac:dyDescent="0.3">
      <c r="A169">
        <v>168</v>
      </c>
      <c r="B169">
        <v>168</v>
      </c>
      <c r="C169" t="s">
        <v>849</v>
      </c>
      <c r="D169" t="s">
        <v>608</v>
      </c>
      <c r="E169" t="s">
        <v>17</v>
      </c>
      <c r="F169" t="s">
        <v>850</v>
      </c>
      <c r="G169" t="s">
        <v>851</v>
      </c>
      <c r="H169" t="s">
        <v>852</v>
      </c>
      <c r="I169" t="s">
        <v>853</v>
      </c>
    </row>
    <row r="170" spans="1:9" x14ac:dyDescent="0.3">
      <c r="A170">
        <v>169</v>
      </c>
      <c r="B170">
        <v>169</v>
      </c>
      <c r="C170" t="s">
        <v>854</v>
      </c>
      <c r="D170" t="s">
        <v>10</v>
      </c>
      <c r="E170" t="s">
        <v>560</v>
      </c>
      <c r="F170" t="s">
        <v>855</v>
      </c>
      <c r="G170" t="s">
        <v>856</v>
      </c>
      <c r="H170" t="s">
        <v>857</v>
      </c>
      <c r="I170" t="s">
        <v>858</v>
      </c>
    </row>
    <row r="171" spans="1:9" x14ac:dyDescent="0.3">
      <c r="A171">
        <v>170</v>
      </c>
      <c r="B171">
        <v>170</v>
      </c>
      <c r="C171" t="s">
        <v>859</v>
      </c>
      <c r="D171" t="s">
        <v>417</v>
      </c>
      <c r="E171" t="s">
        <v>23</v>
      </c>
      <c r="F171" t="s">
        <v>860</v>
      </c>
      <c r="G171" t="s">
        <v>403</v>
      </c>
      <c r="H171" t="s">
        <v>861</v>
      </c>
      <c r="I171" t="s">
        <v>862</v>
      </c>
    </row>
    <row r="172" spans="1:9" x14ac:dyDescent="0.3">
      <c r="A172">
        <v>171</v>
      </c>
      <c r="B172">
        <v>171</v>
      </c>
      <c r="C172" t="s">
        <v>863</v>
      </c>
      <c r="D172" t="s">
        <v>51</v>
      </c>
      <c r="E172" t="s">
        <v>345</v>
      </c>
      <c r="F172" t="s">
        <v>864</v>
      </c>
      <c r="G172" t="s">
        <v>865</v>
      </c>
      <c r="H172" t="s">
        <v>866</v>
      </c>
      <c r="I172" t="s">
        <v>19</v>
      </c>
    </row>
    <row r="173" spans="1:9" x14ac:dyDescent="0.3">
      <c r="A173">
        <v>172</v>
      </c>
      <c r="B173">
        <v>172</v>
      </c>
      <c r="C173" t="s">
        <v>867</v>
      </c>
      <c r="D173" t="s">
        <v>10</v>
      </c>
      <c r="E173" t="s">
        <v>64</v>
      </c>
      <c r="F173" t="s">
        <v>868</v>
      </c>
      <c r="G173" t="s">
        <v>285</v>
      </c>
      <c r="H173" t="s">
        <v>869</v>
      </c>
      <c r="I173" t="s">
        <v>870</v>
      </c>
    </row>
    <row r="174" spans="1:9" x14ac:dyDescent="0.3">
      <c r="A174">
        <v>173</v>
      </c>
      <c r="B174">
        <v>173</v>
      </c>
      <c r="C174" t="s">
        <v>871</v>
      </c>
      <c r="D174" t="s">
        <v>10</v>
      </c>
      <c r="E174" t="s">
        <v>345</v>
      </c>
      <c r="F174" t="s">
        <v>872</v>
      </c>
      <c r="G174" t="s">
        <v>873</v>
      </c>
      <c r="H174" t="s">
        <v>381</v>
      </c>
      <c r="I174" t="s">
        <v>874</v>
      </c>
    </row>
    <row r="175" spans="1:9" x14ac:dyDescent="0.3">
      <c r="A175">
        <v>174</v>
      </c>
      <c r="B175">
        <v>174</v>
      </c>
      <c r="C175" t="s">
        <v>875</v>
      </c>
      <c r="D175" t="s">
        <v>10</v>
      </c>
      <c r="E175" t="s">
        <v>715</v>
      </c>
      <c r="F175" t="s">
        <v>876</v>
      </c>
      <c r="G175" t="s">
        <v>877</v>
      </c>
      <c r="H175" t="s">
        <v>878</v>
      </c>
      <c r="I175" t="s">
        <v>879</v>
      </c>
    </row>
    <row r="176" spans="1:9" x14ac:dyDescent="0.3">
      <c r="A176">
        <v>175</v>
      </c>
      <c r="B176">
        <v>175</v>
      </c>
      <c r="C176" t="s">
        <v>880</v>
      </c>
      <c r="D176" t="s">
        <v>417</v>
      </c>
      <c r="E176" t="s">
        <v>151</v>
      </c>
      <c r="F176" t="s">
        <v>881</v>
      </c>
      <c r="G176" t="s">
        <v>382</v>
      </c>
      <c r="H176" t="s">
        <v>882</v>
      </c>
      <c r="I176" t="s">
        <v>883</v>
      </c>
    </row>
    <row r="177" spans="1:9" x14ac:dyDescent="0.3">
      <c r="A177">
        <v>176</v>
      </c>
      <c r="B177">
        <v>176</v>
      </c>
      <c r="C177" t="s">
        <v>884</v>
      </c>
      <c r="D177" t="s">
        <v>10</v>
      </c>
      <c r="E177" t="s">
        <v>743</v>
      </c>
      <c r="F177" t="s">
        <v>885</v>
      </c>
      <c r="G177" t="s">
        <v>886</v>
      </c>
      <c r="H177" t="s">
        <v>887</v>
      </c>
      <c r="I177" t="s">
        <v>888</v>
      </c>
    </row>
    <row r="178" spans="1:9" x14ac:dyDescent="0.3">
      <c r="A178">
        <v>177</v>
      </c>
      <c r="B178">
        <v>177</v>
      </c>
      <c r="C178" t="s">
        <v>889</v>
      </c>
      <c r="D178" t="s">
        <v>10</v>
      </c>
      <c r="E178" t="s">
        <v>23</v>
      </c>
      <c r="F178" t="s">
        <v>890</v>
      </c>
      <c r="G178" t="s">
        <v>891</v>
      </c>
      <c r="H178" t="s">
        <v>892</v>
      </c>
      <c r="I178" t="s">
        <v>893</v>
      </c>
    </row>
    <row r="179" spans="1:9" x14ac:dyDescent="0.3">
      <c r="A179">
        <v>178</v>
      </c>
      <c r="B179">
        <v>178</v>
      </c>
      <c r="C179" t="s">
        <v>894</v>
      </c>
      <c r="D179" t="s">
        <v>10</v>
      </c>
      <c r="E179" t="s">
        <v>345</v>
      </c>
      <c r="F179" t="s">
        <v>895</v>
      </c>
      <c r="G179" t="s">
        <v>191</v>
      </c>
      <c r="H179" t="s">
        <v>896</v>
      </c>
      <c r="I179" t="s">
        <v>897</v>
      </c>
    </row>
    <row r="180" spans="1:9" x14ac:dyDescent="0.3">
      <c r="A180">
        <v>179</v>
      </c>
      <c r="B180">
        <v>179</v>
      </c>
      <c r="C180" t="s">
        <v>898</v>
      </c>
      <c r="D180" t="s">
        <v>10</v>
      </c>
      <c r="E180" t="s">
        <v>11</v>
      </c>
      <c r="F180" t="s">
        <v>899</v>
      </c>
      <c r="G180" t="s">
        <v>900</v>
      </c>
      <c r="H180" t="s">
        <v>901</v>
      </c>
      <c r="I180" t="s">
        <v>902</v>
      </c>
    </row>
    <row r="181" spans="1:9" x14ac:dyDescent="0.3">
      <c r="A181">
        <v>180</v>
      </c>
      <c r="B181">
        <v>180</v>
      </c>
      <c r="C181" t="s">
        <v>903</v>
      </c>
      <c r="D181" t="s">
        <v>249</v>
      </c>
      <c r="E181" t="s">
        <v>52</v>
      </c>
      <c r="F181" t="s">
        <v>904</v>
      </c>
      <c r="G181" t="s">
        <v>905</v>
      </c>
      <c r="H181" t="s">
        <v>906</v>
      </c>
      <c r="I181" t="s">
        <v>907</v>
      </c>
    </row>
    <row r="182" spans="1:9" x14ac:dyDescent="0.3">
      <c r="A182">
        <v>181</v>
      </c>
      <c r="B182">
        <v>181</v>
      </c>
      <c r="C182" t="s">
        <v>908</v>
      </c>
      <c r="D182" t="s">
        <v>10</v>
      </c>
      <c r="E182" t="s">
        <v>141</v>
      </c>
      <c r="F182" t="s">
        <v>909</v>
      </c>
      <c r="G182" t="s">
        <v>910</v>
      </c>
      <c r="H182" t="s">
        <v>911</v>
      </c>
      <c r="I182" t="s">
        <v>912</v>
      </c>
    </row>
    <row r="183" spans="1:9" x14ac:dyDescent="0.3">
      <c r="A183">
        <v>182</v>
      </c>
      <c r="B183">
        <v>182</v>
      </c>
      <c r="C183" t="s">
        <v>913</v>
      </c>
      <c r="D183" t="s">
        <v>35</v>
      </c>
      <c r="E183" t="s">
        <v>345</v>
      </c>
      <c r="F183" t="s">
        <v>914</v>
      </c>
      <c r="G183" t="s">
        <v>915</v>
      </c>
      <c r="H183" t="s">
        <v>572</v>
      </c>
      <c r="I183" t="s">
        <v>916</v>
      </c>
    </row>
    <row r="184" spans="1:9" x14ac:dyDescent="0.3">
      <c r="A184">
        <v>183</v>
      </c>
      <c r="B184">
        <v>183</v>
      </c>
      <c r="C184" t="s">
        <v>917</v>
      </c>
      <c r="D184" t="s">
        <v>10</v>
      </c>
      <c r="E184" t="s">
        <v>464</v>
      </c>
      <c r="F184" t="s">
        <v>918</v>
      </c>
      <c r="G184" t="s">
        <v>877</v>
      </c>
      <c r="H184" t="s">
        <v>919</v>
      </c>
      <c r="I184" t="s">
        <v>920</v>
      </c>
    </row>
    <row r="185" spans="1:9" x14ac:dyDescent="0.3">
      <c r="A185">
        <v>184</v>
      </c>
      <c r="B185">
        <v>184</v>
      </c>
      <c r="C185" t="s">
        <v>921</v>
      </c>
      <c r="D185" t="s">
        <v>458</v>
      </c>
      <c r="E185" t="s">
        <v>29</v>
      </c>
      <c r="F185" t="s">
        <v>922</v>
      </c>
      <c r="G185" t="s">
        <v>739</v>
      </c>
      <c r="H185" t="s">
        <v>839</v>
      </c>
      <c r="I185" t="s">
        <v>888</v>
      </c>
    </row>
    <row r="186" spans="1:9" x14ac:dyDescent="0.3">
      <c r="A186">
        <v>185</v>
      </c>
      <c r="B186">
        <v>185</v>
      </c>
      <c r="C186" t="s">
        <v>923</v>
      </c>
      <c r="D186" t="s">
        <v>10</v>
      </c>
      <c r="E186" t="s">
        <v>11</v>
      </c>
      <c r="F186" t="s">
        <v>924</v>
      </c>
      <c r="G186" t="s">
        <v>886</v>
      </c>
      <c r="H186" t="s">
        <v>925</v>
      </c>
      <c r="I186" t="s">
        <v>926</v>
      </c>
    </row>
    <row r="187" spans="1:9" x14ac:dyDescent="0.3">
      <c r="A187">
        <v>186</v>
      </c>
      <c r="B187">
        <v>186</v>
      </c>
      <c r="C187" t="s">
        <v>927</v>
      </c>
      <c r="D187" t="s">
        <v>104</v>
      </c>
      <c r="E187" t="s">
        <v>243</v>
      </c>
      <c r="F187" t="s">
        <v>928</v>
      </c>
      <c r="G187" t="s">
        <v>486</v>
      </c>
      <c r="H187" t="s">
        <v>929</v>
      </c>
      <c r="I187" t="s">
        <v>930</v>
      </c>
    </row>
    <row r="188" spans="1:9" x14ac:dyDescent="0.3">
      <c r="A188">
        <v>187</v>
      </c>
      <c r="B188">
        <v>187</v>
      </c>
      <c r="C188" t="s">
        <v>931</v>
      </c>
      <c r="D188" t="s">
        <v>10</v>
      </c>
      <c r="E188" t="s">
        <v>151</v>
      </c>
      <c r="F188" t="s">
        <v>932</v>
      </c>
      <c r="G188" t="s">
        <v>933</v>
      </c>
      <c r="H188" t="s">
        <v>934</v>
      </c>
      <c r="I188" t="s">
        <v>935</v>
      </c>
    </row>
    <row r="189" spans="1:9" x14ac:dyDescent="0.3">
      <c r="A189">
        <v>188</v>
      </c>
      <c r="B189">
        <v>188</v>
      </c>
      <c r="C189" t="s">
        <v>936</v>
      </c>
      <c r="D189" t="s">
        <v>937</v>
      </c>
      <c r="E189" t="s">
        <v>634</v>
      </c>
      <c r="F189" t="s">
        <v>938</v>
      </c>
      <c r="G189" t="s">
        <v>367</v>
      </c>
      <c r="H189" t="s">
        <v>939</v>
      </c>
      <c r="I189" t="s">
        <v>940</v>
      </c>
    </row>
    <row r="190" spans="1:9" x14ac:dyDescent="0.3">
      <c r="A190">
        <v>189</v>
      </c>
      <c r="B190">
        <v>189</v>
      </c>
      <c r="C190" t="s">
        <v>941</v>
      </c>
      <c r="D190" t="s">
        <v>216</v>
      </c>
      <c r="E190" t="s">
        <v>345</v>
      </c>
      <c r="F190" t="s">
        <v>942</v>
      </c>
      <c r="G190" t="s">
        <v>886</v>
      </c>
      <c r="H190" t="s">
        <v>943</v>
      </c>
      <c r="I190" t="s">
        <v>944</v>
      </c>
    </row>
    <row r="191" spans="1:9" x14ac:dyDescent="0.3">
      <c r="A191">
        <v>190</v>
      </c>
      <c r="B191">
        <v>190</v>
      </c>
      <c r="C191" t="s">
        <v>945</v>
      </c>
      <c r="D191" t="s">
        <v>10</v>
      </c>
      <c r="E191" t="s">
        <v>58</v>
      </c>
      <c r="F191" t="s">
        <v>946</v>
      </c>
      <c r="G191" t="s">
        <v>947</v>
      </c>
      <c r="H191" t="s">
        <v>948</v>
      </c>
      <c r="I191" t="s">
        <v>949</v>
      </c>
    </row>
    <row r="192" spans="1:9" x14ac:dyDescent="0.3">
      <c r="A192">
        <v>191</v>
      </c>
      <c r="B192">
        <v>191</v>
      </c>
      <c r="C192" t="s">
        <v>950</v>
      </c>
      <c r="D192" t="s">
        <v>10</v>
      </c>
      <c r="E192" t="s">
        <v>345</v>
      </c>
      <c r="F192" t="s">
        <v>951</v>
      </c>
      <c r="G192" t="s">
        <v>552</v>
      </c>
      <c r="H192" t="s">
        <v>952</v>
      </c>
      <c r="I192" t="s">
        <v>953</v>
      </c>
    </row>
    <row r="193" spans="1:9" x14ac:dyDescent="0.3">
      <c r="A193">
        <v>192</v>
      </c>
      <c r="B193">
        <v>192</v>
      </c>
      <c r="C193" t="s">
        <v>954</v>
      </c>
      <c r="D193" t="s">
        <v>10</v>
      </c>
      <c r="E193" t="s">
        <v>365</v>
      </c>
      <c r="F193" t="s">
        <v>955</v>
      </c>
      <c r="G193" t="s">
        <v>956</v>
      </c>
      <c r="H193" t="s">
        <v>957</v>
      </c>
      <c r="I193" t="s">
        <v>958</v>
      </c>
    </row>
    <row r="194" spans="1:9" x14ac:dyDescent="0.3">
      <c r="A194">
        <v>193</v>
      </c>
      <c r="B194">
        <v>193</v>
      </c>
      <c r="C194" t="s">
        <v>959</v>
      </c>
      <c r="D194" t="s">
        <v>10</v>
      </c>
      <c r="E194" t="s">
        <v>151</v>
      </c>
      <c r="F194" t="s">
        <v>960</v>
      </c>
      <c r="G194" t="s">
        <v>819</v>
      </c>
      <c r="H194" t="s">
        <v>874</v>
      </c>
      <c r="I194" t="s">
        <v>961</v>
      </c>
    </row>
    <row r="195" spans="1:9" x14ac:dyDescent="0.3">
      <c r="A195">
        <v>194</v>
      </c>
      <c r="B195">
        <v>194</v>
      </c>
      <c r="C195" t="s">
        <v>962</v>
      </c>
      <c r="D195" t="s">
        <v>401</v>
      </c>
      <c r="E195" t="s">
        <v>23</v>
      </c>
      <c r="F195" t="s">
        <v>963</v>
      </c>
      <c r="G195" t="s">
        <v>964</v>
      </c>
      <c r="H195" t="s">
        <v>965</v>
      </c>
      <c r="I195" t="s">
        <v>966</v>
      </c>
    </row>
    <row r="196" spans="1:9" x14ac:dyDescent="0.3">
      <c r="A196">
        <v>195</v>
      </c>
      <c r="B196">
        <v>195</v>
      </c>
      <c r="C196" t="s">
        <v>967</v>
      </c>
      <c r="D196" t="s">
        <v>10</v>
      </c>
      <c r="E196" t="s">
        <v>11</v>
      </c>
      <c r="F196" t="s">
        <v>424</v>
      </c>
      <c r="G196" t="s">
        <v>968</v>
      </c>
      <c r="H196" t="s">
        <v>969</v>
      </c>
      <c r="I196" t="s">
        <v>970</v>
      </c>
    </row>
    <row r="197" spans="1:9" x14ac:dyDescent="0.3">
      <c r="A197">
        <v>196</v>
      </c>
      <c r="B197">
        <v>196</v>
      </c>
      <c r="C197" t="s">
        <v>971</v>
      </c>
      <c r="D197" t="s">
        <v>696</v>
      </c>
      <c r="E197" t="s">
        <v>687</v>
      </c>
      <c r="F197" t="s">
        <v>972</v>
      </c>
      <c r="G197" t="s">
        <v>973</v>
      </c>
      <c r="H197" t="s">
        <v>200</v>
      </c>
      <c r="I197" t="s">
        <v>974</v>
      </c>
    </row>
    <row r="198" spans="1:9" x14ac:dyDescent="0.3">
      <c r="A198">
        <v>197</v>
      </c>
      <c r="B198">
        <v>197</v>
      </c>
      <c r="C198" t="s">
        <v>975</v>
      </c>
      <c r="D198" t="s">
        <v>10</v>
      </c>
      <c r="E198" t="s">
        <v>64</v>
      </c>
      <c r="F198" t="s">
        <v>976</v>
      </c>
      <c r="G198" t="s">
        <v>977</v>
      </c>
      <c r="H198" t="s">
        <v>978</v>
      </c>
      <c r="I198" t="s">
        <v>979</v>
      </c>
    </row>
    <row r="199" spans="1:9" x14ac:dyDescent="0.3">
      <c r="A199">
        <v>198</v>
      </c>
      <c r="B199">
        <v>198</v>
      </c>
      <c r="C199" t="s">
        <v>980</v>
      </c>
      <c r="D199" t="s">
        <v>10</v>
      </c>
      <c r="E199" t="s">
        <v>743</v>
      </c>
      <c r="F199" t="s">
        <v>981</v>
      </c>
      <c r="G199" t="s">
        <v>982</v>
      </c>
      <c r="H199" t="s">
        <v>983</v>
      </c>
      <c r="I199" t="s">
        <v>984</v>
      </c>
    </row>
    <row r="200" spans="1:9" x14ac:dyDescent="0.3">
      <c r="A200">
        <v>199</v>
      </c>
      <c r="B200">
        <v>199</v>
      </c>
      <c r="C200" t="s">
        <v>985</v>
      </c>
      <c r="D200" t="s">
        <v>458</v>
      </c>
      <c r="E200" t="s">
        <v>345</v>
      </c>
      <c r="F200" t="s">
        <v>986</v>
      </c>
      <c r="G200" t="s">
        <v>481</v>
      </c>
      <c r="H200" t="s">
        <v>987</v>
      </c>
      <c r="I200" t="s">
        <v>988</v>
      </c>
    </row>
    <row r="201" spans="1:9" x14ac:dyDescent="0.3">
      <c r="A201">
        <v>200</v>
      </c>
      <c r="B201">
        <v>200</v>
      </c>
      <c r="C201" t="s">
        <v>989</v>
      </c>
      <c r="D201" t="s">
        <v>35</v>
      </c>
      <c r="E201" t="s">
        <v>11</v>
      </c>
      <c r="F201" t="s">
        <v>990</v>
      </c>
      <c r="G201" t="s">
        <v>865</v>
      </c>
      <c r="H201" t="s">
        <v>991</v>
      </c>
      <c r="I201" t="s">
        <v>992</v>
      </c>
    </row>
    <row r="202" spans="1:9" x14ac:dyDescent="0.3">
      <c r="A202">
        <v>201</v>
      </c>
      <c r="B202">
        <v>201</v>
      </c>
      <c r="C202" t="s">
        <v>993</v>
      </c>
      <c r="D202" t="s">
        <v>10</v>
      </c>
      <c r="E202" t="s">
        <v>130</v>
      </c>
      <c r="F202" t="s">
        <v>994</v>
      </c>
      <c r="G202" t="s">
        <v>995</v>
      </c>
      <c r="H202" t="s">
        <v>996</v>
      </c>
      <c r="I202" t="s">
        <v>997</v>
      </c>
    </row>
    <row r="203" spans="1:9" x14ac:dyDescent="0.3">
      <c r="A203">
        <v>202</v>
      </c>
      <c r="B203">
        <v>202</v>
      </c>
      <c r="C203" t="s">
        <v>998</v>
      </c>
      <c r="D203" t="s">
        <v>297</v>
      </c>
      <c r="E203" t="s">
        <v>151</v>
      </c>
      <c r="F203" t="s">
        <v>999</v>
      </c>
      <c r="G203" t="s">
        <v>1000</v>
      </c>
      <c r="H203" t="s">
        <v>1001</v>
      </c>
      <c r="I203" t="s">
        <v>1002</v>
      </c>
    </row>
    <row r="204" spans="1:9" x14ac:dyDescent="0.3">
      <c r="A204">
        <v>203</v>
      </c>
      <c r="B204">
        <v>203</v>
      </c>
      <c r="C204" t="s">
        <v>1003</v>
      </c>
      <c r="D204" t="s">
        <v>104</v>
      </c>
      <c r="E204" t="s">
        <v>23</v>
      </c>
      <c r="F204" t="s">
        <v>1004</v>
      </c>
      <c r="G204" t="s">
        <v>973</v>
      </c>
      <c r="H204" t="s">
        <v>1005</v>
      </c>
      <c r="I204">
        <v>8</v>
      </c>
    </row>
    <row r="205" spans="1:9" x14ac:dyDescent="0.3">
      <c r="A205">
        <v>204</v>
      </c>
      <c r="B205">
        <v>204</v>
      </c>
      <c r="C205" t="s">
        <v>1006</v>
      </c>
      <c r="D205" t="s">
        <v>10</v>
      </c>
      <c r="E205" t="s">
        <v>243</v>
      </c>
      <c r="F205" t="s">
        <v>1007</v>
      </c>
      <c r="G205" t="s">
        <v>814</v>
      </c>
      <c r="H205" t="s">
        <v>1008</v>
      </c>
      <c r="I205" t="s">
        <v>1009</v>
      </c>
    </row>
    <row r="206" spans="1:9" x14ac:dyDescent="0.3">
      <c r="A206">
        <v>205</v>
      </c>
      <c r="B206">
        <v>205</v>
      </c>
      <c r="C206" t="s">
        <v>1010</v>
      </c>
      <c r="D206" t="s">
        <v>51</v>
      </c>
      <c r="E206" t="s">
        <v>706</v>
      </c>
      <c r="F206" t="s">
        <v>1011</v>
      </c>
      <c r="G206" t="s">
        <v>1012</v>
      </c>
      <c r="H206" t="s">
        <v>1013</v>
      </c>
      <c r="I206" t="s">
        <v>1014</v>
      </c>
    </row>
    <row r="207" spans="1:9" x14ac:dyDescent="0.3">
      <c r="A207">
        <v>206</v>
      </c>
      <c r="B207">
        <v>206</v>
      </c>
      <c r="C207" t="s">
        <v>1015</v>
      </c>
      <c r="D207" t="s">
        <v>124</v>
      </c>
      <c r="E207" t="s">
        <v>634</v>
      </c>
      <c r="F207" t="s">
        <v>1016</v>
      </c>
      <c r="G207" t="s">
        <v>973</v>
      </c>
      <c r="H207" t="s">
        <v>1017</v>
      </c>
      <c r="I207" t="s">
        <v>1018</v>
      </c>
    </row>
    <row r="208" spans="1:9" x14ac:dyDescent="0.3">
      <c r="A208">
        <v>207</v>
      </c>
      <c r="B208">
        <v>207</v>
      </c>
      <c r="C208" t="s">
        <v>1019</v>
      </c>
      <c r="D208" t="s">
        <v>10</v>
      </c>
      <c r="E208" t="s">
        <v>151</v>
      </c>
      <c r="F208" t="s">
        <v>1020</v>
      </c>
      <c r="G208" t="s">
        <v>1021</v>
      </c>
      <c r="H208" t="s">
        <v>1022</v>
      </c>
      <c r="I208" t="s">
        <v>1023</v>
      </c>
    </row>
    <row r="209" spans="1:9" x14ac:dyDescent="0.3">
      <c r="A209">
        <v>208</v>
      </c>
      <c r="B209">
        <v>208</v>
      </c>
      <c r="C209" t="s">
        <v>1024</v>
      </c>
      <c r="D209" t="s">
        <v>10</v>
      </c>
      <c r="E209" t="s">
        <v>232</v>
      </c>
      <c r="F209" t="s">
        <v>907</v>
      </c>
      <c r="G209" t="s">
        <v>387</v>
      </c>
      <c r="H209" t="s">
        <v>1025</v>
      </c>
      <c r="I209" t="s">
        <v>1026</v>
      </c>
    </row>
    <row r="210" spans="1:9" x14ac:dyDescent="0.3">
      <c r="A210">
        <v>209</v>
      </c>
      <c r="B210">
        <v>209</v>
      </c>
      <c r="C210" t="s">
        <v>1027</v>
      </c>
      <c r="D210" t="s">
        <v>51</v>
      </c>
      <c r="E210" t="s">
        <v>52</v>
      </c>
      <c r="F210" t="s">
        <v>1028</v>
      </c>
      <c r="G210" t="s">
        <v>1029</v>
      </c>
      <c r="H210" t="s">
        <v>1030</v>
      </c>
      <c r="I210" t="s">
        <v>1031</v>
      </c>
    </row>
    <row r="211" spans="1:9" x14ac:dyDescent="0.3">
      <c r="A211">
        <v>210</v>
      </c>
      <c r="B211">
        <v>210</v>
      </c>
      <c r="C211" t="s">
        <v>1032</v>
      </c>
      <c r="D211" t="s">
        <v>10</v>
      </c>
      <c r="E211" t="s">
        <v>23</v>
      </c>
      <c r="F211" t="s">
        <v>1033</v>
      </c>
      <c r="G211" t="s">
        <v>733</v>
      </c>
      <c r="H211" t="s">
        <v>1034</v>
      </c>
      <c r="I211" t="s">
        <v>1035</v>
      </c>
    </row>
    <row r="212" spans="1:9" x14ac:dyDescent="0.3">
      <c r="A212">
        <v>211</v>
      </c>
      <c r="B212">
        <v>211</v>
      </c>
      <c r="C212" t="s">
        <v>1036</v>
      </c>
      <c r="D212" t="s">
        <v>51</v>
      </c>
      <c r="E212" t="s">
        <v>151</v>
      </c>
      <c r="F212" t="s">
        <v>1037</v>
      </c>
      <c r="G212" t="s">
        <v>1038</v>
      </c>
      <c r="H212" t="s">
        <v>1039</v>
      </c>
      <c r="I212" t="s">
        <v>611</v>
      </c>
    </row>
    <row r="213" spans="1:9" x14ac:dyDescent="0.3">
      <c r="A213">
        <v>212</v>
      </c>
      <c r="B213">
        <v>212</v>
      </c>
      <c r="C213" t="s">
        <v>1040</v>
      </c>
      <c r="D213" t="s">
        <v>10</v>
      </c>
      <c r="E213" t="s">
        <v>11</v>
      </c>
      <c r="F213" t="s">
        <v>1041</v>
      </c>
      <c r="G213" t="s">
        <v>1042</v>
      </c>
      <c r="H213" t="s">
        <v>1043</v>
      </c>
      <c r="I213" t="s">
        <v>598</v>
      </c>
    </row>
    <row r="214" spans="1:9" x14ac:dyDescent="0.3">
      <c r="A214">
        <v>213</v>
      </c>
      <c r="B214">
        <v>213</v>
      </c>
      <c r="C214" t="s">
        <v>1044</v>
      </c>
      <c r="D214" t="s">
        <v>458</v>
      </c>
      <c r="E214" t="s">
        <v>29</v>
      </c>
      <c r="F214" t="s">
        <v>1045</v>
      </c>
      <c r="G214" t="s">
        <v>1046</v>
      </c>
      <c r="H214" t="s">
        <v>1047</v>
      </c>
      <c r="I214" t="s">
        <v>1048</v>
      </c>
    </row>
    <row r="215" spans="1:9" x14ac:dyDescent="0.3">
      <c r="A215">
        <v>214</v>
      </c>
      <c r="B215">
        <v>214</v>
      </c>
      <c r="C215" t="s">
        <v>1049</v>
      </c>
      <c r="D215" t="s">
        <v>10</v>
      </c>
      <c r="E215" t="s">
        <v>29</v>
      </c>
      <c r="F215" t="s">
        <v>1050</v>
      </c>
      <c r="G215" t="s">
        <v>1051</v>
      </c>
      <c r="H215" t="s">
        <v>1052</v>
      </c>
      <c r="I215" t="s">
        <v>1053</v>
      </c>
    </row>
    <row r="216" spans="1:9" x14ac:dyDescent="0.3">
      <c r="A216">
        <v>215</v>
      </c>
      <c r="B216">
        <v>215</v>
      </c>
      <c r="C216" t="s">
        <v>1054</v>
      </c>
      <c r="D216" t="s">
        <v>104</v>
      </c>
      <c r="E216" t="s">
        <v>130</v>
      </c>
      <c r="F216" t="s">
        <v>1055</v>
      </c>
      <c r="G216" t="s">
        <v>1042</v>
      </c>
      <c r="H216" t="s">
        <v>1056</v>
      </c>
      <c r="I216" t="s">
        <v>1057</v>
      </c>
    </row>
    <row r="217" spans="1:9" x14ac:dyDescent="0.3">
      <c r="A217">
        <v>216</v>
      </c>
      <c r="B217">
        <v>216</v>
      </c>
      <c r="C217" t="s">
        <v>1058</v>
      </c>
      <c r="D217" t="s">
        <v>10</v>
      </c>
      <c r="E217" t="s">
        <v>174</v>
      </c>
      <c r="F217" t="s">
        <v>1059</v>
      </c>
      <c r="G217" t="s">
        <v>523</v>
      </c>
      <c r="H217" t="s">
        <v>399</v>
      </c>
      <c r="I217" t="s">
        <v>1060</v>
      </c>
    </row>
    <row r="218" spans="1:9" x14ac:dyDescent="0.3">
      <c r="A218">
        <v>217</v>
      </c>
      <c r="B218">
        <v>217</v>
      </c>
      <c r="C218" t="s">
        <v>1061</v>
      </c>
      <c r="D218" t="s">
        <v>10</v>
      </c>
      <c r="E218" t="s">
        <v>151</v>
      </c>
      <c r="F218" t="s">
        <v>1062</v>
      </c>
      <c r="G218" t="s">
        <v>1063</v>
      </c>
      <c r="H218" t="s">
        <v>1064</v>
      </c>
      <c r="I218" t="s">
        <v>1065</v>
      </c>
    </row>
    <row r="219" spans="1:9" x14ac:dyDescent="0.3">
      <c r="A219">
        <v>218</v>
      </c>
      <c r="B219">
        <v>218</v>
      </c>
      <c r="C219" t="s">
        <v>1066</v>
      </c>
      <c r="D219" t="s">
        <v>124</v>
      </c>
      <c r="E219" t="s">
        <v>464</v>
      </c>
      <c r="F219" t="s">
        <v>1067</v>
      </c>
      <c r="G219" t="s">
        <v>1068</v>
      </c>
      <c r="H219" t="s">
        <v>1069</v>
      </c>
      <c r="I219" t="s">
        <v>1070</v>
      </c>
    </row>
    <row r="220" spans="1:9" x14ac:dyDescent="0.3">
      <c r="A220">
        <v>219</v>
      </c>
      <c r="B220">
        <v>219</v>
      </c>
      <c r="C220" t="s">
        <v>1071</v>
      </c>
      <c r="D220" t="s">
        <v>104</v>
      </c>
      <c r="E220" t="s">
        <v>726</v>
      </c>
      <c r="F220" t="s">
        <v>1057</v>
      </c>
      <c r="G220" t="s">
        <v>562</v>
      </c>
      <c r="H220" t="s">
        <v>1072</v>
      </c>
      <c r="I220" t="s">
        <v>1073</v>
      </c>
    </row>
    <row r="221" spans="1:9" x14ac:dyDescent="0.3">
      <c r="A221">
        <v>220</v>
      </c>
      <c r="B221">
        <v>220</v>
      </c>
      <c r="C221" t="s">
        <v>1074</v>
      </c>
      <c r="D221" t="s">
        <v>10</v>
      </c>
      <c r="E221" t="s">
        <v>17</v>
      </c>
      <c r="F221" t="s">
        <v>1075</v>
      </c>
      <c r="G221" t="s">
        <v>361</v>
      </c>
      <c r="H221" t="s">
        <v>1076</v>
      </c>
      <c r="I221" t="s">
        <v>1077</v>
      </c>
    </row>
    <row r="222" spans="1:9" x14ac:dyDescent="0.3">
      <c r="A222">
        <v>221</v>
      </c>
      <c r="B222">
        <v>221</v>
      </c>
      <c r="C222" t="s">
        <v>1078</v>
      </c>
      <c r="D222" t="s">
        <v>1079</v>
      </c>
      <c r="E222" t="s">
        <v>11</v>
      </c>
      <c r="F222" t="s">
        <v>1080</v>
      </c>
      <c r="G222" t="s">
        <v>481</v>
      </c>
      <c r="H222" t="s">
        <v>1081</v>
      </c>
      <c r="I222" t="s">
        <v>1082</v>
      </c>
    </row>
    <row r="223" spans="1:9" x14ac:dyDescent="0.3">
      <c r="A223">
        <v>222</v>
      </c>
      <c r="B223">
        <v>222</v>
      </c>
      <c r="C223" t="s">
        <v>1083</v>
      </c>
      <c r="D223" t="s">
        <v>10</v>
      </c>
      <c r="E223" t="s">
        <v>58</v>
      </c>
      <c r="F223" t="s">
        <v>1084</v>
      </c>
      <c r="G223" t="s">
        <v>873</v>
      </c>
      <c r="H223" t="s">
        <v>1085</v>
      </c>
      <c r="I223" t="s">
        <v>1086</v>
      </c>
    </row>
    <row r="224" spans="1:9" x14ac:dyDescent="0.3">
      <c r="A224">
        <v>223</v>
      </c>
      <c r="B224">
        <v>223</v>
      </c>
      <c r="C224" t="s">
        <v>1087</v>
      </c>
      <c r="D224" t="s">
        <v>696</v>
      </c>
      <c r="E224" t="s">
        <v>11</v>
      </c>
      <c r="F224" t="s">
        <v>1088</v>
      </c>
      <c r="G224" t="s">
        <v>1089</v>
      </c>
      <c r="H224" t="s">
        <v>1090</v>
      </c>
      <c r="I224" t="s">
        <v>1091</v>
      </c>
    </row>
    <row r="225" spans="1:9" x14ac:dyDescent="0.3">
      <c r="A225">
        <v>224</v>
      </c>
      <c r="B225">
        <v>224</v>
      </c>
      <c r="C225" t="s">
        <v>1092</v>
      </c>
      <c r="D225" t="s">
        <v>10</v>
      </c>
      <c r="E225" t="s">
        <v>64</v>
      </c>
      <c r="F225" t="s">
        <v>1093</v>
      </c>
      <c r="G225" t="s">
        <v>1094</v>
      </c>
      <c r="H225" t="s">
        <v>1075</v>
      </c>
      <c r="I225" t="s">
        <v>1095</v>
      </c>
    </row>
    <row r="226" spans="1:9" x14ac:dyDescent="0.3">
      <c r="A226">
        <v>225</v>
      </c>
      <c r="B226">
        <v>225</v>
      </c>
      <c r="C226" t="s">
        <v>1096</v>
      </c>
      <c r="D226" t="s">
        <v>51</v>
      </c>
      <c r="E226" t="s">
        <v>792</v>
      </c>
      <c r="F226" t="s">
        <v>1097</v>
      </c>
      <c r="G226" t="s">
        <v>1098</v>
      </c>
      <c r="H226" t="s">
        <v>1099</v>
      </c>
      <c r="I226" t="s">
        <v>1100</v>
      </c>
    </row>
    <row r="227" spans="1:9" x14ac:dyDescent="0.3">
      <c r="A227">
        <v>226</v>
      </c>
      <c r="B227">
        <v>226</v>
      </c>
      <c r="C227" t="s">
        <v>1101</v>
      </c>
      <c r="D227" t="s">
        <v>51</v>
      </c>
      <c r="E227" t="s">
        <v>141</v>
      </c>
      <c r="F227" t="s">
        <v>907</v>
      </c>
      <c r="G227" t="s">
        <v>1102</v>
      </c>
      <c r="H227" t="s">
        <v>1103</v>
      </c>
      <c r="I227" t="s">
        <v>1104</v>
      </c>
    </row>
    <row r="228" spans="1:9" x14ac:dyDescent="0.3">
      <c r="A228">
        <v>227</v>
      </c>
      <c r="B228">
        <v>227</v>
      </c>
      <c r="C228" t="s">
        <v>1105</v>
      </c>
      <c r="D228" t="s">
        <v>10</v>
      </c>
      <c r="E228" t="s">
        <v>23</v>
      </c>
      <c r="F228" t="s">
        <v>1106</v>
      </c>
      <c r="G228" t="s">
        <v>873</v>
      </c>
      <c r="H228" t="s">
        <v>1107</v>
      </c>
      <c r="I228" t="s">
        <v>1108</v>
      </c>
    </row>
    <row r="229" spans="1:9" x14ac:dyDescent="0.3">
      <c r="A229">
        <v>228</v>
      </c>
      <c r="B229">
        <v>228</v>
      </c>
      <c r="C229" t="s">
        <v>1109</v>
      </c>
      <c r="D229" t="s">
        <v>104</v>
      </c>
      <c r="E229" t="s">
        <v>345</v>
      </c>
      <c r="F229" t="s">
        <v>1110</v>
      </c>
      <c r="G229" t="s">
        <v>1111</v>
      </c>
      <c r="H229" t="s">
        <v>1112</v>
      </c>
      <c r="I229" t="s">
        <v>1113</v>
      </c>
    </row>
    <row r="230" spans="1:9" x14ac:dyDescent="0.3">
      <c r="A230">
        <v>229</v>
      </c>
      <c r="B230">
        <v>229</v>
      </c>
      <c r="C230" t="s">
        <v>1114</v>
      </c>
      <c r="D230" t="s">
        <v>10</v>
      </c>
      <c r="E230" t="s">
        <v>58</v>
      </c>
      <c r="F230" t="s">
        <v>1115</v>
      </c>
      <c r="G230" t="s">
        <v>1042</v>
      </c>
      <c r="H230" t="s">
        <v>1116</v>
      </c>
      <c r="I230" t="s">
        <v>806</v>
      </c>
    </row>
    <row r="231" spans="1:9" x14ac:dyDescent="0.3">
      <c r="A231">
        <v>230</v>
      </c>
      <c r="B231">
        <v>230</v>
      </c>
      <c r="C231" t="s">
        <v>1117</v>
      </c>
      <c r="D231" t="s">
        <v>205</v>
      </c>
      <c r="E231" t="s">
        <v>11</v>
      </c>
      <c r="F231" t="s">
        <v>778</v>
      </c>
      <c r="G231" t="s">
        <v>1118</v>
      </c>
      <c r="H231" t="s">
        <v>1119</v>
      </c>
      <c r="I231" t="s">
        <v>1120</v>
      </c>
    </row>
    <row r="232" spans="1:9" x14ac:dyDescent="0.3">
      <c r="A232">
        <v>231</v>
      </c>
      <c r="B232">
        <v>231</v>
      </c>
      <c r="C232" t="s">
        <v>1121</v>
      </c>
      <c r="D232" t="s">
        <v>10</v>
      </c>
      <c r="E232" t="s">
        <v>365</v>
      </c>
      <c r="F232" t="s">
        <v>1122</v>
      </c>
      <c r="G232" t="s">
        <v>1123</v>
      </c>
      <c r="H232" t="s">
        <v>1124</v>
      </c>
      <c r="I232" t="s">
        <v>1125</v>
      </c>
    </row>
    <row r="233" spans="1:9" x14ac:dyDescent="0.3">
      <c r="A233">
        <v>232</v>
      </c>
      <c r="B233">
        <v>232</v>
      </c>
      <c r="C233" t="s">
        <v>1126</v>
      </c>
      <c r="D233" t="s">
        <v>51</v>
      </c>
      <c r="E233" t="s">
        <v>365</v>
      </c>
      <c r="F233" t="s">
        <v>1127</v>
      </c>
      <c r="G233" t="s">
        <v>1128</v>
      </c>
      <c r="H233" t="s">
        <v>1129</v>
      </c>
      <c r="I233" t="s">
        <v>1130</v>
      </c>
    </row>
    <row r="234" spans="1:9" x14ac:dyDescent="0.3">
      <c r="A234">
        <v>233</v>
      </c>
      <c r="B234">
        <v>233</v>
      </c>
      <c r="C234" t="s">
        <v>1131</v>
      </c>
      <c r="D234" t="s">
        <v>10</v>
      </c>
      <c r="E234" t="s">
        <v>250</v>
      </c>
      <c r="F234" t="s">
        <v>1132</v>
      </c>
      <c r="G234" t="s">
        <v>977</v>
      </c>
      <c r="H234" t="s">
        <v>1133</v>
      </c>
      <c r="I234" t="s">
        <v>1134</v>
      </c>
    </row>
    <row r="235" spans="1:9" x14ac:dyDescent="0.3">
      <c r="A235">
        <v>234</v>
      </c>
      <c r="B235">
        <v>234</v>
      </c>
      <c r="C235" t="s">
        <v>1135</v>
      </c>
      <c r="D235" t="s">
        <v>51</v>
      </c>
      <c r="E235" t="s">
        <v>130</v>
      </c>
      <c r="F235" t="s">
        <v>1136</v>
      </c>
      <c r="G235" t="s">
        <v>1137</v>
      </c>
      <c r="H235" t="s">
        <v>261</v>
      </c>
      <c r="I235" t="s">
        <v>1138</v>
      </c>
    </row>
    <row r="236" spans="1:9" x14ac:dyDescent="0.3">
      <c r="A236">
        <v>235</v>
      </c>
      <c r="B236">
        <v>235</v>
      </c>
      <c r="C236" t="s">
        <v>1139</v>
      </c>
      <c r="D236" t="s">
        <v>10</v>
      </c>
      <c r="E236" t="s">
        <v>687</v>
      </c>
      <c r="F236" t="s">
        <v>1140</v>
      </c>
      <c r="G236" t="s">
        <v>1137</v>
      </c>
      <c r="H236" t="s">
        <v>1120</v>
      </c>
      <c r="I236" t="s">
        <v>1141</v>
      </c>
    </row>
    <row r="237" spans="1:9" x14ac:dyDescent="0.3">
      <c r="A237">
        <v>236</v>
      </c>
      <c r="B237">
        <v>236</v>
      </c>
      <c r="C237" t="s">
        <v>1142</v>
      </c>
      <c r="D237" t="s">
        <v>249</v>
      </c>
      <c r="E237" t="s">
        <v>151</v>
      </c>
      <c r="F237" t="s">
        <v>1143</v>
      </c>
      <c r="G237" t="s">
        <v>367</v>
      </c>
      <c r="H237" t="s">
        <v>1144</v>
      </c>
      <c r="I237" t="s">
        <v>1145</v>
      </c>
    </row>
    <row r="238" spans="1:9" x14ac:dyDescent="0.3">
      <c r="A238">
        <v>237</v>
      </c>
      <c r="B238">
        <v>237</v>
      </c>
      <c r="C238" t="s">
        <v>1146</v>
      </c>
      <c r="D238" t="s">
        <v>10</v>
      </c>
      <c r="E238" t="s">
        <v>130</v>
      </c>
      <c r="F238" t="s">
        <v>1147</v>
      </c>
      <c r="G238" t="s">
        <v>640</v>
      </c>
      <c r="H238" t="s">
        <v>1148</v>
      </c>
      <c r="I238" t="s">
        <v>1149</v>
      </c>
    </row>
    <row r="239" spans="1:9" x14ac:dyDescent="0.3">
      <c r="A239">
        <v>238</v>
      </c>
      <c r="B239">
        <v>238</v>
      </c>
      <c r="C239" t="s">
        <v>1150</v>
      </c>
      <c r="D239" t="s">
        <v>10</v>
      </c>
      <c r="E239" t="s">
        <v>174</v>
      </c>
      <c r="F239" t="s">
        <v>1151</v>
      </c>
      <c r="G239" t="s">
        <v>1152</v>
      </c>
      <c r="H239" t="s">
        <v>951</v>
      </c>
      <c r="I239" t="s">
        <v>1153</v>
      </c>
    </row>
    <row r="240" spans="1:9" x14ac:dyDescent="0.3">
      <c r="A240">
        <v>239</v>
      </c>
      <c r="B240">
        <v>239</v>
      </c>
      <c r="C240" t="s">
        <v>1154</v>
      </c>
      <c r="D240" t="s">
        <v>10</v>
      </c>
      <c r="E240" t="s">
        <v>11</v>
      </c>
      <c r="F240" t="s">
        <v>1155</v>
      </c>
      <c r="G240" t="s">
        <v>754</v>
      </c>
      <c r="H240" t="s">
        <v>1156</v>
      </c>
      <c r="I240" t="s">
        <v>1157</v>
      </c>
    </row>
    <row r="241" spans="1:9" x14ac:dyDescent="0.3">
      <c r="A241">
        <v>240</v>
      </c>
      <c r="B241">
        <v>240</v>
      </c>
      <c r="C241" t="s">
        <v>1158</v>
      </c>
      <c r="D241" t="s">
        <v>10</v>
      </c>
      <c r="E241" t="s">
        <v>743</v>
      </c>
      <c r="F241" t="s">
        <v>1159</v>
      </c>
      <c r="G241" t="s">
        <v>1029</v>
      </c>
      <c r="H241" t="s">
        <v>1160</v>
      </c>
      <c r="I241" t="s">
        <v>1161</v>
      </c>
    </row>
    <row r="242" spans="1:9" x14ac:dyDescent="0.3">
      <c r="A242">
        <v>241</v>
      </c>
      <c r="B242">
        <v>241</v>
      </c>
      <c r="C242" t="s">
        <v>1162</v>
      </c>
      <c r="D242" t="s">
        <v>10</v>
      </c>
      <c r="E242" t="s">
        <v>560</v>
      </c>
      <c r="F242" t="s">
        <v>1163</v>
      </c>
      <c r="G242" t="s">
        <v>1164</v>
      </c>
      <c r="H242" t="s">
        <v>1165</v>
      </c>
      <c r="I242" t="s">
        <v>628</v>
      </c>
    </row>
    <row r="243" spans="1:9" x14ac:dyDescent="0.3">
      <c r="A243">
        <v>242</v>
      </c>
      <c r="B243">
        <v>242</v>
      </c>
      <c r="C243" t="s">
        <v>1166</v>
      </c>
      <c r="D243" t="s">
        <v>10</v>
      </c>
      <c r="E243" t="s">
        <v>23</v>
      </c>
      <c r="F243" t="s">
        <v>1167</v>
      </c>
      <c r="G243" t="s">
        <v>1168</v>
      </c>
      <c r="H243" t="s">
        <v>1169</v>
      </c>
      <c r="I243" t="s">
        <v>1170</v>
      </c>
    </row>
    <row r="244" spans="1:9" x14ac:dyDescent="0.3">
      <c r="A244">
        <v>243</v>
      </c>
      <c r="B244">
        <v>243</v>
      </c>
      <c r="C244" t="s">
        <v>1171</v>
      </c>
      <c r="D244" t="s">
        <v>1172</v>
      </c>
      <c r="E244" t="s">
        <v>29</v>
      </c>
      <c r="F244" t="s">
        <v>1173</v>
      </c>
      <c r="G244" t="s">
        <v>964</v>
      </c>
      <c r="H244" t="s">
        <v>1174</v>
      </c>
      <c r="I244" t="s">
        <v>1175</v>
      </c>
    </row>
    <row r="245" spans="1:9" x14ac:dyDescent="0.3">
      <c r="A245">
        <v>244</v>
      </c>
      <c r="B245">
        <v>244</v>
      </c>
      <c r="C245" t="s">
        <v>1176</v>
      </c>
      <c r="D245" t="s">
        <v>104</v>
      </c>
      <c r="E245" t="s">
        <v>726</v>
      </c>
      <c r="F245" t="s">
        <v>1177</v>
      </c>
      <c r="G245" t="s">
        <v>809</v>
      </c>
      <c r="H245" t="s">
        <v>1178</v>
      </c>
      <c r="I245" t="s">
        <v>1179</v>
      </c>
    </row>
    <row r="246" spans="1:9" x14ac:dyDescent="0.3">
      <c r="A246">
        <v>245</v>
      </c>
      <c r="B246">
        <v>245</v>
      </c>
      <c r="C246" t="s">
        <v>1180</v>
      </c>
      <c r="D246" t="s">
        <v>35</v>
      </c>
      <c r="E246" t="s">
        <v>345</v>
      </c>
      <c r="F246" t="s">
        <v>1181</v>
      </c>
      <c r="G246" t="s">
        <v>1182</v>
      </c>
      <c r="H246" t="s">
        <v>1183</v>
      </c>
      <c r="I246" t="s">
        <v>1184</v>
      </c>
    </row>
    <row r="247" spans="1:9" x14ac:dyDescent="0.3">
      <c r="A247">
        <v>246</v>
      </c>
      <c r="B247">
        <v>246</v>
      </c>
      <c r="C247" t="s">
        <v>1185</v>
      </c>
      <c r="D247" t="s">
        <v>10</v>
      </c>
      <c r="E247" t="s">
        <v>130</v>
      </c>
      <c r="F247" t="s">
        <v>1186</v>
      </c>
      <c r="G247" t="s">
        <v>799</v>
      </c>
      <c r="H247" t="s">
        <v>1187</v>
      </c>
      <c r="I247" t="s">
        <v>1188</v>
      </c>
    </row>
    <row r="248" spans="1:9" x14ac:dyDescent="0.3">
      <c r="A248">
        <v>247</v>
      </c>
      <c r="B248">
        <v>247</v>
      </c>
      <c r="C248" t="s">
        <v>1189</v>
      </c>
      <c r="D248" t="s">
        <v>657</v>
      </c>
      <c r="E248" t="s">
        <v>11</v>
      </c>
      <c r="F248" t="s">
        <v>986</v>
      </c>
      <c r="G248" t="s">
        <v>1190</v>
      </c>
      <c r="H248" t="s">
        <v>1191</v>
      </c>
      <c r="I248" t="s">
        <v>1192</v>
      </c>
    </row>
    <row r="249" spans="1:9" x14ac:dyDescent="0.3">
      <c r="A249">
        <v>248</v>
      </c>
      <c r="B249">
        <v>248</v>
      </c>
      <c r="C249" t="s">
        <v>1193</v>
      </c>
      <c r="D249" t="s">
        <v>10</v>
      </c>
      <c r="E249" t="s">
        <v>743</v>
      </c>
      <c r="F249" t="s">
        <v>1194</v>
      </c>
      <c r="G249" t="s">
        <v>557</v>
      </c>
      <c r="H249" t="s">
        <v>1195</v>
      </c>
      <c r="I249" t="s">
        <v>1196</v>
      </c>
    </row>
    <row r="250" spans="1:9" x14ac:dyDescent="0.3">
      <c r="A250">
        <v>249</v>
      </c>
      <c r="B250">
        <v>249</v>
      </c>
      <c r="C250" t="s">
        <v>1197</v>
      </c>
      <c r="D250" t="s">
        <v>35</v>
      </c>
      <c r="E250" t="s">
        <v>464</v>
      </c>
      <c r="F250" t="s">
        <v>1198</v>
      </c>
      <c r="G250" t="s">
        <v>552</v>
      </c>
      <c r="H250" t="s">
        <v>730</v>
      </c>
      <c r="I250" t="s">
        <v>1199</v>
      </c>
    </row>
    <row r="251" spans="1:9" x14ac:dyDescent="0.3">
      <c r="A251">
        <v>250</v>
      </c>
      <c r="B251">
        <v>250</v>
      </c>
      <c r="C251" t="s">
        <v>1200</v>
      </c>
      <c r="D251" t="s">
        <v>51</v>
      </c>
      <c r="E251" t="s">
        <v>243</v>
      </c>
      <c r="F251" t="s">
        <v>1201</v>
      </c>
      <c r="G251" t="s">
        <v>1202</v>
      </c>
      <c r="H251" t="s">
        <v>1203</v>
      </c>
      <c r="I251">
        <v>15</v>
      </c>
    </row>
    <row r="252" spans="1:9" x14ac:dyDescent="0.3">
      <c r="A252">
        <v>251</v>
      </c>
      <c r="B252">
        <v>251</v>
      </c>
      <c r="C252" t="s">
        <v>1204</v>
      </c>
      <c r="D252" t="s">
        <v>1172</v>
      </c>
      <c r="E252" t="s">
        <v>11</v>
      </c>
      <c r="F252" t="s">
        <v>1205</v>
      </c>
      <c r="G252" t="s">
        <v>1164</v>
      </c>
      <c r="H252" t="s">
        <v>1206</v>
      </c>
      <c r="I252" t="s">
        <v>1207</v>
      </c>
    </row>
    <row r="253" spans="1:9" x14ac:dyDescent="0.3">
      <c r="A253">
        <v>252</v>
      </c>
      <c r="B253">
        <v>252</v>
      </c>
      <c r="C253" t="s">
        <v>1208</v>
      </c>
      <c r="D253" t="s">
        <v>10</v>
      </c>
      <c r="E253" t="s">
        <v>130</v>
      </c>
      <c r="F253" t="s">
        <v>1209</v>
      </c>
      <c r="G253">
        <v>1</v>
      </c>
      <c r="H253" t="s">
        <v>944</v>
      </c>
      <c r="I253" t="s">
        <v>1210</v>
      </c>
    </row>
    <row r="254" spans="1:9" x14ac:dyDescent="0.3">
      <c r="A254">
        <v>253</v>
      </c>
      <c r="B254">
        <v>253</v>
      </c>
      <c r="C254" t="s">
        <v>1211</v>
      </c>
      <c r="D254" t="s">
        <v>10</v>
      </c>
      <c r="E254" t="s">
        <v>11</v>
      </c>
      <c r="F254" t="s">
        <v>1212</v>
      </c>
      <c r="G254" t="s">
        <v>552</v>
      </c>
      <c r="H254" t="s">
        <v>1213</v>
      </c>
      <c r="I254" t="s">
        <v>1214</v>
      </c>
    </row>
    <row r="255" spans="1:9" x14ac:dyDescent="0.3">
      <c r="A255">
        <v>254</v>
      </c>
      <c r="B255">
        <v>254</v>
      </c>
      <c r="C255" t="s">
        <v>1215</v>
      </c>
      <c r="D255" t="s">
        <v>10</v>
      </c>
      <c r="E255" t="s">
        <v>706</v>
      </c>
      <c r="F255" t="s">
        <v>1216</v>
      </c>
      <c r="G255" t="s">
        <v>1217</v>
      </c>
      <c r="H255" t="s">
        <v>1218</v>
      </c>
      <c r="I255" t="s">
        <v>1219</v>
      </c>
    </row>
    <row r="256" spans="1:9" x14ac:dyDescent="0.3">
      <c r="A256">
        <v>255</v>
      </c>
      <c r="B256">
        <v>255</v>
      </c>
      <c r="C256" t="s">
        <v>1220</v>
      </c>
      <c r="D256" t="s">
        <v>10</v>
      </c>
      <c r="E256" t="s">
        <v>706</v>
      </c>
      <c r="F256" t="s">
        <v>1221</v>
      </c>
      <c r="G256" t="s">
        <v>552</v>
      </c>
      <c r="H256" t="s">
        <v>1130</v>
      </c>
      <c r="I256" t="s">
        <v>1222</v>
      </c>
    </row>
    <row r="257" spans="1:9" x14ac:dyDescent="0.3">
      <c r="A257">
        <v>256</v>
      </c>
      <c r="B257">
        <v>256</v>
      </c>
      <c r="C257" t="s">
        <v>1223</v>
      </c>
      <c r="D257" t="s">
        <v>10</v>
      </c>
      <c r="E257" t="s">
        <v>345</v>
      </c>
      <c r="F257" t="s">
        <v>1224</v>
      </c>
      <c r="G257" t="s">
        <v>1225</v>
      </c>
      <c r="H257" t="s">
        <v>842</v>
      </c>
      <c r="I257" t="s">
        <v>1226</v>
      </c>
    </row>
    <row r="258" spans="1:9" x14ac:dyDescent="0.3">
      <c r="A258">
        <v>257</v>
      </c>
      <c r="B258">
        <v>257</v>
      </c>
      <c r="C258" t="s">
        <v>1227</v>
      </c>
      <c r="D258" t="s">
        <v>10</v>
      </c>
      <c r="E258" t="s">
        <v>23</v>
      </c>
      <c r="F258" t="s">
        <v>890</v>
      </c>
      <c r="G258" t="s">
        <v>823</v>
      </c>
      <c r="H258" t="s">
        <v>701</v>
      </c>
      <c r="I258" t="s">
        <v>1228</v>
      </c>
    </row>
    <row r="259" spans="1:9" x14ac:dyDescent="0.3">
      <c r="A259">
        <v>258</v>
      </c>
      <c r="B259">
        <v>258</v>
      </c>
      <c r="C259" t="s">
        <v>1229</v>
      </c>
      <c r="D259" t="s">
        <v>10</v>
      </c>
      <c r="E259" t="s">
        <v>345</v>
      </c>
      <c r="F259" t="s">
        <v>1230</v>
      </c>
      <c r="G259" t="s">
        <v>891</v>
      </c>
      <c r="H259" t="s">
        <v>1231</v>
      </c>
      <c r="I259" t="s">
        <v>1232</v>
      </c>
    </row>
    <row r="260" spans="1:9" x14ac:dyDescent="0.3">
      <c r="A260">
        <v>259</v>
      </c>
      <c r="B260">
        <v>259</v>
      </c>
      <c r="C260" t="s">
        <v>1233</v>
      </c>
      <c r="D260" t="s">
        <v>1234</v>
      </c>
      <c r="E260" t="s">
        <v>715</v>
      </c>
      <c r="F260" t="s">
        <v>1235</v>
      </c>
      <c r="G260" t="s">
        <v>1236</v>
      </c>
      <c r="H260" t="s">
        <v>816</v>
      </c>
      <c r="I260" t="s">
        <v>1104</v>
      </c>
    </row>
    <row r="261" spans="1:9" x14ac:dyDescent="0.3">
      <c r="A261">
        <v>260</v>
      </c>
      <c r="B261">
        <v>260</v>
      </c>
      <c r="C261" t="s">
        <v>1237</v>
      </c>
      <c r="D261" t="s">
        <v>1079</v>
      </c>
      <c r="E261" t="s">
        <v>11</v>
      </c>
      <c r="F261" t="s">
        <v>341</v>
      </c>
      <c r="G261" t="s">
        <v>891</v>
      </c>
      <c r="H261" t="s">
        <v>1238</v>
      </c>
      <c r="I261" t="s">
        <v>1239</v>
      </c>
    </row>
    <row r="262" spans="1:9" x14ac:dyDescent="0.3">
      <c r="A262">
        <v>261</v>
      </c>
      <c r="B262">
        <v>261</v>
      </c>
      <c r="C262" t="s">
        <v>1240</v>
      </c>
      <c r="D262" t="s">
        <v>10</v>
      </c>
      <c r="E262" t="s">
        <v>130</v>
      </c>
      <c r="F262" t="s">
        <v>1241</v>
      </c>
      <c r="G262" t="s">
        <v>1089</v>
      </c>
      <c r="H262" t="s">
        <v>1242</v>
      </c>
      <c r="I262" t="s">
        <v>1179</v>
      </c>
    </row>
    <row r="263" spans="1:9" x14ac:dyDescent="0.3">
      <c r="A263">
        <v>262</v>
      </c>
      <c r="B263">
        <v>262</v>
      </c>
      <c r="C263" t="s">
        <v>1243</v>
      </c>
      <c r="D263" t="s">
        <v>10</v>
      </c>
      <c r="E263" t="s">
        <v>11</v>
      </c>
      <c r="F263" t="s">
        <v>1244</v>
      </c>
      <c r="G263" t="s">
        <v>865</v>
      </c>
      <c r="H263" t="s">
        <v>1245</v>
      </c>
      <c r="I263" t="s">
        <v>1246</v>
      </c>
    </row>
    <row r="264" spans="1:9" x14ac:dyDescent="0.3">
      <c r="A264">
        <v>263</v>
      </c>
      <c r="B264">
        <v>263</v>
      </c>
      <c r="C264" t="s">
        <v>1247</v>
      </c>
      <c r="D264" t="s">
        <v>205</v>
      </c>
      <c r="E264" t="s">
        <v>11</v>
      </c>
      <c r="F264" t="s">
        <v>1248</v>
      </c>
      <c r="G264" t="s">
        <v>1249</v>
      </c>
      <c r="H264" t="s">
        <v>1250</v>
      </c>
      <c r="I264" t="s">
        <v>1251</v>
      </c>
    </row>
    <row r="265" spans="1:9" x14ac:dyDescent="0.3">
      <c r="A265">
        <v>264</v>
      </c>
      <c r="B265">
        <v>264</v>
      </c>
      <c r="C265" t="s">
        <v>1252</v>
      </c>
      <c r="D265" t="s">
        <v>76</v>
      </c>
      <c r="E265" t="s">
        <v>29</v>
      </c>
      <c r="F265" t="s">
        <v>1253</v>
      </c>
      <c r="G265" t="s">
        <v>1254</v>
      </c>
      <c r="H265" t="s">
        <v>1255</v>
      </c>
      <c r="I265" t="s">
        <v>1256</v>
      </c>
    </row>
    <row r="266" spans="1:9" x14ac:dyDescent="0.3">
      <c r="A266">
        <v>265</v>
      </c>
      <c r="B266">
        <v>265</v>
      </c>
      <c r="C266" t="s">
        <v>1257</v>
      </c>
      <c r="D266" t="s">
        <v>10</v>
      </c>
      <c r="E266" t="s">
        <v>29</v>
      </c>
      <c r="F266" t="s">
        <v>1258</v>
      </c>
      <c r="G266" t="s">
        <v>1259</v>
      </c>
      <c r="H266" t="s">
        <v>1260</v>
      </c>
      <c r="I266" t="s">
        <v>1261</v>
      </c>
    </row>
    <row r="267" spans="1:9" x14ac:dyDescent="0.3">
      <c r="A267">
        <v>266</v>
      </c>
      <c r="B267">
        <v>266</v>
      </c>
      <c r="C267" t="s">
        <v>1262</v>
      </c>
      <c r="D267" t="s">
        <v>51</v>
      </c>
      <c r="E267" t="s">
        <v>464</v>
      </c>
      <c r="F267" t="s">
        <v>1263</v>
      </c>
      <c r="G267" t="s">
        <v>1254</v>
      </c>
      <c r="H267" t="s">
        <v>1264</v>
      </c>
      <c r="I267" t="s">
        <v>1265</v>
      </c>
    </row>
    <row r="268" spans="1:9" x14ac:dyDescent="0.3">
      <c r="A268">
        <v>267</v>
      </c>
      <c r="B268">
        <v>267</v>
      </c>
      <c r="C268" t="s">
        <v>1266</v>
      </c>
      <c r="D268" t="s">
        <v>10</v>
      </c>
      <c r="E268" t="s">
        <v>743</v>
      </c>
      <c r="F268" t="s">
        <v>1267</v>
      </c>
      <c r="G268" t="s">
        <v>1268</v>
      </c>
      <c r="H268" t="s">
        <v>1269</v>
      </c>
      <c r="I268" t="s">
        <v>1270</v>
      </c>
    </row>
    <row r="269" spans="1:9" x14ac:dyDescent="0.3">
      <c r="A269">
        <v>268</v>
      </c>
      <c r="B269">
        <v>268</v>
      </c>
      <c r="C269" t="s">
        <v>1271</v>
      </c>
      <c r="D269" t="s">
        <v>696</v>
      </c>
      <c r="E269" t="s">
        <v>11</v>
      </c>
      <c r="F269" t="s">
        <v>137</v>
      </c>
      <c r="G269" t="s">
        <v>1249</v>
      </c>
      <c r="H269" t="s">
        <v>1272</v>
      </c>
      <c r="I269" t="s">
        <v>1273</v>
      </c>
    </row>
    <row r="270" spans="1:9" x14ac:dyDescent="0.3">
      <c r="A270">
        <v>269</v>
      </c>
      <c r="B270">
        <v>269</v>
      </c>
      <c r="C270" t="s">
        <v>1274</v>
      </c>
      <c r="D270" t="s">
        <v>10</v>
      </c>
      <c r="E270" t="s">
        <v>345</v>
      </c>
      <c r="F270" t="s">
        <v>1275</v>
      </c>
      <c r="G270" t="s">
        <v>1164</v>
      </c>
      <c r="H270" t="s">
        <v>1276</v>
      </c>
      <c r="I270" t="s">
        <v>1277</v>
      </c>
    </row>
    <row r="271" spans="1:9" x14ac:dyDescent="0.3">
      <c r="A271">
        <v>270</v>
      </c>
      <c r="B271">
        <v>270</v>
      </c>
      <c r="C271" t="s">
        <v>1278</v>
      </c>
      <c r="D271" t="s">
        <v>10</v>
      </c>
      <c r="E271" t="s">
        <v>365</v>
      </c>
      <c r="F271" t="s">
        <v>1279</v>
      </c>
      <c r="G271" t="s">
        <v>982</v>
      </c>
      <c r="H271" t="s">
        <v>1231</v>
      </c>
      <c r="I271" t="s">
        <v>1280</v>
      </c>
    </row>
    <row r="272" spans="1:9" x14ac:dyDescent="0.3">
      <c r="A272">
        <v>271</v>
      </c>
      <c r="B272">
        <v>271</v>
      </c>
      <c r="C272" t="s">
        <v>1281</v>
      </c>
      <c r="D272" t="s">
        <v>10</v>
      </c>
      <c r="E272" t="s">
        <v>23</v>
      </c>
      <c r="F272" t="s">
        <v>1282</v>
      </c>
      <c r="G272" t="s">
        <v>1164</v>
      </c>
      <c r="H272" t="s">
        <v>142</v>
      </c>
      <c r="I272" t="s">
        <v>1283</v>
      </c>
    </row>
    <row r="273" spans="1:9" x14ac:dyDescent="0.3">
      <c r="A273">
        <v>272</v>
      </c>
      <c r="B273">
        <v>272</v>
      </c>
      <c r="C273" t="s">
        <v>1284</v>
      </c>
      <c r="D273" t="s">
        <v>417</v>
      </c>
      <c r="E273" t="s">
        <v>634</v>
      </c>
      <c r="F273" t="s">
        <v>1285</v>
      </c>
      <c r="G273" t="s">
        <v>1286</v>
      </c>
      <c r="H273" t="s">
        <v>1287</v>
      </c>
      <c r="I273" t="s">
        <v>1288</v>
      </c>
    </row>
    <row r="274" spans="1:9" x14ac:dyDescent="0.3">
      <c r="A274">
        <v>273</v>
      </c>
      <c r="B274">
        <v>273</v>
      </c>
      <c r="C274" t="s">
        <v>1289</v>
      </c>
      <c r="D274" t="s">
        <v>1172</v>
      </c>
      <c r="E274" t="s">
        <v>29</v>
      </c>
      <c r="F274" t="s">
        <v>1216</v>
      </c>
      <c r="G274" t="s">
        <v>1290</v>
      </c>
      <c r="H274" t="s">
        <v>1141</v>
      </c>
      <c r="I274" t="s">
        <v>1291</v>
      </c>
    </row>
    <row r="275" spans="1:9" x14ac:dyDescent="0.3">
      <c r="A275">
        <v>274</v>
      </c>
      <c r="B275">
        <v>274</v>
      </c>
      <c r="C275" t="s">
        <v>1292</v>
      </c>
      <c r="D275" t="s">
        <v>417</v>
      </c>
      <c r="E275" t="s">
        <v>232</v>
      </c>
      <c r="F275" t="s">
        <v>1293</v>
      </c>
      <c r="G275" t="s">
        <v>865</v>
      </c>
      <c r="H275" t="s">
        <v>768</v>
      </c>
      <c r="I275" t="s">
        <v>1294</v>
      </c>
    </row>
    <row r="276" spans="1:9" x14ac:dyDescent="0.3">
      <c r="A276">
        <v>275</v>
      </c>
      <c r="B276">
        <v>275</v>
      </c>
      <c r="C276" t="s">
        <v>1295</v>
      </c>
      <c r="D276" t="s">
        <v>249</v>
      </c>
      <c r="E276" t="s">
        <v>634</v>
      </c>
      <c r="F276" t="s">
        <v>978</v>
      </c>
      <c r="G276" t="s">
        <v>1225</v>
      </c>
      <c r="H276" t="s">
        <v>1296</v>
      </c>
      <c r="I276" t="s">
        <v>1297</v>
      </c>
    </row>
    <row r="277" spans="1:9" x14ac:dyDescent="0.3">
      <c r="A277">
        <v>276</v>
      </c>
      <c r="B277">
        <v>276</v>
      </c>
      <c r="C277" t="s">
        <v>1298</v>
      </c>
      <c r="D277" t="s">
        <v>10</v>
      </c>
      <c r="E277" t="s">
        <v>130</v>
      </c>
      <c r="F277" t="s">
        <v>1299</v>
      </c>
      <c r="G277" t="s">
        <v>1038</v>
      </c>
      <c r="H277" t="s">
        <v>1300</v>
      </c>
      <c r="I277" t="s">
        <v>1301</v>
      </c>
    </row>
    <row r="278" spans="1:9" x14ac:dyDescent="0.3">
      <c r="A278">
        <v>277</v>
      </c>
      <c r="B278">
        <v>277</v>
      </c>
      <c r="C278" t="s">
        <v>1302</v>
      </c>
      <c r="D278" t="s">
        <v>51</v>
      </c>
      <c r="E278" t="s">
        <v>23</v>
      </c>
      <c r="F278" t="s">
        <v>1303</v>
      </c>
      <c r="G278" t="s">
        <v>1098</v>
      </c>
      <c r="H278" t="s">
        <v>1304</v>
      </c>
      <c r="I278" t="s">
        <v>1305</v>
      </c>
    </row>
    <row r="279" spans="1:9" x14ac:dyDescent="0.3">
      <c r="A279">
        <v>278</v>
      </c>
      <c r="B279">
        <v>278</v>
      </c>
      <c r="C279" t="s">
        <v>1306</v>
      </c>
      <c r="D279" t="s">
        <v>104</v>
      </c>
      <c r="E279" t="s">
        <v>141</v>
      </c>
      <c r="F279" t="s">
        <v>1307</v>
      </c>
      <c r="G279" t="s">
        <v>1308</v>
      </c>
      <c r="H279" t="s">
        <v>1309</v>
      </c>
      <c r="I279" t="s">
        <v>1310</v>
      </c>
    </row>
    <row r="280" spans="1:9" x14ac:dyDescent="0.3">
      <c r="A280">
        <v>279</v>
      </c>
      <c r="B280">
        <v>279</v>
      </c>
      <c r="C280" t="s">
        <v>1311</v>
      </c>
      <c r="D280" t="s">
        <v>10</v>
      </c>
      <c r="E280" t="s">
        <v>743</v>
      </c>
      <c r="F280" t="s">
        <v>1312</v>
      </c>
      <c r="G280" t="s">
        <v>1249</v>
      </c>
      <c r="H280" t="s">
        <v>1313</v>
      </c>
      <c r="I280" t="s">
        <v>1314</v>
      </c>
    </row>
    <row r="281" spans="1:9" x14ac:dyDescent="0.3">
      <c r="A281">
        <v>280</v>
      </c>
      <c r="B281">
        <v>280</v>
      </c>
      <c r="C281" t="s">
        <v>1315</v>
      </c>
      <c r="D281" t="s">
        <v>10</v>
      </c>
      <c r="E281" t="s">
        <v>64</v>
      </c>
      <c r="F281" t="s">
        <v>1316</v>
      </c>
      <c r="G281" t="s">
        <v>1317</v>
      </c>
      <c r="H281" t="s">
        <v>1318</v>
      </c>
      <c r="I281" t="s">
        <v>1319</v>
      </c>
    </row>
    <row r="282" spans="1:9" x14ac:dyDescent="0.3">
      <c r="A282">
        <v>281</v>
      </c>
      <c r="B282">
        <v>281</v>
      </c>
      <c r="C282" t="s">
        <v>1320</v>
      </c>
      <c r="D282" t="s">
        <v>51</v>
      </c>
      <c r="E282" t="s">
        <v>345</v>
      </c>
      <c r="F282" t="s">
        <v>1321</v>
      </c>
      <c r="G282" t="s">
        <v>1322</v>
      </c>
      <c r="H282" t="s">
        <v>1323</v>
      </c>
      <c r="I282" t="s">
        <v>1324</v>
      </c>
    </row>
    <row r="283" spans="1:9" x14ac:dyDescent="0.3">
      <c r="A283">
        <v>282</v>
      </c>
      <c r="B283">
        <v>282</v>
      </c>
      <c r="C283" t="s">
        <v>1325</v>
      </c>
      <c r="D283" t="s">
        <v>436</v>
      </c>
      <c r="E283" t="s">
        <v>29</v>
      </c>
      <c r="F283" t="s">
        <v>1075</v>
      </c>
      <c r="G283" t="s">
        <v>1217</v>
      </c>
      <c r="H283" t="s">
        <v>1326</v>
      </c>
      <c r="I283" t="s">
        <v>1327</v>
      </c>
    </row>
    <row r="284" spans="1:9" x14ac:dyDescent="0.3">
      <c r="A284">
        <v>283</v>
      </c>
      <c r="B284">
        <v>283</v>
      </c>
      <c r="C284" t="s">
        <v>1328</v>
      </c>
      <c r="D284" t="s">
        <v>10</v>
      </c>
      <c r="E284" t="s">
        <v>560</v>
      </c>
      <c r="F284" t="s">
        <v>1329</v>
      </c>
      <c r="G284" t="s">
        <v>1330</v>
      </c>
      <c r="H284" t="s">
        <v>1331</v>
      </c>
      <c r="I284" t="s">
        <v>1332</v>
      </c>
    </row>
    <row r="285" spans="1:9" x14ac:dyDescent="0.3">
      <c r="A285">
        <v>284</v>
      </c>
      <c r="B285">
        <v>284</v>
      </c>
      <c r="C285" t="s">
        <v>1333</v>
      </c>
      <c r="D285" t="s">
        <v>10</v>
      </c>
      <c r="E285" t="s">
        <v>634</v>
      </c>
      <c r="F285" t="s">
        <v>1334</v>
      </c>
      <c r="G285" t="s">
        <v>1335</v>
      </c>
      <c r="H285" t="s">
        <v>1336</v>
      </c>
      <c r="I285" t="s">
        <v>1337</v>
      </c>
    </row>
    <row r="286" spans="1:9" x14ac:dyDescent="0.3">
      <c r="A286">
        <v>285</v>
      </c>
      <c r="B286">
        <v>285</v>
      </c>
      <c r="C286" t="s">
        <v>1338</v>
      </c>
      <c r="D286" t="s">
        <v>51</v>
      </c>
      <c r="E286" t="s">
        <v>345</v>
      </c>
      <c r="F286" t="s">
        <v>1339</v>
      </c>
      <c r="G286" t="s">
        <v>1340</v>
      </c>
      <c r="H286" t="s">
        <v>1341</v>
      </c>
      <c r="I286" t="s">
        <v>1342</v>
      </c>
    </row>
    <row r="287" spans="1:9" x14ac:dyDescent="0.3">
      <c r="A287">
        <v>286</v>
      </c>
      <c r="B287">
        <v>286</v>
      </c>
      <c r="C287" t="s">
        <v>1343</v>
      </c>
      <c r="D287" t="s">
        <v>76</v>
      </c>
      <c r="E287" t="s">
        <v>510</v>
      </c>
      <c r="F287" t="s">
        <v>1344</v>
      </c>
      <c r="G287" t="s">
        <v>1345</v>
      </c>
      <c r="H287" t="s">
        <v>1346</v>
      </c>
      <c r="I287" t="s">
        <v>1347</v>
      </c>
    </row>
    <row r="288" spans="1:9" x14ac:dyDescent="0.3">
      <c r="A288">
        <v>287</v>
      </c>
      <c r="B288">
        <v>287</v>
      </c>
      <c r="C288" t="s">
        <v>1348</v>
      </c>
      <c r="D288" t="s">
        <v>10</v>
      </c>
      <c r="E288" t="s">
        <v>52</v>
      </c>
      <c r="F288" t="s">
        <v>1349</v>
      </c>
      <c r="G288" t="s">
        <v>1350</v>
      </c>
      <c r="H288" t="s">
        <v>1351</v>
      </c>
      <c r="I288" t="s">
        <v>1352</v>
      </c>
    </row>
    <row r="289" spans="1:9" x14ac:dyDescent="0.3">
      <c r="A289">
        <v>288</v>
      </c>
      <c r="B289">
        <v>288</v>
      </c>
      <c r="C289" t="s">
        <v>1353</v>
      </c>
      <c r="D289" t="s">
        <v>10</v>
      </c>
      <c r="E289" t="s">
        <v>58</v>
      </c>
      <c r="F289" t="s">
        <v>1354</v>
      </c>
      <c r="G289" t="s">
        <v>382</v>
      </c>
      <c r="H289" t="s">
        <v>1355</v>
      </c>
      <c r="I289" t="s">
        <v>1356</v>
      </c>
    </row>
    <row r="290" spans="1:9" x14ac:dyDescent="0.3">
      <c r="A290">
        <v>289</v>
      </c>
      <c r="B290">
        <v>289</v>
      </c>
      <c r="C290" t="s">
        <v>1357</v>
      </c>
      <c r="D290" t="s">
        <v>10</v>
      </c>
      <c r="E290" t="s">
        <v>29</v>
      </c>
      <c r="F290" t="s">
        <v>1358</v>
      </c>
      <c r="G290" t="s">
        <v>1359</v>
      </c>
      <c r="H290" t="s">
        <v>1360</v>
      </c>
      <c r="I290" t="s">
        <v>1361</v>
      </c>
    </row>
    <row r="291" spans="1:9" x14ac:dyDescent="0.3">
      <c r="A291">
        <v>290</v>
      </c>
      <c r="B291">
        <v>290</v>
      </c>
      <c r="C291" t="s">
        <v>1362</v>
      </c>
      <c r="D291" t="s">
        <v>10</v>
      </c>
      <c r="E291" t="s">
        <v>464</v>
      </c>
      <c r="F291" t="s">
        <v>1363</v>
      </c>
      <c r="G291" t="s">
        <v>1364</v>
      </c>
      <c r="H291" t="s">
        <v>922</v>
      </c>
      <c r="I291" t="s">
        <v>813</v>
      </c>
    </row>
    <row r="292" spans="1:9" x14ac:dyDescent="0.3">
      <c r="A292">
        <v>291</v>
      </c>
      <c r="B292">
        <v>291</v>
      </c>
      <c r="C292" t="s">
        <v>1365</v>
      </c>
      <c r="D292" t="s">
        <v>10</v>
      </c>
      <c r="E292" t="s">
        <v>151</v>
      </c>
      <c r="F292" t="s">
        <v>1366</v>
      </c>
      <c r="G292" t="s">
        <v>1051</v>
      </c>
      <c r="H292" t="s">
        <v>1367</v>
      </c>
      <c r="I292" t="s">
        <v>606</v>
      </c>
    </row>
    <row r="293" spans="1:9" x14ac:dyDescent="0.3">
      <c r="A293">
        <v>292</v>
      </c>
      <c r="B293">
        <v>292</v>
      </c>
      <c r="C293" t="s">
        <v>1368</v>
      </c>
      <c r="D293" t="s">
        <v>10</v>
      </c>
      <c r="E293" t="s">
        <v>687</v>
      </c>
      <c r="F293" t="s">
        <v>1369</v>
      </c>
      <c r="G293" t="s">
        <v>1345</v>
      </c>
      <c r="H293" t="s">
        <v>1370</v>
      </c>
      <c r="I293" t="s">
        <v>1371</v>
      </c>
    </row>
    <row r="294" spans="1:9" x14ac:dyDescent="0.3">
      <c r="A294">
        <v>293</v>
      </c>
      <c r="B294">
        <v>293</v>
      </c>
      <c r="C294" t="s">
        <v>1372</v>
      </c>
      <c r="D294" t="s">
        <v>51</v>
      </c>
      <c r="E294" t="s">
        <v>706</v>
      </c>
      <c r="F294" t="s">
        <v>1373</v>
      </c>
      <c r="G294" t="s">
        <v>1249</v>
      </c>
      <c r="H294" t="s">
        <v>1374</v>
      </c>
      <c r="I294" t="s">
        <v>1375</v>
      </c>
    </row>
    <row r="295" spans="1:9" x14ac:dyDescent="0.3">
      <c r="A295">
        <v>294</v>
      </c>
      <c r="B295">
        <v>294</v>
      </c>
      <c r="C295" t="s">
        <v>1376</v>
      </c>
      <c r="D295" t="s">
        <v>458</v>
      </c>
      <c r="E295" t="s">
        <v>29</v>
      </c>
      <c r="F295" t="s">
        <v>1377</v>
      </c>
      <c r="G295" t="s">
        <v>670</v>
      </c>
      <c r="H295" t="s">
        <v>1378</v>
      </c>
      <c r="I295" t="s">
        <v>1379</v>
      </c>
    </row>
    <row r="296" spans="1:9" x14ac:dyDescent="0.3">
      <c r="A296">
        <v>295</v>
      </c>
      <c r="B296">
        <v>295</v>
      </c>
      <c r="C296" t="s">
        <v>1380</v>
      </c>
      <c r="D296" t="s">
        <v>51</v>
      </c>
      <c r="E296" t="s">
        <v>64</v>
      </c>
      <c r="F296" t="s">
        <v>1381</v>
      </c>
      <c r="G296" t="s">
        <v>1268</v>
      </c>
      <c r="H296" t="s">
        <v>1382</v>
      </c>
      <c r="I296" t="s">
        <v>1383</v>
      </c>
    </row>
    <row r="297" spans="1:9" x14ac:dyDescent="0.3">
      <c r="A297">
        <v>296</v>
      </c>
      <c r="B297">
        <v>296</v>
      </c>
      <c r="C297" t="s">
        <v>1384</v>
      </c>
      <c r="D297" t="s">
        <v>10</v>
      </c>
      <c r="E297" t="s">
        <v>64</v>
      </c>
      <c r="F297" t="s">
        <v>1385</v>
      </c>
      <c r="G297" t="s">
        <v>1225</v>
      </c>
      <c r="H297" t="s">
        <v>1386</v>
      </c>
      <c r="I297" t="s">
        <v>1387</v>
      </c>
    </row>
    <row r="298" spans="1:9" x14ac:dyDescent="0.3">
      <c r="A298">
        <v>297</v>
      </c>
      <c r="B298">
        <v>297</v>
      </c>
      <c r="C298" t="s">
        <v>1388</v>
      </c>
      <c r="D298" t="s">
        <v>10</v>
      </c>
      <c r="E298" t="s">
        <v>243</v>
      </c>
      <c r="F298" t="s">
        <v>1389</v>
      </c>
      <c r="G298" t="s">
        <v>964</v>
      </c>
      <c r="H298" t="s">
        <v>1390</v>
      </c>
      <c r="I298" t="s">
        <v>1391</v>
      </c>
    </row>
    <row r="299" spans="1:9" x14ac:dyDescent="0.3">
      <c r="A299">
        <v>298</v>
      </c>
      <c r="B299">
        <v>298</v>
      </c>
      <c r="C299" t="s">
        <v>1392</v>
      </c>
      <c r="D299" t="s">
        <v>10</v>
      </c>
      <c r="E299" t="s">
        <v>345</v>
      </c>
      <c r="F299" t="s">
        <v>1393</v>
      </c>
      <c r="G299" t="s">
        <v>1190</v>
      </c>
      <c r="H299" t="s">
        <v>1394</v>
      </c>
      <c r="I299" t="s">
        <v>1370</v>
      </c>
    </row>
    <row r="300" spans="1:9" x14ac:dyDescent="0.3">
      <c r="A300">
        <v>299</v>
      </c>
      <c r="B300">
        <v>299</v>
      </c>
      <c r="C300" t="s">
        <v>1395</v>
      </c>
      <c r="D300" t="s">
        <v>10</v>
      </c>
      <c r="E300" t="s">
        <v>743</v>
      </c>
      <c r="F300" t="s">
        <v>1288</v>
      </c>
      <c r="G300" t="s">
        <v>1182</v>
      </c>
      <c r="H300" t="s">
        <v>1195</v>
      </c>
      <c r="I300" t="s">
        <v>1396</v>
      </c>
    </row>
    <row r="301" spans="1:9" x14ac:dyDescent="0.3">
      <c r="A301">
        <v>300</v>
      </c>
      <c r="B301">
        <v>300</v>
      </c>
      <c r="C301" t="s">
        <v>1397</v>
      </c>
      <c r="D301" t="s">
        <v>104</v>
      </c>
      <c r="E301" t="s">
        <v>11</v>
      </c>
      <c r="F301" t="s">
        <v>1398</v>
      </c>
      <c r="G301" t="s">
        <v>1399</v>
      </c>
      <c r="H301" t="s">
        <v>1400</v>
      </c>
      <c r="I301" t="s">
        <v>1401</v>
      </c>
    </row>
    <row r="302" spans="1:9" x14ac:dyDescent="0.3">
      <c r="A302">
        <v>301</v>
      </c>
      <c r="B302">
        <v>301</v>
      </c>
      <c r="C302" t="s">
        <v>1402</v>
      </c>
      <c r="D302" t="s">
        <v>10</v>
      </c>
      <c r="E302" t="s">
        <v>706</v>
      </c>
      <c r="F302" t="s">
        <v>1403</v>
      </c>
      <c r="G302" t="s">
        <v>1111</v>
      </c>
      <c r="H302" t="s">
        <v>1404</v>
      </c>
      <c r="I302" t="s">
        <v>1405</v>
      </c>
    </row>
    <row r="303" spans="1:9" x14ac:dyDescent="0.3">
      <c r="A303">
        <v>302</v>
      </c>
      <c r="B303">
        <v>302</v>
      </c>
      <c r="C303" t="s">
        <v>1406</v>
      </c>
      <c r="D303" t="s">
        <v>10</v>
      </c>
      <c r="E303" t="s">
        <v>11</v>
      </c>
      <c r="F303" t="s">
        <v>1407</v>
      </c>
      <c r="G303" t="s">
        <v>640</v>
      </c>
      <c r="H303" t="s">
        <v>1408</v>
      </c>
      <c r="I303" t="s">
        <v>1409</v>
      </c>
    </row>
    <row r="304" spans="1:9" x14ac:dyDescent="0.3">
      <c r="A304">
        <v>303</v>
      </c>
      <c r="B304">
        <v>303</v>
      </c>
      <c r="C304" t="s">
        <v>1410</v>
      </c>
      <c r="D304" t="s">
        <v>1172</v>
      </c>
      <c r="E304" t="s">
        <v>29</v>
      </c>
      <c r="F304" t="s">
        <v>1411</v>
      </c>
      <c r="G304" t="s">
        <v>1089</v>
      </c>
      <c r="H304" t="s">
        <v>661</v>
      </c>
      <c r="I304" t="s">
        <v>1412</v>
      </c>
    </row>
    <row r="305" spans="1:9" x14ac:dyDescent="0.3">
      <c r="A305">
        <v>304</v>
      </c>
      <c r="B305">
        <v>304</v>
      </c>
      <c r="C305" t="s">
        <v>1413</v>
      </c>
      <c r="D305" t="s">
        <v>10</v>
      </c>
      <c r="E305" t="s">
        <v>345</v>
      </c>
      <c r="F305" t="s">
        <v>1405</v>
      </c>
      <c r="G305" t="s">
        <v>1249</v>
      </c>
      <c r="H305" t="s">
        <v>1414</v>
      </c>
      <c r="I305" t="s">
        <v>1415</v>
      </c>
    </row>
    <row r="306" spans="1:9" x14ac:dyDescent="0.3">
      <c r="A306">
        <v>305</v>
      </c>
      <c r="B306">
        <v>305</v>
      </c>
      <c r="C306" t="s">
        <v>1416</v>
      </c>
      <c r="D306" t="s">
        <v>10</v>
      </c>
      <c r="E306" t="s">
        <v>464</v>
      </c>
      <c r="F306" t="s">
        <v>1198</v>
      </c>
      <c r="G306" t="s">
        <v>1089</v>
      </c>
      <c r="H306" t="s">
        <v>1417</v>
      </c>
      <c r="I306" t="s">
        <v>972</v>
      </c>
    </row>
    <row r="307" spans="1:9" x14ac:dyDescent="0.3">
      <c r="A307">
        <v>306</v>
      </c>
      <c r="B307">
        <v>306</v>
      </c>
      <c r="C307" t="s">
        <v>1418</v>
      </c>
      <c r="D307" t="s">
        <v>10</v>
      </c>
      <c r="E307" t="s">
        <v>232</v>
      </c>
      <c r="F307" t="s">
        <v>1419</v>
      </c>
      <c r="G307" t="s">
        <v>977</v>
      </c>
      <c r="H307" t="s">
        <v>1420</v>
      </c>
      <c r="I307" t="s">
        <v>1421</v>
      </c>
    </row>
    <row r="308" spans="1:9" x14ac:dyDescent="0.3">
      <c r="A308">
        <v>307</v>
      </c>
      <c r="B308">
        <v>307</v>
      </c>
      <c r="C308" t="s">
        <v>1422</v>
      </c>
      <c r="D308" t="s">
        <v>10</v>
      </c>
      <c r="E308" t="s">
        <v>743</v>
      </c>
      <c r="F308" t="s">
        <v>1423</v>
      </c>
      <c r="G308" t="s">
        <v>865</v>
      </c>
      <c r="H308" t="s">
        <v>1424</v>
      </c>
      <c r="I308" t="s">
        <v>1425</v>
      </c>
    </row>
    <row r="309" spans="1:9" x14ac:dyDescent="0.3">
      <c r="A309">
        <v>308</v>
      </c>
      <c r="B309">
        <v>308</v>
      </c>
      <c r="C309" t="s">
        <v>1426</v>
      </c>
      <c r="D309" t="s">
        <v>35</v>
      </c>
      <c r="E309" t="s">
        <v>345</v>
      </c>
      <c r="F309" t="s">
        <v>1427</v>
      </c>
      <c r="G309" t="s">
        <v>804</v>
      </c>
      <c r="H309" t="s">
        <v>1428</v>
      </c>
      <c r="I309" t="s">
        <v>1429</v>
      </c>
    </row>
    <row r="310" spans="1:9" x14ac:dyDescent="0.3">
      <c r="A310">
        <v>309</v>
      </c>
      <c r="B310">
        <v>309</v>
      </c>
      <c r="C310" t="s">
        <v>1430</v>
      </c>
      <c r="D310" t="s">
        <v>51</v>
      </c>
      <c r="E310" t="s">
        <v>687</v>
      </c>
      <c r="F310" t="s">
        <v>1431</v>
      </c>
      <c r="G310" t="s">
        <v>1335</v>
      </c>
      <c r="H310" t="s">
        <v>1009</v>
      </c>
      <c r="I310" t="s">
        <v>1432</v>
      </c>
    </row>
    <row r="311" spans="1:9" x14ac:dyDescent="0.3">
      <c r="A311">
        <v>310</v>
      </c>
      <c r="B311">
        <v>310</v>
      </c>
      <c r="C311" t="s">
        <v>1433</v>
      </c>
      <c r="D311" t="s">
        <v>417</v>
      </c>
      <c r="E311" t="s">
        <v>29</v>
      </c>
      <c r="F311" t="s">
        <v>1434</v>
      </c>
      <c r="G311" t="s">
        <v>873</v>
      </c>
      <c r="H311" t="s">
        <v>1435</v>
      </c>
      <c r="I311" t="s">
        <v>1436</v>
      </c>
    </row>
    <row r="312" spans="1:9" x14ac:dyDescent="0.3">
      <c r="A312">
        <v>311</v>
      </c>
      <c r="B312">
        <v>311</v>
      </c>
      <c r="C312" t="s">
        <v>1437</v>
      </c>
      <c r="D312" t="s">
        <v>51</v>
      </c>
      <c r="E312" t="s">
        <v>52</v>
      </c>
      <c r="F312" t="s">
        <v>1438</v>
      </c>
      <c r="G312" t="s">
        <v>1254</v>
      </c>
      <c r="H312" t="s">
        <v>787</v>
      </c>
      <c r="I312" t="s">
        <v>1439</v>
      </c>
    </row>
    <row r="313" spans="1:9" x14ac:dyDescent="0.3">
      <c r="A313">
        <v>312</v>
      </c>
      <c r="B313">
        <v>312</v>
      </c>
      <c r="C313" t="s">
        <v>1440</v>
      </c>
      <c r="D313" t="s">
        <v>1441</v>
      </c>
      <c r="E313" t="s">
        <v>23</v>
      </c>
      <c r="F313" t="s">
        <v>1442</v>
      </c>
      <c r="G313" t="s">
        <v>1254</v>
      </c>
      <c r="H313" t="s">
        <v>1443</v>
      </c>
      <c r="I313" t="s">
        <v>1444</v>
      </c>
    </row>
    <row r="314" spans="1:9" x14ac:dyDescent="0.3">
      <c r="A314">
        <v>313</v>
      </c>
      <c r="B314">
        <v>313</v>
      </c>
      <c r="C314" t="s">
        <v>1445</v>
      </c>
      <c r="D314" t="s">
        <v>10</v>
      </c>
      <c r="E314" t="s">
        <v>64</v>
      </c>
      <c r="F314" t="s">
        <v>1446</v>
      </c>
      <c r="G314" t="s">
        <v>1447</v>
      </c>
      <c r="H314" t="s">
        <v>748</v>
      </c>
      <c r="I314" t="s">
        <v>379</v>
      </c>
    </row>
    <row r="315" spans="1:9" x14ac:dyDescent="0.3">
      <c r="A315">
        <v>314</v>
      </c>
      <c r="B315">
        <v>314</v>
      </c>
      <c r="C315" t="s">
        <v>1448</v>
      </c>
      <c r="D315" t="s">
        <v>51</v>
      </c>
      <c r="E315" t="s">
        <v>792</v>
      </c>
      <c r="F315" t="s">
        <v>1449</v>
      </c>
      <c r="G315" t="s">
        <v>1012</v>
      </c>
      <c r="H315" t="s">
        <v>1450</v>
      </c>
      <c r="I315" t="s">
        <v>1451</v>
      </c>
    </row>
    <row r="316" spans="1:9" x14ac:dyDescent="0.3">
      <c r="A316">
        <v>315</v>
      </c>
      <c r="B316">
        <v>315</v>
      </c>
      <c r="C316" t="s">
        <v>1452</v>
      </c>
      <c r="D316" t="s">
        <v>124</v>
      </c>
      <c r="E316" t="s">
        <v>11</v>
      </c>
      <c r="F316" t="s">
        <v>1453</v>
      </c>
      <c r="G316" t="s">
        <v>1286</v>
      </c>
      <c r="H316" t="s">
        <v>1454</v>
      </c>
      <c r="I316" t="s">
        <v>1455</v>
      </c>
    </row>
    <row r="317" spans="1:9" x14ac:dyDescent="0.3">
      <c r="A317">
        <v>316</v>
      </c>
      <c r="B317">
        <v>316</v>
      </c>
      <c r="C317" t="s">
        <v>1456</v>
      </c>
      <c r="D317" t="s">
        <v>124</v>
      </c>
      <c r="E317" t="s">
        <v>365</v>
      </c>
      <c r="F317" t="s">
        <v>1457</v>
      </c>
      <c r="G317" t="s">
        <v>804</v>
      </c>
      <c r="H317" t="s">
        <v>613</v>
      </c>
      <c r="I317" t="s">
        <v>924</v>
      </c>
    </row>
    <row r="318" spans="1:9" x14ac:dyDescent="0.3">
      <c r="A318">
        <v>317</v>
      </c>
      <c r="B318">
        <v>317</v>
      </c>
      <c r="C318" t="s">
        <v>1458</v>
      </c>
      <c r="D318" t="s">
        <v>104</v>
      </c>
      <c r="E318" t="s">
        <v>726</v>
      </c>
      <c r="F318" t="s">
        <v>1459</v>
      </c>
      <c r="G318" t="s">
        <v>645</v>
      </c>
      <c r="H318" t="s">
        <v>1460</v>
      </c>
      <c r="I318" t="s">
        <v>1461</v>
      </c>
    </row>
    <row r="319" spans="1:9" x14ac:dyDescent="0.3">
      <c r="A319">
        <v>318</v>
      </c>
      <c r="B319">
        <v>318</v>
      </c>
      <c r="C319" t="s">
        <v>1462</v>
      </c>
      <c r="D319" t="s">
        <v>1463</v>
      </c>
      <c r="E319" t="s">
        <v>151</v>
      </c>
      <c r="F319" t="s">
        <v>1464</v>
      </c>
      <c r="G319" t="s">
        <v>873</v>
      </c>
      <c r="H319" t="s">
        <v>1465</v>
      </c>
      <c r="I319" t="s">
        <v>1349</v>
      </c>
    </row>
    <row r="320" spans="1:9" x14ac:dyDescent="0.3">
      <c r="A320">
        <v>319</v>
      </c>
      <c r="B320">
        <v>319</v>
      </c>
      <c r="C320" t="s">
        <v>1466</v>
      </c>
      <c r="D320" t="s">
        <v>417</v>
      </c>
      <c r="E320" t="s">
        <v>58</v>
      </c>
      <c r="F320" t="s">
        <v>978</v>
      </c>
      <c r="G320" t="s">
        <v>1202</v>
      </c>
      <c r="H320" t="s">
        <v>1467</v>
      </c>
      <c r="I320" t="s">
        <v>1468</v>
      </c>
    </row>
    <row r="321" spans="1:9" x14ac:dyDescent="0.3">
      <c r="A321">
        <v>320</v>
      </c>
      <c r="B321">
        <v>320</v>
      </c>
      <c r="C321" t="s">
        <v>1469</v>
      </c>
      <c r="D321" t="s">
        <v>70</v>
      </c>
      <c r="E321" t="s">
        <v>151</v>
      </c>
      <c r="F321" t="s">
        <v>1470</v>
      </c>
      <c r="G321" t="s">
        <v>973</v>
      </c>
      <c r="H321" t="s">
        <v>1471</v>
      </c>
      <c r="I321" t="s">
        <v>1472</v>
      </c>
    </row>
    <row r="322" spans="1:9" x14ac:dyDescent="0.3">
      <c r="A322">
        <v>321</v>
      </c>
      <c r="B322">
        <v>321</v>
      </c>
      <c r="C322" t="s">
        <v>1473</v>
      </c>
      <c r="D322" t="s">
        <v>657</v>
      </c>
      <c r="E322" t="s">
        <v>11</v>
      </c>
      <c r="F322" t="s">
        <v>1113</v>
      </c>
      <c r="G322" t="s">
        <v>1474</v>
      </c>
      <c r="H322" t="s">
        <v>1475</v>
      </c>
      <c r="I322" t="s">
        <v>1476</v>
      </c>
    </row>
    <row r="323" spans="1:9" x14ac:dyDescent="0.3">
      <c r="A323">
        <v>322</v>
      </c>
      <c r="B323">
        <v>322</v>
      </c>
      <c r="C323" t="s">
        <v>1477</v>
      </c>
      <c r="D323" t="s">
        <v>417</v>
      </c>
      <c r="E323" t="s">
        <v>98</v>
      </c>
      <c r="F323" t="s">
        <v>1478</v>
      </c>
      <c r="G323" t="s">
        <v>1202</v>
      </c>
      <c r="H323" t="s">
        <v>1479</v>
      </c>
      <c r="I323" t="s">
        <v>1480</v>
      </c>
    </row>
    <row r="324" spans="1:9" x14ac:dyDescent="0.3">
      <c r="A324">
        <v>323</v>
      </c>
      <c r="B324">
        <v>323</v>
      </c>
      <c r="C324" t="s">
        <v>1481</v>
      </c>
      <c r="D324" t="s">
        <v>104</v>
      </c>
      <c r="E324" t="s">
        <v>687</v>
      </c>
      <c r="F324" t="s">
        <v>1482</v>
      </c>
      <c r="G324" t="s">
        <v>1340</v>
      </c>
      <c r="H324" t="s">
        <v>1483</v>
      </c>
      <c r="I324" t="s">
        <v>1484</v>
      </c>
    </row>
    <row r="325" spans="1:9" x14ac:dyDescent="0.3">
      <c r="A325">
        <v>324</v>
      </c>
      <c r="B325">
        <v>324</v>
      </c>
      <c r="C325" t="s">
        <v>1485</v>
      </c>
      <c r="D325" t="s">
        <v>696</v>
      </c>
      <c r="E325" t="s">
        <v>11</v>
      </c>
      <c r="F325" t="s">
        <v>1041</v>
      </c>
      <c r="G325" t="s">
        <v>1268</v>
      </c>
      <c r="H325" t="s">
        <v>1486</v>
      </c>
      <c r="I325" t="s">
        <v>1487</v>
      </c>
    </row>
    <row r="326" spans="1:9" x14ac:dyDescent="0.3">
      <c r="A326">
        <v>325</v>
      </c>
      <c r="B326">
        <v>325</v>
      </c>
      <c r="C326" t="s">
        <v>1488</v>
      </c>
      <c r="D326" t="s">
        <v>104</v>
      </c>
      <c r="E326" t="s">
        <v>510</v>
      </c>
      <c r="F326" t="s">
        <v>1489</v>
      </c>
      <c r="G326" t="s">
        <v>1094</v>
      </c>
      <c r="H326" t="s">
        <v>1490</v>
      </c>
      <c r="I326" t="s">
        <v>1491</v>
      </c>
    </row>
    <row r="327" spans="1:9" x14ac:dyDescent="0.3">
      <c r="A327">
        <v>326</v>
      </c>
      <c r="B327">
        <v>326</v>
      </c>
      <c r="C327" t="s">
        <v>1492</v>
      </c>
      <c r="D327" t="s">
        <v>737</v>
      </c>
      <c r="E327" t="s">
        <v>11</v>
      </c>
      <c r="F327" t="s">
        <v>1493</v>
      </c>
      <c r="G327" t="s">
        <v>1494</v>
      </c>
      <c r="H327" t="s">
        <v>1495</v>
      </c>
      <c r="I327" t="s">
        <v>1496</v>
      </c>
    </row>
    <row r="328" spans="1:9" x14ac:dyDescent="0.3">
      <c r="A328">
        <v>327</v>
      </c>
      <c r="B328">
        <v>327</v>
      </c>
      <c r="C328" t="s">
        <v>1497</v>
      </c>
      <c r="D328" t="s">
        <v>401</v>
      </c>
      <c r="E328" t="s">
        <v>23</v>
      </c>
      <c r="F328" t="s">
        <v>1248</v>
      </c>
      <c r="G328" t="s">
        <v>1202</v>
      </c>
      <c r="H328" t="s">
        <v>1498</v>
      </c>
      <c r="I328" t="s">
        <v>1499</v>
      </c>
    </row>
    <row r="329" spans="1:9" x14ac:dyDescent="0.3">
      <c r="A329">
        <v>328</v>
      </c>
      <c r="B329">
        <v>328</v>
      </c>
      <c r="C329" t="s">
        <v>1500</v>
      </c>
      <c r="D329" t="s">
        <v>10</v>
      </c>
      <c r="E329" t="s">
        <v>726</v>
      </c>
      <c r="F329" t="s">
        <v>1501</v>
      </c>
      <c r="G329" t="s">
        <v>891</v>
      </c>
      <c r="H329" t="s">
        <v>1502</v>
      </c>
      <c r="I329" t="s">
        <v>1503</v>
      </c>
    </row>
    <row r="330" spans="1:9" x14ac:dyDescent="0.3">
      <c r="A330">
        <v>329</v>
      </c>
      <c r="B330">
        <v>329</v>
      </c>
      <c r="C330" t="s">
        <v>1504</v>
      </c>
      <c r="D330" t="s">
        <v>51</v>
      </c>
      <c r="E330" t="s">
        <v>706</v>
      </c>
      <c r="F330" t="s">
        <v>1505</v>
      </c>
      <c r="G330" t="s">
        <v>1506</v>
      </c>
      <c r="H330" t="s">
        <v>1507</v>
      </c>
      <c r="I330" t="s">
        <v>1226</v>
      </c>
    </row>
    <row r="331" spans="1:9" x14ac:dyDescent="0.3">
      <c r="A331">
        <v>330</v>
      </c>
      <c r="B331">
        <v>330</v>
      </c>
      <c r="C331" t="s">
        <v>1508</v>
      </c>
      <c r="D331" t="s">
        <v>10</v>
      </c>
      <c r="E331" t="s">
        <v>23</v>
      </c>
      <c r="F331" t="s">
        <v>1509</v>
      </c>
      <c r="G331" t="s">
        <v>1510</v>
      </c>
      <c r="H331" t="s">
        <v>1511</v>
      </c>
      <c r="I331" t="s">
        <v>1512</v>
      </c>
    </row>
    <row r="332" spans="1:9" x14ac:dyDescent="0.3">
      <c r="A332">
        <v>331</v>
      </c>
      <c r="B332">
        <v>331</v>
      </c>
      <c r="C332" t="s">
        <v>1513</v>
      </c>
      <c r="D332" t="s">
        <v>35</v>
      </c>
      <c r="E332" t="s">
        <v>130</v>
      </c>
      <c r="F332" t="s">
        <v>1514</v>
      </c>
      <c r="G332" t="s">
        <v>1164</v>
      </c>
      <c r="H332" t="s">
        <v>1100</v>
      </c>
      <c r="I332" t="s">
        <v>1515</v>
      </c>
    </row>
    <row r="333" spans="1:9" x14ac:dyDescent="0.3">
      <c r="A333">
        <v>332</v>
      </c>
      <c r="B333">
        <v>332</v>
      </c>
      <c r="C333" t="s">
        <v>1516</v>
      </c>
      <c r="D333" t="s">
        <v>51</v>
      </c>
      <c r="E333" t="s">
        <v>706</v>
      </c>
      <c r="F333" t="s">
        <v>1517</v>
      </c>
      <c r="G333" t="s">
        <v>1098</v>
      </c>
      <c r="H333" t="s">
        <v>1518</v>
      </c>
      <c r="I333" t="s">
        <v>1356</v>
      </c>
    </row>
    <row r="334" spans="1:9" x14ac:dyDescent="0.3">
      <c r="A334">
        <v>333</v>
      </c>
      <c r="B334">
        <v>333</v>
      </c>
      <c r="C334" t="s">
        <v>1519</v>
      </c>
      <c r="D334" t="s">
        <v>10</v>
      </c>
      <c r="E334" t="s">
        <v>29</v>
      </c>
      <c r="F334" t="s">
        <v>1520</v>
      </c>
      <c r="G334" t="s">
        <v>1521</v>
      </c>
      <c r="H334" t="s">
        <v>922</v>
      </c>
      <c r="I334" t="s">
        <v>1522</v>
      </c>
    </row>
    <row r="335" spans="1:9" x14ac:dyDescent="0.3">
      <c r="A335">
        <v>334</v>
      </c>
      <c r="B335">
        <v>334</v>
      </c>
      <c r="C335" t="s">
        <v>1523</v>
      </c>
      <c r="D335" t="s">
        <v>10</v>
      </c>
      <c r="E335" t="s">
        <v>345</v>
      </c>
      <c r="F335" t="s">
        <v>1132</v>
      </c>
      <c r="G335" t="s">
        <v>1340</v>
      </c>
      <c r="H335" t="s">
        <v>1264</v>
      </c>
      <c r="I335" t="s">
        <v>1524</v>
      </c>
    </row>
    <row r="336" spans="1:9" x14ac:dyDescent="0.3">
      <c r="A336">
        <v>335</v>
      </c>
      <c r="B336">
        <v>335</v>
      </c>
      <c r="C336" t="s">
        <v>1525</v>
      </c>
      <c r="D336" t="s">
        <v>10</v>
      </c>
      <c r="E336" t="s">
        <v>11</v>
      </c>
      <c r="F336" t="s">
        <v>1526</v>
      </c>
      <c r="G336" t="s">
        <v>1350</v>
      </c>
      <c r="H336" t="s">
        <v>1527</v>
      </c>
      <c r="I336" t="s">
        <v>1528</v>
      </c>
    </row>
    <row r="337" spans="1:9" x14ac:dyDescent="0.3">
      <c r="A337">
        <v>336</v>
      </c>
      <c r="B337">
        <v>336</v>
      </c>
      <c r="C337" t="s">
        <v>1529</v>
      </c>
      <c r="D337" t="s">
        <v>436</v>
      </c>
      <c r="E337" t="s">
        <v>634</v>
      </c>
      <c r="F337" t="s">
        <v>1361</v>
      </c>
      <c r="G337" t="s">
        <v>794</v>
      </c>
      <c r="H337" t="s">
        <v>1530</v>
      </c>
      <c r="I337" t="s">
        <v>1531</v>
      </c>
    </row>
    <row r="338" spans="1:9" x14ac:dyDescent="0.3">
      <c r="A338">
        <v>337</v>
      </c>
      <c r="B338">
        <v>337</v>
      </c>
      <c r="C338" t="s">
        <v>1532</v>
      </c>
      <c r="D338" t="s">
        <v>10</v>
      </c>
      <c r="E338" t="s">
        <v>243</v>
      </c>
      <c r="F338" t="s">
        <v>1533</v>
      </c>
      <c r="G338" t="s">
        <v>717</v>
      </c>
      <c r="H338" t="s">
        <v>1534</v>
      </c>
      <c r="I338" t="s">
        <v>1535</v>
      </c>
    </row>
    <row r="339" spans="1:9" x14ac:dyDescent="0.3">
      <c r="A339">
        <v>338</v>
      </c>
      <c r="B339">
        <v>338</v>
      </c>
      <c r="C339" t="s">
        <v>1536</v>
      </c>
      <c r="D339" t="s">
        <v>10</v>
      </c>
      <c r="E339" t="s">
        <v>64</v>
      </c>
      <c r="F339" t="s">
        <v>1537</v>
      </c>
      <c r="G339" t="s">
        <v>1474</v>
      </c>
      <c r="H339" t="s">
        <v>1538</v>
      </c>
      <c r="I339" t="s">
        <v>1423</v>
      </c>
    </row>
    <row r="340" spans="1:9" x14ac:dyDescent="0.3">
      <c r="A340">
        <v>339</v>
      </c>
      <c r="B340">
        <v>339</v>
      </c>
      <c r="C340" t="s">
        <v>1539</v>
      </c>
      <c r="D340" t="s">
        <v>10</v>
      </c>
      <c r="E340" t="s">
        <v>29</v>
      </c>
      <c r="F340" t="s">
        <v>126</v>
      </c>
      <c r="G340" t="s">
        <v>1540</v>
      </c>
      <c r="H340" t="s">
        <v>1541</v>
      </c>
      <c r="I340" t="s">
        <v>1542</v>
      </c>
    </row>
    <row r="341" spans="1:9" x14ac:dyDescent="0.3">
      <c r="A341">
        <v>340</v>
      </c>
      <c r="B341">
        <v>340</v>
      </c>
      <c r="C341" t="s">
        <v>1543</v>
      </c>
      <c r="D341" t="s">
        <v>10</v>
      </c>
      <c r="E341" t="s">
        <v>141</v>
      </c>
      <c r="F341" t="s">
        <v>1544</v>
      </c>
      <c r="G341" t="s">
        <v>1399</v>
      </c>
      <c r="H341" t="s">
        <v>1545</v>
      </c>
      <c r="I341" t="s">
        <v>1546</v>
      </c>
    </row>
    <row r="342" spans="1:9" x14ac:dyDescent="0.3">
      <c r="A342">
        <v>341</v>
      </c>
      <c r="B342">
        <v>341</v>
      </c>
      <c r="C342" t="s">
        <v>1547</v>
      </c>
      <c r="D342" t="s">
        <v>35</v>
      </c>
      <c r="E342" t="s">
        <v>715</v>
      </c>
      <c r="F342" t="s">
        <v>1548</v>
      </c>
      <c r="G342" t="s">
        <v>1286</v>
      </c>
      <c r="H342" t="s">
        <v>1549</v>
      </c>
      <c r="I342" t="s">
        <v>1148</v>
      </c>
    </row>
    <row r="343" spans="1:9" x14ac:dyDescent="0.3">
      <c r="A343">
        <v>342</v>
      </c>
      <c r="B343">
        <v>342</v>
      </c>
      <c r="C343" t="s">
        <v>1550</v>
      </c>
      <c r="D343" t="s">
        <v>417</v>
      </c>
      <c r="E343" t="s">
        <v>29</v>
      </c>
      <c r="F343" t="s">
        <v>1551</v>
      </c>
      <c r="G343" t="s">
        <v>1552</v>
      </c>
      <c r="H343" t="s">
        <v>1553</v>
      </c>
      <c r="I343" t="s">
        <v>984</v>
      </c>
    </row>
    <row r="344" spans="1:9" x14ac:dyDescent="0.3">
      <c r="A344">
        <v>343</v>
      </c>
      <c r="B344">
        <v>343</v>
      </c>
      <c r="C344" t="s">
        <v>1554</v>
      </c>
      <c r="D344" t="s">
        <v>10</v>
      </c>
      <c r="E344" t="s">
        <v>64</v>
      </c>
      <c r="F344" t="s">
        <v>1555</v>
      </c>
      <c r="G344" t="s">
        <v>1556</v>
      </c>
      <c r="H344" t="s">
        <v>1557</v>
      </c>
      <c r="I344" t="s">
        <v>1558</v>
      </c>
    </row>
    <row r="345" spans="1:9" x14ac:dyDescent="0.3">
      <c r="A345">
        <v>344</v>
      </c>
      <c r="B345">
        <v>344</v>
      </c>
      <c r="C345" t="s">
        <v>1559</v>
      </c>
      <c r="D345" t="s">
        <v>35</v>
      </c>
      <c r="E345" t="s">
        <v>64</v>
      </c>
      <c r="F345" t="s">
        <v>1398</v>
      </c>
      <c r="G345" t="s">
        <v>397</v>
      </c>
      <c r="H345" t="s">
        <v>963</v>
      </c>
      <c r="I345" t="s">
        <v>1560</v>
      </c>
    </row>
    <row r="346" spans="1:9" x14ac:dyDescent="0.3">
      <c r="A346">
        <v>345</v>
      </c>
      <c r="B346">
        <v>345</v>
      </c>
      <c r="C346" t="s">
        <v>1561</v>
      </c>
      <c r="D346" t="s">
        <v>51</v>
      </c>
      <c r="E346" t="s">
        <v>29</v>
      </c>
      <c r="F346" t="s">
        <v>1562</v>
      </c>
      <c r="G346" t="s">
        <v>1563</v>
      </c>
      <c r="H346" t="s">
        <v>1564</v>
      </c>
      <c r="I346" t="s">
        <v>1565</v>
      </c>
    </row>
    <row r="347" spans="1:9" x14ac:dyDescent="0.3">
      <c r="A347">
        <v>346</v>
      </c>
      <c r="B347">
        <v>346</v>
      </c>
      <c r="C347" t="s">
        <v>1566</v>
      </c>
      <c r="D347" t="s">
        <v>10</v>
      </c>
      <c r="E347" t="s">
        <v>232</v>
      </c>
      <c r="F347" t="s">
        <v>1567</v>
      </c>
      <c r="G347" t="s">
        <v>1568</v>
      </c>
      <c r="H347" t="s">
        <v>1569</v>
      </c>
      <c r="I347" t="s">
        <v>1570</v>
      </c>
    </row>
    <row r="348" spans="1:9" x14ac:dyDescent="0.3">
      <c r="A348">
        <v>347</v>
      </c>
      <c r="B348">
        <v>347</v>
      </c>
      <c r="C348" t="s">
        <v>1571</v>
      </c>
      <c r="D348" t="s">
        <v>10</v>
      </c>
      <c r="E348" t="s">
        <v>634</v>
      </c>
      <c r="F348">
        <v>25</v>
      </c>
      <c r="G348" t="s">
        <v>1572</v>
      </c>
      <c r="H348" t="s">
        <v>1573</v>
      </c>
      <c r="I348" t="s">
        <v>1574</v>
      </c>
    </row>
    <row r="349" spans="1:9" x14ac:dyDescent="0.3">
      <c r="A349">
        <v>348</v>
      </c>
      <c r="B349">
        <v>348</v>
      </c>
      <c r="C349" t="s">
        <v>1575</v>
      </c>
      <c r="D349" t="s">
        <v>35</v>
      </c>
      <c r="E349" t="s">
        <v>58</v>
      </c>
      <c r="F349" t="s">
        <v>1576</v>
      </c>
      <c r="G349" t="s">
        <v>1577</v>
      </c>
      <c r="H349" t="s">
        <v>1578</v>
      </c>
      <c r="I349" t="s">
        <v>1579</v>
      </c>
    </row>
    <row r="350" spans="1:9" x14ac:dyDescent="0.3">
      <c r="A350">
        <v>349</v>
      </c>
      <c r="B350">
        <v>349</v>
      </c>
      <c r="C350" t="s">
        <v>1580</v>
      </c>
      <c r="D350" t="s">
        <v>10</v>
      </c>
      <c r="E350" t="s">
        <v>98</v>
      </c>
      <c r="F350" t="s">
        <v>1041</v>
      </c>
      <c r="G350" t="s">
        <v>645</v>
      </c>
      <c r="H350" t="s">
        <v>920</v>
      </c>
      <c r="I350" t="s">
        <v>1581</v>
      </c>
    </row>
    <row r="351" spans="1:9" x14ac:dyDescent="0.3">
      <c r="A351">
        <v>350</v>
      </c>
      <c r="B351">
        <v>350</v>
      </c>
      <c r="C351" t="s">
        <v>1582</v>
      </c>
      <c r="D351" t="s">
        <v>124</v>
      </c>
      <c r="E351" t="s">
        <v>23</v>
      </c>
      <c r="F351" t="s">
        <v>1583</v>
      </c>
      <c r="G351" t="s">
        <v>1584</v>
      </c>
      <c r="H351" t="s">
        <v>1585</v>
      </c>
      <c r="I351" t="s">
        <v>1586</v>
      </c>
    </row>
    <row r="352" spans="1:9" x14ac:dyDescent="0.3">
      <c r="A352">
        <v>351</v>
      </c>
      <c r="B352">
        <v>351</v>
      </c>
      <c r="C352" t="s">
        <v>1587</v>
      </c>
      <c r="D352" t="s">
        <v>1079</v>
      </c>
      <c r="E352" t="s">
        <v>726</v>
      </c>
      <c r="F352" t="s">
        <v>1588</v>
      </c>
      <c r="G352" t="s">
        <v>1123</v>
      </c>
      <c r="H352" t="s">
        <v>1589</v>
      </c>
      <c r="I352" t="s">
        <v>1590</v>
      </c>
    </row>
    <row r="353" spans="1:9" x14ac:dyDescent="0.3">
      <c r="A353">
        <v>352</v>
      </c>
      <c r="B353">
        <v>352</v>
      </c>
      <c r="C353" t="s">
        <v>1591</v>
      </c>
      <c r="D353" t="s">
        <v>35</v>
      </c>
      <c r="E353" t="s">
        <v>64</v>
      </c>
      <c r="F353" t="s">
        <v>1592</v>
      </c>
      <c r="G353" t="s">
        <v>1098</v>
      </c>
      <c r="H353" t="s">
        <v>1593</v>
      </c>
      <c r="I353" t="s">
        <v>1594</v>
      </c>
    </row>
    <row r="354" spans="1:9" x14ac:dyDescent="0.3">
      <c r="A354">
        <v>353</v>
      </c>
      <c r="B354">
        <v>353</v>
      </c>
      <c r="C354" t="s">
        <v>1595</v>
      </c>
      <c r="D354" t="s">
        <v>10</v>
      </c>
      <c r="E354" t="s">
        <v>130</v>
      </c>
      <c r="F354" t="s">
        <v>1596</v>
      </c>
      <c r="G354" t="s">
        <v>873</v>
      </c>
      <c r="H354" t="s">
        <v>1018</v>
      </c>
      <c r="I354" t="s">
        <v>1597</v>
      </c>
    </row>
    <row r="355" spans="1:9" x14ac:dyDescent="0.3">
      <c r="A355">
        <v>354</v>
      </c>
      <c r="B355">
        <v>354</v>
      </c>
      <c r="C355" t="s">
        <v>1598</v>
      </c>
      <c r="D355" t="s">
        <v>35</v>
      </c>
      <c r="E355" t="s">
        <v>151</v>
      </c>
      <c r="F355" t="s">
        <v>605</v>
      </c>
      <c r="G355" t="s">
        <v>1599</v>
      </c>
      <c r="H355" t="s">
        <v>1600</v>
      </c>
      <c r="I355" t="s">
        <v>1601</v>
      </c>
    </row>
    <row r="356" spans="1:9" x14ac:dyDescent="0.3">
      <c r="A356">
        <v>355</v>
      </c>
      <c r="B356">
        <v>355</v>
      </c>
      <c r="C356" t="s">
        <v>1602</v>
      </c>
      <c r="D356" t="s">
        <v>10</v>
      </c>
      <c r="E356" t="s">
        <v>743</v>
      </c>
      <c r="F356" t="s">
        <v>1603</v>
      </c>
      <c r="G356" t="s">
        <v>1268</v>
      </c>
      <c r="H356" t="s">
        <v>1604</v>
      </c>
      <c r="I356" t="s">
        <v>762</v>
      </c>
    </row>
    <row r="357" spans="1:9" x14ac:dyDescent="0.3">
      <c r="A357">
        <v>356</v>
      </c>
      <c r="B357">
        <v>356</v>
      </c>
      <c r="C357" t="s">
        <v>1605</v>
      </c>
      <c r="D357" t="s">
        <v>10</v>
      </c>
      <c r="E357" t="s">
        <v>243</v>
      </c>
      <c r="F357" t="s">
        <v>1606</v>
      </c>
      <c r="G357" t="s">
        <v>1607</v>
      </c>
      <c r="H357" t="s">
        <v>1608</v>
      </c>
      <c r="I357" t="s">
        <v>1609</v>
      </c>
    </row>
    <row r="358" spans="1:9" x14ac:dyDescent="0.3">
      <c r="A358">
        <v>357</v>
      </c>
      <c r="B358">
        <v>357</v>
      </c>
      <c r="C358" t="s">
        <v>1610</v>
      </c>
      <c r="D358" t="s">
        <v>10</v>
      </c>
      <c r="E358" t="s">
        <v>232</v>
      </c>
      <c r="F358" t="s">
        <v>1611</v>
      </c>
      <c r="G358" t="s">
        <v>804</v>
      </c>
      <c r="H358" t="s">
        <v>1612</v>
      </c>
      <c r="I358" t="s">
        <v>787</v>
      </c>
    </row>
    <row r="359" spans="1:9" x14ac:dyDescent="0.3">
      <c r="A359">
        <v>358</v>
      </c>
      <c r="B359">
        <v>358</v>
      </c>
      <c r="C359" t="s">
        <v>1613</v>
      </c>
      <c r="D359" t="s">
        <v>608</v>
      </c>
      <c r="E359" t="s">
        <v>151</v>
      </c>
      <c r="F359" t="s">
        <v>1614</v>
      </c>
      <c r="G359" t="s">
        <v>799</v>
      </c>
      <c r="H359" t="s">
        <v>1615</v>
      </c>
      <c r="I359" t="s">
        <v>1100</v>
      </c>
    </row>
    <row r="360" spans="1:9" x14ac:dyDescent="0.3">
      <c r="A360">
        <v>359</v>
      </c>
      <c r="B360">
        <v>359</v>
      </c>
      <c r="C360" t="s">
        <v>1616</v>
      </c>
      <c r="D360" t="s">
        <v>1617</v>
      </c>
      <c r="E360" t="s">
        <v>11</v>
      </c>
      <c r="F360" t="s">
        <v>1618</v>
      </c>
      <c r="G360" t="s">
        <v>1521</v>
      </c>
      <c r="H360" t="s">
        <v>1619</v>
      </c>
      <c r="I360" t="s">
        <v>1620</v>
      </c>
    </row>
    <row r="361" spans="1:9" x14ac:dyDescent="0.3">
      <c r="A361">
        <v>360</v>
      </c>
      <c r="B361">
        <v>360</v>
      </c>
      <c r="C361" t="s">
        <v>1621</v>
      </c>
      <c r="D361" t="s">
        <v>1441</v>
      </c>
      <c r="E361" t="s">
        <v>151</v>
      </c>
      <c r="F361" t="s">
        <v>1622</v>
      </c>
      <c r="G361" t="s">
        <v>1540</v>
      </c>
      <c r="H361" t="s">
        <v>1195</v>
      </c>
      <c r="I361" t="s">
        <v>1623</v>
      </c>
    </row>
    <row r="362" spans="1:9" x14ac:dyDescent="0.3">
      <c r="A362">
        <v>361</v>
      </c>
      <c r="B362">
        <v>361</v>
      </c>
      <c r="C362" t="s">
        <v>1624</v>
      </c>
      <c r="D362" t="s">
        <v>696</v>
      </c>
      <c r="E362" t="s">
        <v>634</v>
      </c>
      <c r="F362" t="s">
        <v>1625</v>
      </c>
      <c r="G362" t="s">
        <v>1568</v>
      </c>
      <c r="H362" t="s">
        <v>837</v>
      </c>
      <c r="I362" t="s">
        <v>1626</v>
      </c>
    </row>
    <row r="363" spans="1:9" x14ac:dyDescent="0.3">
      <c r="A363">
        <v>362</v>
      </c>
      <c r="B363">
        <v>362</v>
      </c>
      <c r="C363" t="s">
        <v>1627</v>
      </c>
      <c r="D363" t="s">
        <v>104</v>
      </c>
      <c r="E363" t="s">
        <v>52</v>
      </c>
      <c r="F363" t="s">
        <v>1628</v>
      </c>
      <c r="G363" t="s">
        <v>1399</v>
      </c>
      <c r="H363" t="s">
        <v>1629</v>
      </c>
      <c r="I363" t="s">
        <v>1630</v>
      </c>
    </row>
    <row r="364" spans="1:9" x14ac:dyDescent="0.3">
      <c r="A364">
        <v>363</v>
      </c>
      <c r="B364">
        <v>363</v>
      </c>
      <c r="C364" t="s">
        <v>1631</v>
      </c>
      <c r="D364" t="s">
        <v>1632</v>
      </c>
      <c r="E364" t="s">
        <v>11</v>
      </c>
      <c r="F364" t="s">
        <v>1565</v>
      </c>
      <c r="G364" t="s">
        <v>1563</v>
      </c>
      <c r="H364" t="s">
        <v>1633</v>
      </c>
      <c r="I364" t="s">
        <v>1634</v>
      </c>
    </row>
    <row r="365" spans="1:9" x14ac:dyDescent="0.3">
      <c r="A365">
        <v>364</v>
      </c>
      <c r="B365">
        <v>364</v>
      </c>
      <c r="C365" t="s">
        <v>1635</v>
      </c>
      <c r="D365" t="s">
        <v>124</v>
      </c>
      <c r="E365" t="s">
        <v>151</v>
      </c>
      <c r="F365" t="s">
        <v>1636</v>
      </c>
      <c r="G365" t="s">
        <v>1637</v>
      </c>
      <c r="H365" t="s">
        <v>1638</v>
      </c>
      <c r="I365" t="s">
        <v>1639</v>
      </c>
    </row>
    <row r="366" spans="1:9" x14ac:dyDescent="0.3">
      <c r="A366">
        <v>365</v>
      </c>
      <c r="B366">
        <v>365</v>
      </c>
      <c r="C366" t="s">
        <v>1640</v>
      </c>
      <c r="D366" t="s">
        <v>1463</v>
      </c>
      <c r="E366" t="s">
        <v>11</v>
      </c>
      <c r="F366" t="s">
        <v>1641</v>
      </c>
      <c r="G366" t="s">
        <v>1510</v>
      </c>
      <c r="H366" t="s">
        <v>1642</v>
      </c>
      <c r="I366" t="s">
        <v>1643</v>
      </c>
    </row>
    <row r="367" spans="1:9" x14ac:dyDescent="0.3">
      <c r="A367">
        <v>366</v>
      </c>
      <c r="B367">
        <v>366</v>
      </c>
      <c r="C367" t="s">
        <v>1644</v>
      </c>
      <c r="D367" t="s">
        <v>124</v>
      </c>
      <c r="E367" t="s">
        <v>174</v>
      </c>
      <c r="F367" t="s">
        <v>106</v>
      </c>
      <c r="G367" t="s">
        <v>523</v>
      </c>
      <c r="H367" t="s">
        <v>1645</v>
      </c>
      <c r="I367" t="s">
        <v>1646</v>
      </c>
    </row>
    <row r="368" spans="1:9" x14ac:dyDescent="0.3">
      <c r="A368">
        <v>367</v>
      </c>
      <c r="B368">
        <v>367</v>
      </c>
      <c r="C368" t="s">
        <v>1647</v>
      </c>
      <c r="D368" t="s">
        <v>35</v>
      </c>
      <c r="E368" t="s">
        <v>64</v>
      </c>
      <c r="F368" t="s">
        <v>1648</v>
      </c>
      <c r="G368" t="s">
        <v>1399</v>
      </c>
      <c r="H368" t="s">
        <v>1649</v>
      </c>
      <c r="I368" t="s">
        <v>1650</v>
      </c>
    </row>
    <row r="369" spans="1:9" x14ac:dyDescent="0.3">
      <c r="A369">
        <v>368</v>
      </c>
      <c r="B369">
        <v>368</v>
      </c>
      <c r="C369" t="s">
        <v>1651</v>
      </c>
      <c r="D369" t="s">
        <v>70</v>
      </c>
      <c r="E369" t="s">
        <v>726</v>
      </c>
      <c r="F369" t="s">
        <v>1551</v>
      </c>
      <c r="G369" t="s">
        <v>1330</v>
      </c>
      <c r="H369" t="s">
        <v>1652</v>
      </c>
      <c r="I369" t="s">
        <v>37</v>
      </c>
    </row>
    <row r="370" spans="1:9" x14ac:dyDescent="0.3">
      <c r="A370">
        <v>369</v>
      </c>
      <c r="B370">
        <v>369</v>
      </c>
      <c r="C370" t="s">
        <v>1653</v>
      </c>
      <c r="D370" t="s">
        <v>51</v>
      </c>
      <c r="E370" t="s">
        <v>345</v>
      </c>
      <c r="F370" t="s">
        <v>1654</v>
      </c>
      <c r="G370" t="s">
        <v>645</v>
      </c>
      <c r="H370" t="s">
        <v>1655</v>
      </c>
      <c r="I370" t="s">
        <v>1656</v>
      </c>
    </row>
    <row r="371" spans="1:9" x14ac:dyDescent="0.3">
      <c r="A371">
        <v>370</v>
      </c>
      <c r="B371">
        <v>370</v>
      </c>
      <c r="C371" t="s">
        <v>1657</v>
      </c>
      <c r="D371" t="s">
        <v>401</v>
      </c>
      <c r="E371" t="s">
        <v>17</v>
      </c>
      <c r="F371" t="s">
        <v>818</v>
      </c>
      <c r="G371" t="s">
        <v>1137</v>
      </c>
      <c r="H371" t="s">
        <v>1658</v>
      </c>
      <c r="I371" t="s">
        <v>1659</v>
      </c>
    </row>
    <row r="372" spans="1:9" x14ac:dyDescent="0.3">
      <c r="A372">
        <v>371</v>
      </c>
      <c r="B372">
        <v>371</v>
      </c>
      <c r="C372" t="s">
        <v>1660</v>
      </c>
      <c r="D372" t="s">
        <v>10</v>
      </c>
      <c r="E372" t="s">
        <v>743</v>
      </c>
      <c r="F372" t="s">
        <v>1661</v>
      </c>
      <c r="G372" t="s">
        <v>794</v>
      </c>
      <c r="H372" t="s">
        <v>1662</v>
      </c>
      <c r="I372" t="s">
        <v>1663</v>
      </c>
    </row>
    <row r="373" spans="1:9" x14ac:dyDescent="0.3">
      <c r="A373">
        <v>372</v>
      </c>
      <c r="B373">
        <v>372</v>
      </c>
      <c r="C373" t="s">
        <v>1664</v>
      </c>
      <c r="D373" t="s">
        <v>70</v>
      </c>
      <c r="E373" t="s">
        <v>58</v>
      </c>
      <c r="F373" t="s">
        <v>1665</v>
      </c>
      <c r="G373" t="s">
        <v>1666</v>
      </c>
      <c r="H373" t="s">
        <v>1667</v>
      </c>
      <c r="I373" t="s">
        <v>1668</v>
      </c>
    </row>
    <row r="374" spans="1:9" x14ac:dyDescent="0.3">
      <c r="A374">
        <v>373</v>
      </c>
      <c r="B374">
        <v>373</v>
      </c>
      <c r="C374" t="s">
        <v>1669</v>
      </c>
      <c r="D374" t="s">
        <v>10</v>
      </c>
      <c r="E374" t="s">
        <v>345</v>
      </c>
      <c r="F374" t="s">
        <v>1670</v>
      </c>
      <c r="G374" t="s">
        <v>1671</v>
      </c>
      <c r="H374" t="s">
        <v>1581</v>
      </c>
      <c r="I374" t="s">
        <v>1672</v>
      </c>
    </row>
    <row r="375" spans="1:9" x14ac:dyDescent="0.3">
      <c r="A375">
        <v>374</v>
      </c>
      <c r="B375">
        <v>374</v>
      </c>
      <c r="C375" t="s">
        <v>1673</v>
      </c>
      <c r="D375" t="s">
        <v>104</v>
      </c>
      <c r="E375" t="s">
        <v>151</v>
      </c>
      <c r="F375" t="s">
        <v>1674</v>
      </c>
      <c r="G375" t="s">
        <v>1675</v>
      </c>
      <c r="H375" t="s">
        <v>1676</v>
      </c>
      <c r="I375" t="s">
        <v>1677</v>
      </c>
    </row>
    <row r="376" spans="1:9" x14ac:dyDescent="0.3">
      <c r="A376">
        <v>375</v>
      </c>
      <c r="B376">
        <v>375</v>
      </c>
      <c r="C376" t="s">
        <v>1678</v>
      </c>
      <c r="D376" t="s">
        <v>1679</v>
      </c>
      <c r="E376" t="s">
        <v>726</v>
      </c>
      <c r="F376" t="s">
        <v>1680</v>
      </c>
      <c r="G376" t="s">
        <v>1364</v>
      </c>
      <c r="H376" t="s">
        <v>1165</v>
      </c>
      <c r="I376" t="s">
        <v>1681</v>
      </c>
    </row>
    <row r="377" spans="1:9" x14ac:dyDescent="0.3">
      <c r="A377">
        <v>376</v>
      </c>
      <c r="B377">
        <v>376</v>
      </c>
      <c r="C377" t="s">
        <v>1682</v>
      </c>
      <c r="D377" t="s">
        <v>10</v>
      </c>
      <c r="E377" t="s">
        <v>64</v>
      </c>
      <c r="F377" t="s">
        <v>1683</v>
      </c>
      <c r="G377" t="s">
        <v>1268</v>
      </c>
      <c r="H377" t="s">
        <v>1684</v>
      </c>
      <c r="I377" t="s">
        <v>1369</v>
      </c>
    </row>
    <row r="378" spans="1:9" x14ac:dyDescent="0.3">
      <c r="A378">
        <v>377</v>
      </c>
      <c r="B378">
        <v>377</v>
      </c>
      <c r="C378" t="s">
        <v>1685</v>
      </c>
      <c r="D378" t="s">
        <v>1617</v>
      </c>
      <c r="E378" t="s">
        <v>11</v>
      </c>
      <c r="F378" t="s">
        <v>1686</v>
      </c>
      <c r="G378" t="s">
        <v>1249</v>
      </c>
      <c r="H378" t="s">
        <v>1687</v>
      </c>
      <c r="I378" t="s">
        <v>1688</v>
      </c>
    </row>
    <row r="379" spans="1:9" x14ac:dyDescent="0.3">
      <c r="A379">
        <v>378</v>
      </c>
      <c r="B379">
        <v>378</v>
      </c>
      <c r="C379" t="s">
        <v>1689</v>
      </c>
      <c r="D379" t="s">
        <v>401</v>
      </c>
      <c r="E379" t="s">
        <v>174</v>
      </c>
      <c r="F379" t="s">
        <v>1690</v>
      </c>
      <c r="G379" t="s">
        <v>1447</v>
      </c>
      <c r="H379" t="s">
        <v>1522</v>
      </c>
      <c r="I379" t="s">
        <v>1691</v>
      </c>
    </row>
    <row r="380" spans="1:9" x14ac:dyDescent="0.3">
      <c r="A380">
        <v>379</v>
      </c>
      <c r="B380">
        <v>379</v>
      </c>
      <c r="C380" t="s">
        <v>1692</v>
      </c>
      <c r="D380" t="s">
        <v>216</v>
      </c>
      <c r="E380" t="s">
        <v>11</v>
      </c>
      <c r="F380" t="s">
        <v>1693</v>
      </c>
      <c r="G380" t="s">
        <v>1694</v>
      </c>
      <c r="H380" t="s">
        <v>1695</v>
      </c>
      <c r="I380" t="s">
        <v>1070</v>
      </c>
    </row>
    <row r="381" spans="1:9" x14ac:dyDescent="0.3">
      <c r="A381">
        <v>380</v>
      </c>
      <c r="B381">
        <v>380</v>
      </c>
      <c r="C381" t="s">
        <v>1696</v>
      </c>
      <c r="D381" t="s">
        <v>417</v>
      </c>
      <c r="E381" t="s">
        <v>464</v>
      </c>
      <c r="F381" t="s">
        <v>1697</v>
      </c>
      <c r="G381" t="s">
        <v>933</v>
      </c>
      <c r="H381" t="s">
        <v>1698</v>
      </c>
      <c r="I381" t="s">
        <v>946</v>
      </c>
    </row>
    <row r="382" spans="1:9" x14ac:dyDescent="0.3">
      <c r="A382">
        <v>381</v>
      </c>
      <c r="B382">
        <v>381</v>
      </c>
      <c r="C382" t="s">
        <v>1699</v>
      </c>
      <c r="D382" t="s">
        <v>458</v>
      </c>
      <c r="E382" t="s">
        <v>11</v>
      </c>
      <c r="F382" t="s">
        <v>1700</v>
      </c>
      <c r="G382" t="s">
        <v>1217</v>
      </c>
      <c r="H382" t="s">
        <v>1701</v>
      </c>
      <c r="I382" t="s">
        <v>252</v>
      </c>
    </row>
    <row r="383" spans="1:9" x14ac:dyDescent="0.3">
      <c r="A383">
        <v>382</v>
      </c>
      <c r="B383">
        <v>382</v>
      </c>
      <c r="C383" t="s">
        <v>1702</v>
      </c>
      <c r="D383" t="s">
        <v>205</v>
      </c>
      <c r="E383" t="s">
        <v>23</v>
      </c>
      <c r="F383" t="s">
        <v>1703</v>
      </c>
      <c r="G383" t="s">
        <v>1704</v>
      </c>
      <c r="H383" t="s">
        <v>1705</v>
      </c>
      <c r="I383" t="s">
        <v>1706</v>
      </c>
    </row>
    <row r="384" spans="1:9" x14ac:dyDescent="0.3">
      <c r="A384">
        <v>383</v>
      </c>
      <c r="B384">
        <v>383</v>
      </c>
      <c r="C384" t="s">
        <v>1707</v>
      </c>
      <c r="D384" t="s">
        <v>737</v>
      </c>
      <c r="E384" t="s">
        <v>151</v>
      </c>
      <c r="F384" t="s">
        <v>158</v>
      </c>
      <c r="G384" t="s">
        <v>1447</v>
      </c>
      <c r="H384" t="s">
        <v>1708</v>
      </c>
      <c r="I384" t="s">
        <v>1709</v>
      </c>
    </row>
    <row r="385" spans="1:9" x14ac:dyDescent="0.3">
      <c r="A385">
        <v>384</v>
      </c>
      <c r="B385">
        <v>384</v>
      </c>
      <c r="C385" t="s">
        <v>1710</v>
      </c>
      <c r="D385" t="s">
        <v>51</v>
      </c>
      <c r="E385" t="s">
        <v>634</v>
      </c>
      <c r="F385" t="s">
        <v>1711</v>
      </c>
      <c r="G385" t="s">
        <v>1572</v>
      </c>
      <c r="H385" t="s">
        <v>1712</v>
      </c>
      <c r="I385" t="s">
        <v>1713</v>
      </c>
    </row>
    <row r="386" spans="1:9" x14ac:dyDescent="0.3">
      <c r="A386">
        <v>385</v>
      </c>
      <c r="B386">
        <v>385</v>
      </c>
      <c r="C386" t="s">
        <v>1714</v>
      </c>
      <c r="D386" t="s">
        <v>104</v>
      </c>
      <c r="E386" t="s">
        <v>243</v>
      </c>
      <c r="F386" t="s">
        <v>1715</v>
      </c>
      <c r="G386" t="s">
        <v>1716</v>
      </c>
      <c r="H386" t="s">
        <v>1717</v>
      </c>
      <c r="I386" t="s">
        <v>1718</v>
      </c>
    </row>
    <row r="387" spans="1:9" x14ac:dyDescent="0.3">
      <c r="A387">
        <v>386</v>
      </c>
      <c r="B387">
        <v>386</v>
      </c>
      <c r="C387" t="s">
        <v>1719</v>
      </c>
      <c r="D387" t="s">
        <v>124</v>
      </c>
      <c r="E387" t="s">
        <v>243</v>
      </c>
      <c r="F387" t="s">
        <v>1720</v>
      </c>
      <c r="G387" t="s">
        <v>1694</v>
      </c>
      <c r="H387" t="s">
        <v>1721</v>
      </c>
      <c r="I387" t="s">
        <v>1722</v>
      </c>
    </row>
    <row r="388" spans="1:9" x14ac:dyDescent="0.3">
      <c r="A388">
        <v>387</v>
      </c>
      <c r="B388">
        <v>387</v>
      </c>
      <c r="C388" t="s">
        <v>1723</v>
      </c>
      <c r="D388" t="s">
        <v>10</v>
      </c>
      <c r="E388" t="s">
        <v>23</v>
      </c>
      <c r="F388" t="s">
        <v>1724</v>
      </c>
      <c r="G388" t="s">
        <v>1254</v>
      </c>
      <c r="H388" t="s">
        <v>1725</v>
      </c>
      <c r="I388" t="s">
        <v>1726</v>
      </c>
    </row>
    <row r="389" spans="1:9" x14ac:dyDescent="0.3">
      <c r="A389">
        <v>388</v>
      </c>
      <c r="B389">
        <v>388</v>
      </c>
      <c r="C389" t="s">
        <v>1727</v>
      </c>
      <c r="D389" t="s">
        <v>51</v>
      </c>
      <c r="E389" t="s">
        <v>706</v>
      </c>
      <c r="F389" t="s">
        <v>66</v>
      </c>
      <c r="G389" t="s">
        <v>1330</v>
      </c>
      <c r="H389" t="s">
        <v>1728</v>
      </c>
      <c r="I389" t="s">
        <v>1226</v>
      </c>
    </row>
    <row r="390" spans="1:9" x14ac:dyDescent="0.3">
      <c r="A390">
        <v>389</v>
      </c>
      <c r="B390">
        <v>389</v>
      </c>
      <c r="C390" t="s">
        <v>1729</v>
      </c>
      <c r="D390" t="s">
        <v>51</v>
      </c>
      <c r="E390" t="s">
        <v>510</v>
      </c>
      <c r="F390" t="s">
        <v>1730</v>
      </c>
      <c r="G390" t="s">
        <v>915</v>
      </c>
      <c r="H390" t="s">
        <v>1145</v>
      </c>
      <c r="I390" t="s">
        <v>1731</v>
      </c>
    </row>
    <row r="391" spans="1:9" x14ac:dyDescent="0.3">
      <c r="A391">
        <v>390</v>
      </c>
      <c r="B391">
        <v>390</v>
      </c>
      <c r="C391" t="s">
        <v>1732</v>
      </c>
      <c r="D391" t="s">
        <v>249</v>
      </c>
      <c r="E391" t="s">
        <v>11</v>
      </c>
      <c r="F391" t="s">
        <v>1733</v>
      </c>
      <c r="G391" t="s">
        <v>645</v>
      </c>
      <c r="H391" t="s">
        <v>1734</v>
      </c>
      <c r="I391" t="s">
        <v>1735</v>
      </c>
    </row>
    <row r="392" spans="1:9" x14ac:dyDescent="0.3">
      <c r="A392">
        <v>391</v>
      </c>
      <c r="B392">
        <v>391</v>
      </c>
      <c r="C392" t="s">
        <v>1736</v>
      </c>
      <c r="D392" t="s">
        <v>51</v>
      </c>
      <c r="E392" t="s">
        <v>58</v>
      </c>
      <c r="F392" t="s">
        <v>1476</v>
      </c>
      <c r="G392" t="s">
        <v>1737</v>
      </c>
      <c r="H392" t="s">
        <v>1738</v>
      </c>
      <c r="I392" t="s">
        <v>1138</v>
      </c>
    </row>
    <row r="393" spans="1:9" x14ac:dyDescent="0.3">
      <c r="A393">
        <v>392</v>
      </c>
      <c r="B393">
        <v>392</v>
      </c>
      <c r="C393" t="s">
        <v>1739</v>
      </c>
      <c r="D393" t="s">
        <v>10</v>
      </c>
      <c r="E393" t="s">
        <v>634</v>
      </c>
      <c r="F393" t="s">
        <v>1740</v>
      </c>
      <c r="G393" t="s">
        <v>1741</v>
      </c>
      <c r="H393" t="s">
        <v>1742</v>
      </c>
      <c r="I393" t="s">
        <v>1743</v>
      </c>
    </row>
    <row r="394" spans="1:9" x14ac:dyDescent="0.3">
      <c r="A394">
        <v>393</v>
      </c>
      <c r="B394">
        <v>393</v>
      </c>
      <c r="C394" t="s">
        <v>1744</v>
      </c>
      <c r="D394" t="s">
        <v>10</v>
      </c>
      <c r="E394" t="s">
        <v>726</v>
      </c>
      <c r="F394" t="s">
        <v>1745</v>
      </c>
      <c r="G394" t="s">
        <v>1094</v>
      </c>
      <c r="H394" t="s">
        <v>1746</v>
      </c>
      <c r="I394" t="s">
        <v>1747</v>
      </c>
    </row>
    <row r="395" spans="1:9" x14ac:dyDescent="0.3">
      <c r="A395">
        <v>394</v>
      </c>
      <c r="B395">
        <v>394</v>
      </c>
      <c r="C395" t="s">
        <v>1748</v>
      </c>
      <c r="D395" t="s">
        <v>104</v>
      </c>
      <c r="E395" t="s">
        <v>634</v>
      </c>
      <c r="F395" t="s">
        <v>1749</v>
      </c>
      <c r="G395" t="s">
        <v>1577</v>
      </c>
      <c r="H395" t="s">
        <v>1750</v>
      </c>
      <c r="I395" t="s">
        <v>1533</v>
      </c>
    </row>
    <row r="396" spans="1:9" x14ac:dyDescent="0.3">
      <c r="A396">
        <v>395</v>
      </c>
      <c r="B396">
        <v>395</v>
      </c>
      <c r="C396" t="s">
        <v>1751</v>
      </c>
      <c r="D396" t="s">
        <v>76</v>
      </c>
      <c r="E396" t="s">
        <v>365</v>
      </c>
      <c r="F396" t="s">
        <v>1752</v>
      </c>
      <c r="G396" t="s">
        <v>1364</v>
      </c>
      <c r="H396" t="s">
        <v>1427</v>
      </c>
      <c r="I396" t="s">
        <v>1490</v>
      </c>
    </row>
    <row r="397" spans="1:9" x14ac:dyDescent="0.3">
      <c r="A397">
        <v>396</v>
      </c>
      <c r="B397">
        <v>396</v>
      </c>
      <c r="C397" t="s">
        <v>1753</v>
      </c>
      <c r="D397" t="s">
        <v>51</v>
      </c>
      <c r="E397" t="s">
        <v>11</v>
      </c>
      <c r="F397" t="s">
        <v>1754</v>
      </c>
      <c r="G397" t="s">
        <v>1755</v>
      </c>
      <c r="H397" t="s">
        <v>1756</v>
      </c>
      <c r="I397" t="s">
        <v>1757</v>
      </c>
    </row>
    <row r="398" spans="1:9" x14ac:dyDescent="0.3">
      <c r="A398">
        <v>397</v>
      </c>
      <c r="B398">
        <v>397</v>
      </c>
      <c r="C398" t="s">
        <v>1758</v>
      </c>
      <c r="D398" t="s">
        <v>124</v>
      </c>
      <c r="E398" t="s">
        <v>345</v>
      </c>
      <c r="F398" t="s">
        <v>1759</v>
      </c>
      <c r="G398" t="s">
        <v>1760</v>
      </c>
      <c r="H398" t="s">
        <v>1761</v>
      </c>
      <c r="I398" t="s">
        <v>1762</v>
      </c>
    </row>
    <row r="399" spans="1:9" x14ac:dyDescent="0.3">
      <c r="A399">
        <v>398</v>
      </c>
      <c r="B399">
        <v>398</v>
      </c>
      <c r="C399" t="s">
        <v>1763</v>
      </c>
      <c r="D399" t="s">
        <v>51</v>
      </c>
      <c r="E399" t="s">
        <v>11</v>
      </c>
      <c r="F399" t="s">
        <v>893</v>
      </c>
      <c r="G399" t="s">
        <v>1764</v>
      </c>
      <c r="H399" t="s">
        <v>1765</v>
      </c>
      <c r="I399" t="s">
        <v>1766</v>
      </c>
    </row>
    <row r="400" spans="1:9" x14ac:dyDescent="0.3">
      <c r="A400">
        <v>399</v>
      </c>
      <c r="B400">
        <v>399</v>
      </c>
      <c r="C400" t="s">
        <v>1767</v>
      </c>
      <c r="D400" t="s">
        <v>51</v>
      </c>
      <c r="E400" t="s">
        <v>365</v>
      </c>
      <c r="F400" t="s">
        <v>1283</v>
      </c>
      <c r="G400" t="s">
        <v>1768</v>
      </c>
      <c r="H400" t="s">
        <v>1769</v>
      </c>
      <c r="I400" t="s">
        <v>1770</v>
      </c>
    </row>
    <row r="401" spans="1:9" x14ac:dyDescent="0.3">
      <c r="A401">
        <v>400</v>
      </c>
      <c r="B401">
        <v>400</v>
      </c>
      <c r="C401" t="s">
        <v>1771</v>
      </c>
      <c r="D401" t="s">
        <v>1441</v>
      </c>
      <c r="E401" t="s">
        <v>250</v>
      </c>
      <c r="F401" t="s">
        <v>1772</v>
      </c>
      <c r="G401" t="s">
        <v>915</v>
      </c>
      <c r="H401" t="s">
        <v>1773</v>
      </c>
      <c r="I401" t="s">
        <v>1774</v>
      </c>
    </row>
    <row r="402" spans="1:9" x14ac:dyDescent="0.3">
      <c r="A402">
        <v>401</v>
      </c>
      <c r="B402">
        <v>401</v>
      </c>
      <c r="C402" t="s">
        <v>1775</v>
      </c>
      <c r="D402" t="s">
        <v>35</v>
      </c>
      <c r="E402" t="s">
        <v>11</v>
      </c>
      <c r="F402" t="s">
        <v>1776</v>
      </c>
      <c r="G402" t="s">
        <v>1447</v>
      </c>
      <c r="H402" t="s">
        <v>1777</v>
      </c>
      <c r="I402" t="s">
        <v>1778</v>
      </c>
    </row>
    <row r="403" spans="1:9" x14ac:dyDescent="0.3">
      <c r="A403">
        <v>402</v>
      </c>
      <c r="B403">
        <v>402</v>
      </c>
      <c r="C403" t="s">
        <v>1779</v>
      </c>
      <c r="D403" t="s">
        <v>35</v>
      </c>
      <c r="E403" t="s">
        <v>23</v>
      </c>
      <c r="F403" t="s">
        <v>1780</v>
      </c>
      <c r="G403" t="s">
        <v>1781</v>
      </c>
      <c r="H403" t="s">
        <v>1782</v>
      </c>
      <c r="I403" t="s">
        <v>1783</v>
      </c>
    </row>
    <row r="404" spans="1:9" x14ac:dyDescent="0.3">
      <c r="A404">
        <v>403</v>
      </c>
      <c r="B404">
        <v>403</v>
      </c>
      <c r="C404" t="s">
        <v>1784</v>
      </c>
      <c r="D404" t="s">
        <v>51</v>
      </c>
      <c r="E404" t="s">
        <v>11</v>
      </c>
      <c r="F404" t="s">
        <v>1785</v>
      </c>
      <c r="G404" t="s">
        <v>1786</v>
      </c>
      <c r="H404" t="s">
        <v>1787</v>
      </c>
      <c r="I404" t="s">
        <v>1788</v>
      </c>
    </row>
    <row r="405" spans="1:9" x14ac:dyDescent="0.3">
      <c r="A405">
        <v>404</v>
      </c>
      <c r="B405">
        <v>404</v>
      </c>
      <c r="C405" t="s">
        <v>1789</v>
      </c>
      <c r="D405" t="s">
        <v>10</v>
      </c>
      <c r="E405" t="s">
        <v>174</v>
      </c>
      <c r="F405" t="s">
        <v>1790</v>
      </c>
      <c r="G405" t="s">
        <v>1038</v>
      </c>
      <c r="H405" t="s">
        <v>1167</v>
      </c>
      <c r="I405" t="s">
        <v>1791</v>
      </c>
    </row>
    <row r="406" spans="1:9" x14ac:dyDescent="0.3">
      <c r="A406">
        <v>405</v>
      </c>
      <c r="B406">
        <v>405</v>
      </c>
      <c r="C406" t="s">
        <v>1792</v>
      </c>
      <c r="D406" t="s">
        <v>70</v>
      </c>
      <c r="E406" t="s">
        <v>23</v>
      </c>
      <c r="F406" t="s">
        <v>1793</v>
      </c>
      <c r="G406" t="s">
        <v>1794</v>
      </c>
      <c r="H406" t="s">
        <v>1795</v>
      </c>
      <c r="I406" t="s">
        <v>1796</v>
      </c>
    </row>
    <row r="407" spans="1:9" x14ac:dyDescent="0.3">
      <c r="A407">
        <v>406</v>
      </c>
      <c r="B407">
        <v>406</v>
      </c>
      <c r="C407" t="s">
        <v>1797</v>
      </c>
      <c r="D407" t="s">
        <v>35</v>
      </c>
      <c r="E407" t="s">
        <v>130</v>
      </c>
      <c r="F407" t="s">
        <v>1606</v>
      </c>
      <c r="G407" t="s">
        <v>1572</v>
      </c>
      <c r="H407" t="s">
        <v>1798</v>
      </c>
      <c r="I407" t="s">
        <v>1799</v>
      </c>
    </row>
    <row r="408" spans="1:9" x14ac:dyDescent="0.3">
      <c r="A408">
        <v>407</v>
      </c>
      <c r="B408">
        <v>407</v>
      </c>
      <c r="C408" t="s">
        <v>1800</v>
      </c>
      <c r="D408" t="s">
        <v>10</v>
      </c>
      <c r="E408" t="s">
        <v>130</v>
      </c>
      <c r="F408" t="s">
        <v>1801</v>
      </c>
      <c r="G408" t="s">
        <v>1568</v>
      </c>
      <c r="H408" t="s">
        <v>1802</v>
      </c>
      <c r="I408" t="s">
        <v>1398</v>
      </c>
    </row>
    <row r="409" spans="1:9" x14ac:dyDescent="0.3">
      <c r="A409">
        <v>408</v>
      </c>
      <c r="B409">
        <v>408</v>
      </c>
      <c r="C409" t="s">
        <v>1803</v>
      </c>
      <c r="D409" t="s">
        <v>10</v>
      </c>
      <c r="E409" t="s">
        <v>11</v>
      </c>
      <c r="F409" t="s">
        <v>1804</v>
      </c>
      <c r="G409" t="s">
        <v>1350</v>
      </c>
      <c r="H409" t="s">
        <v>1805</v>
      </c>
      <c r="I409" t="s">
        <v>649</v>
      </c>
    </row>
    <row r="410" spans="1:9" x14ac:dyDescent="0.3">
      <c r="A410">
        <v>409</v>
      </c>
      <c r="B410">
        <v>409</v>
      </c>
      <c r="C410" t="s">
        <v>1806</v>
      </c>
      <c r="D410" t="s">
        <v>216</v>
      </c>
      <c r="E410" t="s">
        <v>151</v>
      </c>
      <c r="F410" t="s">
        <v>1807</v>
      </c>
      <c r="G410" t="s">
        <v>1808</v>
      </c>
      <c r="H410" t="s">
        <v>1809</v>
      </c>
      <c r="I410" t="s">
        <v>1810</v>
      </c>
    </row>
    <row r="411" spans="1:9" x14ac:dyDescent="0.3">
      <c r="A411">
        <v>410</v>
      </c>
      <c r="B411">
        <v>410</v>
      </c>
      <c r="C411" t="s">
        <v>1811</v>
      </c>
      <c r="D411" t="s">
        <v>436</v>
      </c>
      <c r="E411" t="s">
        <v>634</v>
      </c>
      <c r="F411" t="s">
        <v>1812</v>
      </c>
      <c r="G411" t="s">
        <v>1671</v>
      </c>
      <c r="H411" t="s">
        <v>1813</v>
      </c>
      <c r="I411" t="s">
        <v>1814</v>
      </c>
    </row>
    <row r="412" spans="1:9" x14ac:dyDescent="0.3">
      <c r="A412">
        <v>411</v>
      </c>
      <c r="B412">
        <v>411</v>
      </c>
      <c r="C412" t="s">
        <v>1815</v>
      </c>
      <c r="D412" t="s">
        <v>35</v>
      </c>
      <c r="E412" t="s">
        <v>130</v>
      </c>
      <c r="F412" t="s">
        <v>1816</v>
      </c>
      <c r="G412" t="s">
        <v>562</v>
      </c>
      <c r="H412" t="s">
        <v>1127</v>
      </c>
      <c r="I412" t="s">
        <v>1817</v>
      </c>
    </row>
    <row r="413" spans="1:9" x14ac:dyDescent="0.3">
      <c r="A413">
        <v>412</v>
      </c>
      <c r="B413">
        <v>412</v>
      </c>
      <c r="C413" t="s">
        <v>1818</v>
      </c>
      <c r="D413" t="s">
        <v>205</v>
      </c>
      <c r="E413" t="s">
        <v>151</v>
      </c>
      <c r="F413" t="s">
        <v>1819</v>
      </c>
      <c r="G413" t="s">
        <v>1820</v>
      </c>
      <c r="H413" t="s">
        <v>1821</v>
      </c>
      <c r="I413" t="s">
        <v>1822</v>
      </c>
    </row>
    <row r="414" spans="1:9" x14ac:dyDescent="0.3">
      <c r="A414">
        <v>413</v>
      </c>
      <c r="B414">
        <v>413</v>
      </c>
      <c r="C414" t="s">
        <v>1823</v>
      </c>
      <c r="D414" t="s">
        <v>10</v>
      </c>
      <c r="E414" t="s">
        <v>64</v>
      </c>
      <c r="F414" t="s">
        <v>1533</v>
      </c>
      <c r="G414" t="s">
        <v>915</v>
      </c>
      <c r="H414" t="s">
        <v>1824</v>
      </c>
      <c r="I414" t="s">
        <v>1825</v>
      </c>
    </row>
    <row r="415" spans="1:9" x14ac:dyDescent="0.3">
      <c r="A415">
        <v>414</v>
      </c>
      <c r="B415">
        <v>414</v>
      </c>
      <c r="C415" t="s">
        <v>1826</v>
      </c>
      <c r="D415" t="s">
        <v>124</v>
      </c>
      <c r="E415" t="s">
        <v>510</v>
      </c>
      <c r="F415" t="s">
        <v>596</v>
      </c>
      <c r="G415" t="s">
        <v>1111</v>
      </c>
      <c r="H415" t="s">
        <v>585</v>
      </c>
      <c r="I415" t="s">
        <v>1827</v>
      </c>
    </row>
    <row r="416" spans="1:9" x14ac:dyDescent="0.3">
      <c r="A416">
        <v>415</v>
      </c>
      <c r="B416">
        <v>415</v>
      </c>
      <c r="C416" t="s">
        <v>1828</v>
      </c>
      <c r="D416" t="s">
        <v>51</v>
      </c>
      <c r="E416" t="s">
        <v>52</v>
      </c>
      <c r="F416" t="s">
        <v>1829</v>
      </c>
      <c r="G416" t="s">
        <v>1830</v>
      </c>
      <c r="H416" t="s">
        <v>1831</v>
      </c>
      <c r="I416" t="s">
        <v>1832</v>
      </c>
    </row>
    <row r="417" spans="1:9" x14ac:dyDescent="0.3">
      <c r="A417">
        <v>416</v>
      </c>
      <c r="B417">
        <v>416</v>
      </c>
      <c r="C417" t="s">
        <v>1833</v>
      </c>
      <c r="D417" t="s">
        <v>10</v>
      </c>
      <c r="E417" t="s">
        <v>11</v>
      </c>
      <c r="F417" t="s">
        <v>1834</v>
      </c>
      <c r="G417" t="s">
        <v>1568</v>
      </c>
      <c r="H417" t="s">
        <v>1835</v>
      </c>
      <c r="I417" t="s">
        <v>748</v>
      </c>
    </row>
    <row r="418" spans="1:9" x14ac:dyDescent="0.3">
      <c r="A418">
        <v>417</v>
      </c>
      <c r="B418">
        <v>417</v>
      </c>
      <c r="C418" t="s">
        <v>1836</v>
      </c>
      <c r="D418" t="s">
        <v>1617</v>
      </c>
      <c r="E418" t="s">
        <v>29</v>
      </c>
      <c r="F418" t="s">
        <v>1837</v>
      </c>
      <c r="G418" t="s">
        <v>823</v>
      </c>
      <c r="H418" t="s">
        <v>1838</v>
      </c>
      <c r="I418" t="s">
        <v>1839</v>
      </c>
    </row>
    <row r="419" spans="1:9" x14ac:dyDescent="0.3">
      <c r="A419">
        <v>418</v>
      </c>
      <c r="B419">
        <v>418</v>
      </c>
      <c r="C419" t="s">
        <v>1840</v>
      </c>
      <c r="D419" t="s">
        <v>521</v>
      </c>
      <c r="E419" t="s">
        <v>130</v>
      </c>
      <c r="F419" t="s">
        <v>1207</v>
      </c>
      <c r="G419" t="s">
        <v>1038</v>
      </c>
      <c r="H419" t="s">
        <v>1841</v>
      </c>
      <c r="I419" t="s">
        <v>1842</v>
      </c>
    </row>
    <row r="420" spans="1:9" x14ac:dyDescent="0.3">
      <c r="A420">
        <v>419</v>
      </c>
      <c r="B420">
        <v>419</v>
      </c>
      <c r="C420" t="s">
        <v>1843</v>
      </c>
      <c r="D420" t="s">
        <v>10</v>
      </c>
      <c r="E420" t="s">
        <v>29</v>
      </c>
      <c r="F420" t="s">
        <v>1844</v>
      </c>
      <c r="G420" t="s">
        <v>1137</v>
      </c>
      <c r="H420" t="s">
        <v>1845</v>
      </c>
      <c r="I420" t="s">
        <v>1846</v>
      </c>
    </row>
    <row r="421" spans="1:9" x14ac:dyDescent="0.3">
      <c r="A421">
        <v>420</v>
      </c>
      <c r="B421">
        <v>420</v>
      </c>
      <c r="C421" t="s">
        <v>1847</v>
      </c>
      <c r="D421" t="s">
        <v>10</v>
      </c>
      <c r="E421" t="s">
        <v>11</v>
      </c>
      <c r="F421" t="s">
        <v>408</v>
      </c>
      <c r="G421" t="s">
        <v>1137</v>
      </c>
      <c r="H421" t="s">
        <v>1848</v>
      </c>
      <c r="I421" t="s">
        <v>1567</v>
      </c>
    </row>
    <row r="422" spans="1:9" x14ac:dyDescent="0.3">
      <c r="A422">
        <v>421</v>
      </c>
      <c r="B422">
        <v>421</v>
      </c>
      <c r="C422" t="s">
        <v>1849</v>
      </c>
      <c r="D422" t="s">
        <v>10</v>
      </c>
      <c r="E422" t="s">
        <v>345</v>
      </c>
      <c r="F422" t="s">
        <v>1850</v>
      </c>
      <c r="G422" t="s">
        <v>1521</v>
      </c>
      <c r="H422" t="s">
        <v>1851</v>
      </c>
      <c r="I422" t="s">
        <v>1852</v>
      </c>
    </row>
    <row r="423" spans="1:9" x14ac:dyDescent="0.3">
      <c r="A423">
        <v>422</v>
      </c>
      <c r="B423">
        <v>422</v>
      </c>
      <c r="C423" t="s">
        <v>1853</v>
      </c>
      <c r="D423" t="s">
        <v>681</v>
      </c>
      <c r="E423" t="s">
        <v>151</v>
      </c>
      <c r="F423" t="s">
        <v>1854</v>
      </c>
      <c r="G423" t="s">
        <v>1137</v>
      </c>
      <c r="H423" t="s">
        <v>1594</v>
      </c>
      <c r="I423" t="s">
        <v>1423</v>
      </c>
    </row>
    <row r="424" spans="1:9" x14ac:dyDescent="0.3">
      <c r="A424">
        <v>423</v>
      </c>
      <c r="B424">
        <v>423</v>
      </c>
      <c r="C424" t="s">
        <v>1855</v>
      </c>
      <c r="D424" t="s">
        <v>51</v>
      </c>
      <c r="E424" t="s">
        <v>792</v>
      </c>
      <c r="F424" t="s">
        <v>1856</v>
      </c>
      <c r="G424" t="s">
        <v>1857</v>
      </c>
      <c r="H424" t="s">
        <v>1858</v>
      </c>
      <c r="I424" t="s">
        <v>1212</v>
      </c>
    </row>
    <row r="425" spans="1:9" x14ac:dyDescent="0.3">
      <c r="A425">
        <v>424</v>
      </c>
      <c r="B425">
        <v>424</v>
      </c>
      <c r="C425" t="s">
        <v>1859</v>
      </c>
      <c r="D425" t="s">
        <v>10</v>
      </c>
      <c r="E425" t="s">
        <v>365</v>
      </c>
      <c r="F425" t="s">
        <v>899</v>
      </c>
      <c r="G425" t="s">
        <v>1128</v>
      </c>
      <c r="H425" t="s">
        <v>1860</v>
      </c>
      <c r="I425" t="s">
        <v>1861</v>
      </c>
    </row>
    <row r="426" spans="1:9" x14ac:dyDescent="0.3">
      <c r="A426">
        <v>425</v>
      </c>
      <c r="B426">
        <v>425</v>
      </c>
      <c r="C426" t="s">
        <v>1862</v>
      </c>
      <c r="D426" t="s">
        <v>70</v>
      </c>
      <c r="E426" t="s">
        <v>250</v>
      </c>
      <c r="F426" t="s">
        <v>1863</v>
      </c>
      <c r="G426" t="s">
        <v>1098</v>
      </c>
      <c r="H426" t="s">
        <v>1471</v>
      </c>
      <c r="I426" t="s">
        <v>1144</v>
      </c>
    </row>
    <row r="427" spans="1:9" x14ac:dyDescent="0.3">
      <c r="A427">
        <v>426</v>
      </c>
      <c r="B427">
        <v>426</v>
      </c>
      <c r="C427" t="s">
        <v>1864</v>
      </c>
      <c r="D427" t="s">
        <v>10</v>
      </c>
      <c r="E427" t="s">
        <v>345</v>
      </c>
      <c r="F427" t="s">
        <v>1865</v>
      </c>
      <c r="G427" t="s">
        <v>1866</v>
      </c>
      <c r="H427" t="s">
        <v>1867</v>
      </c>
      <c r="I427" t="s">
        <v>1778</v>
      </c>
    </row>
    <row r="428" spans="1:9" x14ac:dyDescent="0.3">
      <c r="A428">
        <v>427</v>
      </c>
      <c r="B428">
        <v>427</v>
      </c>
      <c r="C428" t="s">
        <v>1868</v>
      </c>
      <c r="D428" t="s">
        <v>104</v>
      </c>
      <c r="E428" t="s">
        <v>345</v>
      </c>
      <c r="F428" t="s">
        <v>1869</v>
      </c>
      <c r="G428" t="s">
        <v>1870</v>
      </c>
      <c r="H428" t="s">
        <v>1871</v>
      </c>
      <c r="I428" t="s">
        <v>1872</v>
      </c>
    </row>
    <row r="429" spans="1:9" x14ac:dyDescent="0.3">
      <c r="A429">
        <v>428</v>
      </c>
      <c r="B429">
        <v>428</v>
      </c>
      <c r="C429" t="s">
        <v>1873</v>
      </c>
      <c r="D429" t="s">
        <v>10</v>
      </c>
      <c r="E429" t="s">
        <v>345</v>
      </c>
      <c r="F429" t="s">
        <v>1874</v>
      </c>
      <c r="G429" t="s">
        <v>809</v>
      </c>
      <c r="H429" t="s">
        <v>1875</v>
      </c>
      <c r="I429" t="s">
        <v>1876</v>
      </c>
    </row>
    <row r="430" spans="1:9" x14ac:dyDescent="0.3">
      <c r="A430">
        <v>429</v>
      </c>
      <c r="B430">
        <v>429</v>
      </c>
      <c r="C430" t="s">
        <v>1877</v>
      </c>
      <c r="D430" t="s">
        <v>297</v>
      </c>
      <c r="E430" t="s">
        <v>58</v>
      </c>
      <c r="F430" t="s">
        <v>1878</v>
      </c>
      <c r="G430" t="s">
        <v>1089</v>
      </c>
      <c r="H430" t="s">
        <v>1130</v>
      </c>
      <c r="I430" t="s">
        <v>1879</v>
      </c>
    </row>
    <row r="431" spans="1:9" x14ac:dyDescent="0.3">
      <c r="A431">
        <v>430</v>
      </c>
      <c r="B431">
        <v>430</v>
      </c>
      <c r="C431" t="s">
        <v>1880</v>
      </c>
      <c r="D431" t="s">
        <v>10</v>
      </c>
      <c r="E431" t="s">
        <v>29</v>
      </c>
      <c r="F431" t="s">
        <v>1442</v>
      </c>
      <c r="G431" t="s">
        <v>1866</v>
      </c>
      <c r="H431" t="s">
        <v>1881</v>
      </c>
      <c r="I431" t="s">
        <v>1509</v>
      </c>
    </row>
    <row r="432" spans="1:9" x14ac:dyDescent="0.3">
      <c r="A432">
        <v>431</v>
      </c>
      <c r="B432">
        <v>431</v>
      </c>
      <c r="C432" t="s">
        <v>1882</v>
      </c>
      <c r="D432" t="s">
        <v>124</v>
      </c>
      <c r="E432" t="s">
        <v>11</v>
      </c>
      <c r="F432" t="s">
        <v>1883</v>
      </c>
      <c r="G432" t="s">
        <v>1884</v>
      </c>
      <c r="H432" t="s">
        <v>1885</v>
      </c>
      <c r="I432" t="s">
        <v>1169</v>
      </c>
    </row>
    <row r="433" spans="1:9" x14ac:dyDescent="0.3">
      <c r="A433">
        <v>432</v>
      </c>
      <c r="B433">
        <v>432</v>
      </c>
      <c r="C433" t="s">
        <v>1886</v>
      </c>
      <c r="D433" t="s">
        <v>417</v>
      </c>
      <c r="E433" t="s">
        <v>52</v>
      </c>
      <c r="F433" t="s">
        <v>1887</v>
      </c>
      <c r="G433" t="s">
        <v>1322</v>
      </c>
      <c r="H433" t="s">
        <v>1888</v>
      </c>
      <c r="I433" t="s">
        <v>1889</v>
      </c>
    </row>
    <row r="434" spans="1:9" x14ac:dyDescent="0.3">
      <c r="A434">
        <v>433</v>
      </c>
      <c r="B434">
        <v>433</v>
      </c>
      <c r="C434" t="s">
        <v>1890</v>
      </c>
      <c r="D434" t="s">
        <v>10</v>
      </c>
      <c r="E434" t="s">
        <v>98</v>
      </c>
      <c r="F434" t="s">
        <v>1891</v>
      </c>
      <c r="G434" t="s">
        <v>1029</v>
      </c>
      <c r="H434" t="s">
        <v>1892</v>
      </c>
      <c r="I434" t="s">
        <v>1893</v>
      </c>
    </row>
    <row r="435" spans="1:9" x14ac:dyDescent="0.3">
      <c r="A435">
        <v>434</v>
      </c>
      <c r="B435">
        <v>434</v>
      </c>
      <c r="C435" t="s">
        <v>1894</v>
      </c>
      <c r="D435" t="s">
        <v>696</v>
      </c>
      <c r="E435" t="s">
        <v>52</v>
      </c>
      <c r="F435" t="s">
        <v>453</v>
      </c>
      <c r="G435" t="s">
        <v>1510</v>
      </c>
      <c r="H435" t="s">
        <v>1895</v>
      </c>
      <c r="I435" t="s">
        <v>1896</v>
      </c>
    </row>
    <row r="436" spans="1:9" x14ac:dyDescent="0.3">
      <c r="A436">
        <v>435</v>
      </c>
      <c r="B436">
        <v>435</v>
      </c>
      <c r="C436" t="s">
        <v>1897</v>
      </c>
      <c r="D436" t="s">
        <v>104</v>
      </c>
      <c r="E436" t="s">
        <v>232</v>
      </c>
      <c r="F436" t="s">
        <v>1898</v>
      </c>
      <c r="G436" t="s">
        <v>1899</v>
      </c>
      <c r="H436" t="s">
        <v>1900</v>
      </c>
      <c r="I436" t="s">
        <v>1901</v>
      </c>
    </row>
    <row r="437" spans="1:9" x14ac:dyDescent="0.3">
      <c r="A437">
        <v>436</v>
      </c>
      <c r="B437">
        <v>436</v>
      </c>
      <c r="C437" t="s">
        <v>1902</v>
      </c>
      <c r="D437" t="s">
        <v>10</v>
      </c>
      <c r="E437" t="s">
        <v>58</v>
      </c>
      <c r="F437" t="s">
        <v>408</v>
      </c>
      <c r="G437" t="s">
        <v>1474</v>
      </c>
      <c r="H437" t="s">
        <v>1903</v>
      </c>
      <c r="I437" t="s">
        <v>1904</v>
      </c>
    </row>
    <row r="438" spans="1:9" x14ac:dyDescent="0.3">
      <c r="A438">
        <v>437</v>
      </c>
      <c r="B438">
        <v>437</v>
      </c>
      <c r="C438" t="s">
        <v>1905</v>
      </c>
      <c r="D438" t="s">
        <v>10</v>
      </c>
      <c r="E438" t="s">
        <v>345</v>
      </c>
      <c r="F438" t="s">
        <v>1906</v>
      </c>
      <c r="G438" t="s">
        <v>1322</v>
      </c>
      <c r="H438" t="s">
        <v>1255</v>
      </c>
      <c r="I438" t="s">
        <v>1907</v>
      </c>
    </row>
    <row r="439" spans="1:9" x14ac:dyDescent="0.3">
      <c r="A439">
        <v>438</v>
      </c>
      <c r="B439">
        <v>438</v>
      </c>
      <c r="C439" t="s">
        <v>1908</v>
      </c>
      <c r="D439" t="s">
        <v>70</v>
      </c>
      <c r="E439" t="s">
        <v>23</v>
      </c>
      <c r="F439" t="s">
        <v>1909</v>
      </c>
      <c r="G439" t="s">
        <v>1910</v>
      </c>
      <c r="H439" t="s">
        <v>1911</v>
      </c>
      <c r="I439" t="s">
        <v>1912</v>
      </c>
    </row>
    <row r="440" spans="1:9" x14ac:dyDescent="0.3">
      <c r="A440">
        <v>439</v>
      </c>
      <c r="B440">
        <v>439</v>
      </c>
      <c r="C440" t="s">
        <v>1913</v>
      </c>
      <c r="D440" t="s">
        <v>1463</v>
      </c>
      <c r="E440" t="s">
        <v>11</v>
      </c>
      <c r="F440" t="s">
        <v>1914</v>
      </c>
      <c r="G440" t="s">
        <v>1249</v>
      </c>
      <c r="H440" t="s">
        <v>1915</v>
      </c>
      <c r="I440" t="s">
        <v>1916</v>
      </c>
    </row>
    <row r="441" spans="1:9" x14ac:dyDescent="0.3">
      <c r="A441">
        <v>440</v>
      </c>
      <c r="B441">
        <v>440</v>
      </c>
      <c r="C441" t="s">
        <v>1917</v>
      </c>
      <c r="D441" t="s">
        <v>51</v>
      </c>
      <c r="E441" t="s">
        <v>345</v>
      </c>
      <c r="F441" t="s">
        <v>1918</v>
      </c>
      <c r="G441" t="s">
        <v>1330</v>
      </c>
      <c r="H441" t="s">
        <v>1039</v>
      </c>
      <c r="I441" t="s">
        <v>1919</v>
      </c>
    </row>
    <row r="442" spans="1:9" x14ac:dyDescent="0.3">
      <c r="A442">
        <v>441</v>
      </c>
      <c r="B442">
        <v>441</v>
      </c>
      <c r="C442" t="s">
        <v>1920</v>
      </c>
      <c r="D442" t="s">
        <v>10</v>
      </c>
      <c r="E442" t="s">
        <v>29</v>
      </c>
      <c r="F442" t="s">
        <v>1921</v>
      </c>
      <c r="G442" t="s">
        <v>481</v>
      </c>
      <c r="H442" t="s">
        <v>1922</v>
      </c>
      <c r="I442" t="s">
        <v>1923</v>
      </c>
    </row>
    <row r="443" spans="1:9" x14ac:dyDescent="0.3">
      <c r="A443">
        <v>442</v>
      </c>
      <c r="B443">
        <v>442</v>
      </c>
      <c r="C443" t="s">
        <v>1924</v>
      </c>
      <c r="D443" t="s">
        <v>1925</v>
      </c>
      <c r="E443" t="s">
        <v>151</v>
      </c>
      <c r="F443" t="s">
        <v>1926</v>
      </c>
      <c r="G443" t="s">
        <v>1202</v>
      </c>
      <c r="H443" t="s">
        <v>682</v>
      </c>
      <c r="I443" t="s">
        <v>1528</v>
      </c>
    </row>
    <row r="444" spans="1:9" x14ac:dyDescent="0.3">
      <c r="A444">
        <v>443</v>
      </c>
      <c r="B444">
        <v>443</v>
      </c>
      <c r="C444" t="s">
        <v>1927</v>
      </c>
      <c r="D444" t="s">
        <v>10</v>
      </c>
      <c r="E444" t="s">
        <v>243</v>
      </c>
      <c r="F444" t="s">
        <v>1928</v>
      </c>
      <c r="G444" t="s">
        <v>1563</v>
      </c>
      <c r="H444" t="s">
        <v>1929</v>
      </c>
      <c r="I444" t="s">
        <v>1059</v>
      </c>
    </row>
    <row r="445" spans="1:9" x14ac:dyDescent="0.3">
      <c r="A445">
        <v>444</v>
      </c>
      <c r="B445">
        <v>444</v>
      </c>
      <c r="C445" t="s">
        <v>1930</v>
      </c>
      <c r="D445" t="s">
        <v>51</v>
      </c>
      <c r="E445" t="s">
        <v>11</v>
      </c>
      <c r="F445" t="s">
        <v>1931</v>
      </c>
      <c r="G445" t="s">
        <v>1932</v>
      </c>
      <c r="H445" t="s">
        <v>1933</v>
      </c>
      <c r="I445" t="s">
        <v>1934</v>
      </c>
    </row>
    <row r="446" spans="1:9" x14ac:dyDescent="0.3">
      <c r="A446">
        <v>445</v>
      </c>
      <c r="B446">
        <v>445</v>
      </c>
      <c r="C446" t="s">
        <v>1935</v>
      </c>
      <c r="D446" t="s">
        <v>10</v>
      </c>
      <c r="E446" t="s">
        <v>11</v>
      </c>
      <c r="F446" t="s">
        <v>1936</v>
      </c>
      <c r="G446" t="s">
        <v>1474</v>
      </c>
      <c r="H446" t="s">
        <v>1937</v>
      </c>
      <c r="I446" t="s">
        <v>1938</v>
      </c>
    </row>
    <row r="447" spans="1:9" x14ac:dyDescent="0.3">
      <c r="A447">
        <v>446</v>
      </c>
      <c r="B447">
        <v>446</v>
      </c>
      <c r="C447" t="s">
        <v>1939</v>
      </c>
      <c r="D447" t="s">
        <v>35</v>
      </c>
      <c r="E447" t="s">
        <v>11</v>
      </c>
      <c r="F447" t="s">
        <v>1940</v>
      </c>
      <c r="G447" t="s">
        <v>1038</v>
      </c>
      <c r="H447" t="s">
        <v>1941</v>
      </c>
      <c r="I447" t="s">
        <v>1942</v>
      </c>
    </row>
    <row r="448" spans="1:9" x14ac:dyDescent="0.3">
      <c r="A448">
        <v>447</v>
      </c>
      <c r="B448">
        <v>447</v>
      </c>
      <c r="C448" t="s">
        <v>1943</v>
      </c>
      <c r="D448" t="s">
        <v>35</v>
      </c>
      <c r="E448" t="s">
        <v>792</v>
      </c>
      <c r="F448" t="s">
        <v>1944</v>
      </c>
      <c r="G448" t="s">
        <v>809</v>
      </c>
      <c r="H448" t="s">
        <v>1945</v>
      </c>
      <c r="I448" t="s">
        <v>1946</v>
      </c>
    </row>
    <row r="449" spans="1:9" x14ac:dyDescent="0.3">
      <c r="A449">
        <v>448</v>
      </c>
      <c r="B449">
        <v>448</v>
      </c>
      <c r="C449" t="s">
        <v>1947</v>
      </c>
      <c r="D449" t="s">
        <v>10</v>
      </c>
      <c r="E449" t="s">
        <v>52</v>
      </c>
      <c r="F449" t="s">
        <v>1948</v>
      </c>
      <c r="G449" t="s">
        <v>1949</v>
      </c>
      <c r="H449" t="s">
        <v>1950</v>
      </c>
      <c r="I449" t="s">
        <v>1951</v>
      </c>
    </row>
    <row r="450" spans="1:9" x14ac:dyDescent="0.3">
      <c r="A450">
        <v>449</v>
      </c>
      <c r="B450">
        <v>449</v>
      </c>
      <c r="C450" t="s">
        <v>1952</v>
      </c>
      <c r="D450" t="s">
        <v>1925</v>
      </c>
      <c r="E450" t="s">
        <v>345</v>
      </c>
      <c r="F450" t="s">
        <v>1953</v>
      </c>
      <c r="G450" t="s">
        <v>1768</v>
      </c>
      <c r="H450" t="s">
        <v>1954</v>
      </c>
      <c r="I450" t="s">
        <v>1955</v>
      </c>
    </row>
    <row r="451" spans="1:9" x14ac:dyDescent="0.3">
      <c r="A451">
        <v>450</v>
      </c>
      <c r="B451">
        <v>450</v>
      </c>
      <c r="C451" t="s">
        <v>1956</v>
      </c>
      <c r="D451" t="s">
        <v>51</v>
      </c>
      <c r="E451" t="s">
        <v>58</v>
      </c>
      <c r="F451" t="s">
        <v>1957</v>
      </c>
      <c r="G451" t="s">
        <v>1958</v>
      </c>
      <c r="H451" t="s">
        <v>1959</v>
      </c>
      <c r="I451" t="s">
        <v>1960</v>
      </c>
    </row>
    <row r="452" spans="1:9" x14ac:dyDescent="0.3">
      <c r="A452">
        <v>451</v>
      </c>
      <c r="B452">
        <v>451</v>
      </c>
      <c r="C452" t="s">
        <v>1961</v>
      </c>
      <c r="D452" t="s">
        <v>1079</v>
      </c>
      <c r="E452" t="s">
        <v>58</v>
      </c>
      <c r="F452" t="s">
        <v>1962</v>
      </c>
      <c r="G452" t="s">
        <v>1577</v>
      </c>
      <c r="H452" t="s">
        <v>1963</v>
      </c>
      <c r="I452" t="s">
        <v>1964</v>
      </c>
    </row>
    <row r="453" spans="1:9" x14ac:dyDescent="0.3">
      <c r="A453">
        <v>452</v>
      </c>
      <c r="B453">
        <v>452</v>
      </c>
      <c r="C453" t="s">
        <v>1965</v>
      </c>
      <c r="D453" t="s">
        <v>51</v>
      </c>
      <c r="E453" t="s">
        <v>52</v>
      </c>
      <c r="F453" t="s">
        <v>1966</v>
      </c>
      <c r="G453" t="s">
        <v>1967</v>
      </c>
      <c r="H453" t="s">
        <v>1073</v>
      </c>
      <c r="I453" t="s">
        <v>1791</v>
      </c>
    </row>
    <row r="454" spans="1:9" x14ac:dyDescent="0.3">
      <c r="A454">
        <v>453</v>
      </c>
      <c r="B454">
        <v>453</v>
      </c>
      <c r="C454" t="s">
        <v>1968</v>
      </c>
      <c r="D454" t="s">
        <v>10</v>
      </c>
      <c r="E454" t="s">
        <v>58</v>
      </c>
      <c r="F454" t="s">
        <v>1407</v>
      </c>
      <c r="G454" t="s">
        <v>1577</v>
      </c>
      <c r="H454" t="s">
        <v>1969</v>
      </c>
      <c r="I454" t="s">
        <v>1629</v>
      </c>
    </row>
    <row r="455" spans="1:9" x14ac:dyDescent="0.3">
      <c r="A455">
        <v>454</v>
      </c>
      <c r="B455">
        <v>454</v>
      </c>
      <c r="C455" t="s">
        <v>1970</v>
      </c>
      <c r="D455" t="s">
        <v>657</v>
      </c>
      <c r="E455" t="s">
        <v>11</v>
      </c>
      <c r="F455" t="s">
        <v>1971</v>
      </c>
      <c r="G455" t="s">
        <v>1268</v>
      </c>
      <c r="H455" t="s">
        <v>1972</v>
      </c>
      <c r="I455" t="s">
        <v>280</v>
      </c>
    </row>
    <row r="456" spans="1:9" x14ac:dyDescent="0.3">
      <c r="A456">
        <v>455</v>
      </c>
      <c r="B456">
        <v>455</v>
      </c>
      <c r="C456" t="s">
        <v>1973</v>
      </c>
      <c r="D456" t="s">
        <v>35</v>
      </c>
      <c r="E456" t="s">
        <v>29</v>
      </c>
      <c r="F456" t="s">
        <v>1921</v>
      </c>
      <c r="G456" t="s">
        <v>1568</v>
      </c>
      <c r="H456" t="s">
        <v>1974</v>
      </c>
      <c r="I456" t="s">
        <v>1975</v>
      </c>
    </row>
    <row r="457" spans="1:9" x14ac:dyDescent="0.3">
      <c r="A457">
        <v>456</v>
      </c>
      <c r="B457">
        <v>456</v>
      </c>
      <c r="C457" t="s">
        <v>1976</v>
      </c>
      <c r="D457" t="s">
        <v>10</v>
      </c>
      <c r="E457" t="s">
        <v>64</v>
      </c>
      <c r="F457" t="s">
        <v>848</v>
      </c>
      <c r="G457" t="s">
        <v>933</v>
      </c>
      <c r="H457" t="s">
        <v>1977</v>
      </c>
      <c r="I457" t="s">
        <v>682</v>
      </c>
    </row>
    <row r="458" spans="1:9" x14ac:dyDescent="0.3">
      <c r="A458">
        <v>457</v>
      </c>
      <c r="B458">
        <v>457</v>
      </c>
      <c r="C458" t="s">
        <v>1978</v>
      </c>
      <c r="D458" t="s">
        <v>10</v>
      </c>
      <c r="E458" t="s">
        <v>130</v>
      </c>
      <c r="F458" t="s">
        <v>37</v>
      </c>
      <c r="G458" t="s">
        <v>1128</v>
      </c>
      <c r="H458" t="s">
        <v>1979</v>
      </c>
      <c r="I458" t="s">
        <v>336</v>
      </c>
    </row>
    <row r="459" spans="1:9" x14ac:dyDescent="0.3">
      <c r="A459">
        <v>458</v>
      </c>
      <c r="B459">
        <v>458</v>
      </c>
      <c r="C459" t="s">
        <v>1980</v>
      </c>
      <c r="D459" t="s">
        <v>35</v>
      </c>
      <c r="E459" t="s">
        <v>130</v>
      </c>
      <c r="F459" t="s">
        <v>1896</v>
      </c>
      <c r="G459" t="s">
        <v>1737</v>
      </c>
      <c r="H459" t="s">
        <v>1981</v>
      </c>
      <c r="I459" t="s">
        <v>1982</v>
      </c>
    </row>
    <row r="460" spans="1:9" x14ac:dyDescent="0.3">
      <c r="A460">
        <v>459</v>
      </c>
      <c r="B460">
        <v>459</v>
      </c>
      <c r="C460" t="s">
        <v>1983</v>
      </c>
      <c r="D460" t="s">
        <v>104</v>
      </c>
      <c r="E460" t="s">
        <v>715</v>
      </c>
      <c r="F460" t="s">
        <v>1984</v>
      </c>
      <c r="G460" t="s">
        <v>1254</v>
      </c>
      <c r="H460" t="s">
        <v>776</v>
      </c>
      <c r="I460" t="s">
        <v>1985</v>
      </c>
    </row>
    <row r="461" spans="1:9" x14ac:dyDescent="0.3">
      <c r="A461">
        <v>460</v>
      </c>
      <c r="B461">
        <v>460</v>
      </c>
      <c r="C461" t="s">
        <v>1986</v>
      </c>
      <c r="D461" t="s">
        <v>76</v>
      </c>
      <c r="E461" t="s">
        <v>17</v>
      </c>
      <c r="F461" t="s">
        <v>1987</v>
      </c>
      <c r="G461" t="s">
        <v>1988</v>
      </c>
      <c r="H461" t="s">
        <v>1989</v>
      </c>
      <c r="I461" t="s">
        <v>1990</v>
      </c>
    </row>
    <row r="462" spans="1:9" x14ac:dyDescent="0.3">
      <c r="A462">
        <v>461</v>
      </c>
      <c r="B462">
        <v>461</v>
      </c>
      <c r="C462" t="s">
        <v>1991</v>
      </c>
      <c r="D462" t="s">
        <v>1992</v>
      </c>
      <c r="E462" t="s">
        <v>29</v>
      </c>
      <c r="F462" t="s">
        <v>1033</v>
      </c>
      <c r="G462" t="s">
        <v>1474</v>
      </c>
      <c r="H462" t="s">
        <v>1192</v>
      </c>
      <c r="I462" t="s">
        <v>1672</v>
      </c>
    </row>
    <row r="463" spans="1:9" x14ac:dyDescent="0.3">
      <c r="A463">
        <v>462</v>
      </c>
      <c r="B463">
        <v>462</v>
      </c>
      <c r="C463" t="s">
        <v>1993</v>
      </c>
      <c r="D463" t="s">
        <v>70</v>
      </c>
      <c r="E463" t="s">
        <v>687</v>
      </c>
      <c r="F463" t="s">
        <v>1994</v>
      </c>
      <c r="G463" t="s">
        <v>1995</v>
      </c>
      <c r="H463" t="s">
        <v>298</v>
      </c>
      <c r="I463" t="s">
        <v>1996</v>
      </c>
    </row>
    <row r="464" spans="1:9" x14ac:dyDescent="0.3">
      <c r="A464">
        <v>463</v>
      </c>
      <c r="B464">
        <v>463</v>
      </c>
      <c r="C464" t="s">
        <v>1997</v>
      </c>
      <c r="D464" t="s">
        <v>216</v>
      </c>
      <c r="E464" t="s">
        <v>345</v>
      </c>
      <c r="F464" t="s">
        <v>1998</v>
      </c>
      <c r="G464" t="s">
        <v>1317</v>
      </c>
      <c r="H464" t="s">
        <v>1389</v>
      </c>
      <c r="I464" t="s">
        <v>1999</v>
      </c>
    </row>
    <row r="465" spans="1:9" x14ac:dyDescent="0.3">
      <c r="A465">
        <v>464</v>
      </c>
      <c r="B465">
        <v>464</v>
      </c>
      <c r="C465" t="s">
        <v>2000</v>
      </c>
      <c r="D465" t="s">
        <v>51</v>
      </c>
      <c r="E465" t="s">
        <v>232</v>
      </c>
      <c r="F465" t="s">
        <v>2001</v>
      </c>
      <c r="G465" t="s">
        <v>1012</v>
      </c>
      <c r="H465" t="s">
        <v>2002</v>
      </c>
      <c r="I465" t="s">
        <v>1347</v>
      </c>
    </row>
    <row r="466" spans="1:9" x14ac:dyDescent="0.3">
      <c r="A466">
        <v>465</v>
      </c>
      <c r="B466">
        <v>465</v>
      </c>
      <c r="C466" t="s">
        <v>2003</v>
      </c>
      <c r="D466" t="s">
        <v>10</v>
      </c>
      <c r="E466" t="s">
        <v>29</v>
      </c>
      <c r="F466" t="s">
        <v>2004</v>
      </c>
      <c r="G466" t="s">
        <v>2005</v>
      </c>
      <c r="H466" t="s">
        <v>837</v>
      </c>
      <c r="I466" t="s">
        <v>2006</v>
      </c>
    </row>
    <row r="467" spans="1:9" x14ac:dyDescent="0.3">
      <c r="A467">
        <v>466</v>
      </c>
      <c r="B467">
        <v>466</v>
      </c>
      <c r="C467" t="s">
        <v>2007</v>
      </c>
      <c r="D467" t="s">
        <v>10</v>
      </c>
      <c r="E467" t="s">
        <v>23</v>
      </c>
      <c r="F467" t="s">
        <v>2008</v>
      </c>
      <c r="G467" t="s">
        <v>2009</v>
      </c>
      <c r="H467" t="s">
        <v>2010</v>
      </c>
      <c r="I467" t="s">
        <v>2011</v>
      </c>
    </row>
    <row r="468" spans="1:9" x14ac:dyDescent="0.3">
      <c r="A468">
        <v>467</v>
      </c>
      <c r="B468">
        <v>467</v>
      </c>
      <c r="C468" t="s">
        <v>2012</v>
      </c>
      <c r="D468" t="s">
        <v>10</v>
      </c>
      <c r="E468" t="s">
        <v>715</v>
      </c>
      <c r="F468" t="s">
        <v>2013</v>
      </c>
      <c r="G468" t="s">
        <v>645</v>
      </c>
      <c r="H468" t="s">
        <v>2014</v>
      </c>
      <c r="I468" t="s">
        <v>1656</v>
      </c>
    </row>
    <row r="469" spans="1:9" x14ac:dyDescent="0.3">
      <c r="A469">
        <v>468</v>
      </c>
      <c r="B469">
        <v>468</v>
      </c>
      <c r="C469" t="s">
        <v>2015</v>
      </c>
      <c r="D469" t="s">
        <v>417</v>
      </c>
      <c r="E469" t="s">
        <v>345</v>
      </c>
      <c r="F469" t="s">
        <v>2016</v>
      </c>
      <c r="G469" t="s">
        <v>1568</v>
      </c>
      <c r="H469" t="s">
        <v>2017</v>
      </c>
      <c r="I469" t="s">
        <v>1283</v>
      </c>
    </row>
    <row r="470" spans="1:9" x14ac:dyDescent="0.3">
      <c r="A470">
        <v>469</v>
      </c>
      <c r="B470">
        <v>469</v>
      </c>
      <c r="C470" t="s">
        <v>2018</v>
      </c>
      <c r="D470" t="s">
        <v>10</v>
      </c>
      <c r="E470" t="s">
        <v>64</v>
      </c>
      <c r="F470" t="s">
        <v>2019</v>
      </c>
      <c r="G470" t="s">
        <v>1857</v>
      </c>
      <c r="H470" t="s">
        <v>2020</v>
      </c>
      <c r="I470" t="s">
        <v>2021</v>
      </c>
    </row>
    <row r="471" spans="1:9" x14ac:dyDescent="0.3">
      <c r="A471">
        <v>470</v>
      </c>
      <c r="B471">
        <v>470</v>
      </c>
      <c r="C471" t="s">
        <v>2022</v>
      </c>
      <c r="D471" t="s">
        <v>35</v>
      </c>
      <c r="E471" t="s">
        <v>23</v>
      </c>
      <c r="F471" t="s">
        <v>2023</v>
      </c>
      <c r="G471" t="s">
        <v>2009</v>
      </c>
      <c r="H471" t="s">
        <v>2024</v>
      </c>
      <c r="I471" t="s">
        <v>2025</v>
      </c>
    </row>
    <row r="472" spans="1:9" x14ac:dyDescent="0.3">
      <c r="A472">
        <v>471</v>
      </c>
      <c r="B472">
        <v>471</v>
      </c>
      <c r="C472" t="s">
        <v>2026</v>
      </c>
      <c r="D472" t="s">
        <v>10</v>
      </c>
      <c r="E472" t="s">
        <v>23</v>
      </c>
      <c r="F472" t="s">
        <v>2027</v>
      </c>
      <c r="G472" t="s">
        <v>1967</v>
      </c>
      <c r="H472" t="s">
        <v>2028</v>
      </c>
      <c r="I472" t="s">
        <v>2029</v>
      </c>
    </row>
    <row r="473" spans="1:9" x14ac:dyDescent="0.3">
      <c r="A473">
        <v>472</v>
      </c>
      <c r="B473">
        <v>472</v>
      </c>
      <c r="C473" t="s">
        <v>2030</v>
      </c>
      <c r="D473" t="s">
        <v>10</v>
      </c>
      <c r="E473" t="s">
        <v>130</v>
      </c>
      <c r="F473" t="s">
        <v>2031</v>
      </c>
      <c r="G473" t="s">
        <v>1111</v>
      </c>
      <c r="H473" t="s">
        <v>1487</v>
      </c>
      <c r="I473" t="s">
        <v>2032</v>
      </c>
    </row>
    <row r="474" spans="1:9" x14ac:dyDescent="0.3">
      <c r="A474">
        <v>473</v>
      </c>
      <c r="B474">
        <v>473</v>
      </c>
      <c r="C474" t="s">
        <v>2033</v>
      </c>
      <c r="D474" t="s">
        <v>216</v>
      </c>
      <c r="E474" t="s">
        <v>130</v>
      </c>
      <c r="F474" t="s">
        <v>762</v>
      </c>
      <c r="G474" t="s">
        <v>794</v>
      </c>
      <c r="H474" t="s">
        <v>2034</v>
      </c>
      <c r="I474" t="s">
        <v>2035</v>
      </c>
    </row>
    <row r="475" spans="1:9" x14ac:dyDescent="0.3">
      <c r="A475">
        <v>474</v>
      </c>
      <c r="B475">
        <v>474</v>
      </c>
      <c r="C475" t="s">
        <v>2036</v>
      </c>
      <c r="D475" t="s">
        <v>10</v>
      </c>
      <c r="E475" t="s">
        <v>510</v>
      </c>
      <c r="F475" t="s">
        <v>2037</v>
      </c>
      <c r="G475" t="s">
        <v>645</v>
      </c>
      <c r="H475" t="s">
        <v>2038</v>
      </c>
      <c r="I475" t="s">
        <v>2039</v>
      </c>
    </row>
    <row r="476" spans="1:9" x14ac:dyDescent="0.3">
      <c r="A476">
        <v>475</v>
      </c>
      <c r="B476">
        <v>475</v>
      </c>
      <c r="C476" t="s">
        <v>2040</v>
      </c>
      <c r="D476" t="s">
        <v>249</v>
      </c>
      <c r="E476" t="s">
        <v>11</v>
      </c>
      <c r="F476" t="s">
        <v>2041</v>
      </c>
      <c r="G476" t="s">
        <v>2042</v>
      </c>
      <c r="H476" t="s">
        <v>2043</v>
      </c>
      <c r="I476" t="s">
        <v>245</v>
      </c>
    </row>
    <row r="477" spans="1:9" x14ac:dyDescent="0.3">
      <c r="A477">
        <v>476</v>
      </c>
      <c r="B477">
        <v>476</v>
      </c>
      <c r="C477" t="s">
        <v>2044</v>
      </c>
      <c r="D477" t="s">
        <v>10</v>
      </c>
      <c r="E477" t="s">
        <v>11</v>
      </c>
      <c r="F477" t="s">
        <v>1878</v>
      </c>
      <c r="G477" t="s">
        <v>915</v>
      </c>
      <c r="H477" t="s">
        <v>2045</v>
      </c>
      <c r="I477" t="s">
        <v>2046</v>
      </c>
    </row>
    <row r="478" spans="1:9" x14ac:dyDescent="0.3">
      <c r="A478">
        <v>477</v>
      </c>
      <c r="B478">
        <v>477</v>
      </c>
      <c r="C478" t="s">
        <v>2047</v>
      </c>
      <c r="D478" t="s">
        <v>10</v>
      </c>
      <c r="E478" t="s">
        <v>58</v>
      </c>
      <c r="F478" t="s">
        <v>1804</v>
      </c>
      <c r="G478" t="s">
        <v>1568</v>
      </c>
      <c r="H478" t="s">
        <v>2048</v>
      </c>
      <c r="I478" t="s">
        <v>1938</v>
      </c>
    </row>
    <row r="479" spans="1:9" x14ac:dyDescent="0.3">
      <c r="A479">
        <v>478</v>
      </c>
      <c r="B479">
        <v>478</v>
      </c>
      <c r="C479" t="s">
        <v>2049</v>
      </c>
      <c r="D479" t="s">
        <v>458</v>
      </c>
      <c r="E479" t="s">
        <v>29</v>
      </c>
      <c r="F479" t="s">
        <v>2050</v>
      </c>
      <c r="G479" t="s">
        <v>387</v>
      </c>
      <c r="H479" t="s">
        <v>2051</v>
      </c>
      <c r="I479" t="s">
        <v>1165</v>
      </c>
    </row>
    <row r="480" spans="1:9" x14ac:dyDescent="0.3">
      <c r="A480">
        <v>479</v>
      </c>
      <c r="B480">
        <v>479</v>
      </c>
      <c r="C480" t="s">
        <v>2052</v>
      </c>
      <c r="D480" t="s">
        <v>10</v>
      </c>
      <c r="E480" t="s">
        <v>64</v>
      </c>
      <c r="F480" t="s">
        <v>1324</v>
      </c>
      <c r="G480" t="s">
        <v>799</v>
      </c>
      <c r="H480" t="s">
        <v>2053</v>
      </c>
      <c r="I480" t="s">
        <v>2054</v>
      </c>
    </row>
    <row r="481" spans="1:9" x14ac:dyDescent="0.3">
      <c r="A481">
        <v>480</v>
      </c>
      <c r="B481">
        <v>480</v>
      </c>
      <c r="C481" t="s">
        <v>2055</v>
      </c>
      <c r="D481" t="s">
        <v>521</v>
      </c>
      <c r="E481" t="s">
        <v>510</v>
      </c>
      <c r="F481" t="s">
        <v>1895</v>
      </c>
      <c r="G481" t="s">
        <v>1340</v>
      </c>
      <c r="H481" t="s">
        <v>1895</v>
      </c>
      <c r="I481" t="s">
        <v>2056</v>
      </c>
    </row>
    <row r="482" spans="1:9" x14ac:dyDescent="0.3">
      <c r="A482">
        <v>481</v>
      </c>
      <c r="B482">
        <v>481</v>
      </c>
      <c r="C482" t="s">
        <v>2057</v>
      </c>
      <c r="D482" t="s">
        <v>51</v>
      </c>
      <c r="E482" t="s">
        <v>58</v>
      </c>
      <c r="F482" t="s">
        <v>2058</v>
      </c>
      <c r="G482" t="s">
        <v>1190</v>
      </c>
      <c r="H482" t="s">
        <v>2059</v>
      </c>
      <c r="I482" t="s">
        <v>2060</v>
      </c>
    </row>
    <row r="483" spans="1:9" x14ac:dyDescent="0.3">
      <c r="A483">
        <v>482</v>
      </c>
      <c r="B483">
        <v>482</v>
      </c>
      <c r="C483" t="s">
        <v>2061</v>
      </c>
      <c r="D483" t="s">
        <v>76</v>
      </c>
      <c r="E483" t="s">
        <v>560</v>
      </c>
      <c r="F483" t="s">
        <v>2062</v>
      </c>
      <c r="G483" t="s">
        <v>2063</v>
      </c>
      <c r="H483" t="s">
        <v>2064</v>
      </c>
      <c r="I483" t="s">
        <v>1214</v>
      </c>
    </row>
    <row r="484" spans="1:9" x14ac:dyDescent="0.3">
      <c r="A484">
        <v>483</v>
      </c>
      <c r="B484">
        <v>483</v>
      </c>
      <c r="C484" t="s">
        <v>2065</v>
      </c>
      <c r="D484" t="s">
        <v>1925</v>
      </c>
      <c r="E484" t="s">
        <v>11</v>
      </c>
      <c r="F484" t="s">
        <v>1891</v>
      </c>
      <c r="G484" t="s">
        <v>1335</v>
      </c>
      <c r="H484" t="s">
        <v>2066</v>
      </c>
      <c r="I484" t="s">
        <v>2067</v>
      </c>
    </row>
    <row r="485" spans="1:9" x14ac:dyDescent="0.3">
      <c r="A485">
        <v>484</v>
      </c>
      <c r="B485">
        <v>484</v>
      </c>
      <c r="C485" t="s">
        <v>2068</v>
      </c>
      <c r="D485" t="s">
        <v>51</v>
      </c>
      <c r="E485" t="s">
        <v>130</v>
      </c>
      <c r="F485" t="s">
        <v>2069</v>
      </c>
      <c r="G485" t="s">
        <v>1563</v>
      </c>
      <c r="H485" t="s">
        <v>2070</v>
      </c>
      <c r="I485" t="s">
        <v>2034</v>
      </c>
    </row>
    <row r="486" spans="1:9" x14ac:dyDescent="0.3">
      <c r="A486">
        <v>485</v>
      </c>
      <c r="B486">
        <v>485</v>
      </c>
      <c r="C486" t="s">
        <v>2071</v>
      </c>
      <c r="D486" t="s">
        <v>1463</v>
      </c>
      <c r="E486" t="s">
        <v>365</v>
      </c>
      <c r="F486" t="s">
        <v>2072</v>
      </c>
      <c r="G486" t="s">
        <v>973</v>
      </c>
      <c r="H486" t="s">
        <v>1974</v>
      </c>
      <c r="I486" t="s">
        <v>2073</v>
      </c>
    </row>
    <row r="487" spans="1:9" x14ac:dyDescent="0.3">
      <c r="A487">
        <v>486</v>
      </c>
      <c r="B487">
        <v>486</v>
      </c>
      <c r="C487" t="s">
        <v>2074</v>
      </c>
      <c r="D487" t="s">
        <v>10</v>
      </c>
      <c r="E487" t="s">
        <v>17</v>
      </c>
      <c r="F487" t="s">
        <v>1283</v>
      </c>
      <c r="G487" t="s">
        <v>1563</v>
      </c>
      <c r="H487" t="s">
        <v>2075</v>
      </c>
      <c r="I487" t="s">
        <v>2076</v>
      </c>
    </row>
    <row r="488" spans="1:9" x14ac:dyDescent="0.3">
      <c r="A488">
        <v>487</v>
      </c>
      <c r="B488">
        <v>487</v>
      </c>
      <c r="C488" t="s">
        <v>2077</v>
      </c>
      <c r="D488" t="s">
        <v>51</v>
      </c>
      <c r="E488" t="s">
        <v>792</v>
      </c>
      <c r="F488" t="s">
        <v>2078</v>
      </c>
      <c r="G488" t="s">
        <v>1967</v>
      </c>
      <c r="H488" t="s">
        <v>2079</v>
      </c>
      <c r="I488">
        <v>3</v>
      </c>
    </row>
    <row r="489" spans="1:9" x14ac:dyDescent="0.3">
      <c r="A489">
        <v>488</v>
      </c>
      <c r="B489">
        <v>488</v>
      </c>
      <c r="C489" t="s">
        <v>2080</v>
      </c>
      <c r="D489" t="s">
        <v>10</v>
      </c>
      <c r="E489" t="s">
        <v>345</v>
      </c>
      <c r="F489" t="s">
        <v>2081</v>
      </c>
      <c r="G489" t="s">
        <v>2082</v>
      </c>
      <c r="H489" t="s">
        <v>2083</v>
      </c>
      <c r="I489" t="s">
        <v>2084</v>
      </c>
    </row>
    <row r="490" spans="1:9" x14ac:dyDescent="0.3">
      <c r="A490">
        <v>489</v>
      </c>
      <c r="B490">
        <v>489</v>
      </c>
      <c r="C490" t="s">
        <v>2085</v>
      </c>
      <c r="D490" t="s">
        <v>657</v>
      </c>
      <c r="E490" t="s">
        <v>345</v>
      </c>
      <c r="F490" t="s">
        <v>1212</v>
      </c>
      <c r="G490" t="s">
        <v>1286</v>
      </c>
      <c r="H490" t="s">
        <v>2086</v>
      </c>
      <c r="I490" t="s">
        <v>424</v>
      </c>
    </row>
    <row r="491" spans="1:9" x14ac:dyDescent="0.3">
      <c r="A491">
        <v>490</v>
      </c>
      <c r="B491">
        <v>490</v>
      </c>
      <c r="C491" t="s">
        <v>2087</v>
      </c>
      <c r="D491" t="s">
        <v>51</v>
      </c>
      <c r="E491" t="s">
        <v>58</v>
      </c>
      <c r="F491" t="s">
        <v>2088</v>
      </c>
      <c r="G491" t="s">
        <v>1137</v>
      </c>
      <c r="H491" t="s">
        <v>2089</v>
      </c>
      <c r="I491" t="s">
        <v>2090</v>
      </c>
    </row>
    <row r="492" spans="1:9" x14ac:dyDescent="0.3">
      <c r="A492">
        <v>491</v>
      </c>
      <c r="B492">
        <v>491</v>
      </c>
      <c r="C492" t="s">
        <v>2091</v>
      </c>
      <c r="D492" t="s">
        <v>51</v>
      </c>
      <c r="E492" t="s">
        <v>58</v>
      </c>
      <c r="F492" t="s">
        <v>1827</v>
      </c>
      <c r="G492" t="s">
        <v>2092</v>
      </c>
      <c r="H492" t="s">
        <v>2093</v>
      </c>
      <c r="I492" t="s">
        <v>568</v>
      </c>
    </row>
    <row r="493" spans="1:9" x14ac:dyDescent="0.3">
      <c r="A493">
        <v>492</v>
      </c>
      <c r="B493">
        <v>492</v>
      </c>
      <c r="C493" t="s">
        <v>2094</v>
      </c>
      <c r="D493" t="s">
        <v>51</v>
      </c>
      <c r="E493" t="s">
        <v>52</v>
      </c>
      <c r="F493" t="s">
        <v>2095</v>
      </c>
      <c r="G493" t="s">
        <v>2096</v>
      </c>
      <c r="H493" t="s">
        <v>2097</v>
      </c>
      <c r="I493" t="s">
        <v>2098</v>
      </c>
    </row>
    <row r="494" spans="1:9" x14ac:dyDescent="0.3">
      <c r="A494">
        <v>493</v>
      </c>
      <c r="B494">
        <v>493</v>
      </c>
      <c r="C494" t="s">
        <v>2099</v>
      </c>
      <c r="D494" t="s">
        <v>10</v>
      </c>
      <c r="E494" t="s">
        <v>23</v>
      </c>
      <c r="F494" t="s">
        <v>1354</v>
      </c>
      <c r="G494" t="s">
        <v>2100</v>
      </c>
      <c r="H494" t="s">
        <v>2101</v>
      </c>
      <c r="I494" t="s">
        <v>2102</v>
      </c>
    </row>
    <row r="495" spans="1:9" x14ac:dyDescent="0.3">
      <c r="A495">
        <v>494</v>
      </c>
      <c r="B495">
        <v>494</v>
      </c>
      <c r="C495" t="s">
        <v>2103</v>
      </c>
      <c r="D495" t="s">
        <v>35</v>
      </c>
      <c r="E495" t="s">
        <v>11</v>
      </c>
      <c r="F495" t="s">
        <v>2104</v>
      </c>
      <c r="G495" t="s">
        <v>2105</v>
      </c>
      <c r="H495" t="s">
        <v>2106</v>
      </c>
      <c r="I495" t="s">
        <v>2107</v>
      </c>
    </row>
    <row r="496" spans="1:9" x14ac:dyDescent="0.3">
      <c r="A496">
        <v>495</v>
      </c>
      <c r="B496">
        <v>495</v>
      </c>
      <c r="C496" t="s">
        <v>2108</v>
      </c>
      <c r="D496" t="s">
        <v>35</v>
      </c>
      <c r="E496" t="s">
        <v>345</v>
      </c>
      <c r="F496" t="s">
        <v>2109</v>
      </c>
      <c r="G496" t="s">
        <v>562</v>
      </c>
      <c r="H496" t="s">
        <v>1468</v>
      </c>
      <c r="I496" t="s">
        <v>2110</v>
      </c>
    </row>
    <row r="497" spans="1:9" x14ac:dyDescent="0.3">
      <c r="A497">
        <v>496</v>
      </c>
      <c r="B497">
        <v>496</v>
      </c>
      <c r="C497" t="s">
        <v>2111</v>
      </c>
      <c r="D497" t="s">
        <v>10</v>
      </c>
      <c r="E497" t="s">
        <v>23</v>
      </c>
      <c r="F497" t="s">
        <v>2112</v>
      </c>
      <c r="G497" t="s">
        <v>1038</v>
      </c>
      <c r="H497" t="s">
        <v>2113</v>
      </c>
      <c r="I497" t="s">
        <v>2051</v>
      </c>
    </row>
    <row r="498" spans="1:9" x14ac:dyDescent="0.3">
      <c r="A498">
        <v>497</v>
      </c>
      <c r="B498">
        <v>497</v>
      </c>
      <c r="C498" t="s">
        <v>2114</v>
      </c>
      <c r="D498" t="s">
        <v>657</v>
      </c>
      <c r="E498" t="s">
        <v>634</v>
      </c>
      <c r="F498" t="s">
        <v>2115</v>
      </c>
      <c r="G498" t="s">
        <v>1521</v>
      </c>
      <c r="H498" t="s">
        <v>762</v>
      </c>
      <c r="I498" t="s">
        <v>31</v>
      </c>
    </row>
    <row r="499" spans="1:9" x14ac:dyDescent="0.3">
      <c r="A499">
        <v>498</v>
      </c>
      <c r="B499">
        <v>498</v>
      </c>
      <c r="C499" t="s">
        <v>2116</v>
      </c>
      <c r="D499" t="s">
        <v>417</v>
      </c>
      <c r="E499" t="s">
        <v>29</v>
      </c>
      <c r="F499" t="s">
        <v>2117</v>
      </c>
      <c r="G499" t="s">
        <v>1345</v>
      </c>
      <c r="H499" t="s">
        <v>2118</v>
      </c>
      <c r="I499" t="s">
        <v>2119</v>
      </c>
    </row>
    <row r="500" spans="1:9" x14ac:dyDescent="0.3">
      <c r="A500">
        <v>499</v>
      </c>
      <c r="B500">
        <v>499</v>
      </c>
      <c r="C500" t="s">
        <v>2120</v>
      </c>
      <c r="D500" t="s">
        <v>51</v>
      </c>
      <c r="E500" t="s">
        <v>58</v>
      </c>
      <c r="F500" t="s">
        <v>2121</v>
      </c>
      <c r="G500" t="s">
        <v>1118</v>
      </c>
      <c r="H500" t="s">
        <v>2122</v>
      </c>
      <c r="I500" t="s">
        <v>2123</v>
      </c>
    </row>
    <row r="501" spans="1:9" x14ac:dyDescent="0.3">
      <c r="A501">
        <v>500</v>
      </c>
      <c r="B501">
        <v>500</v>
      </c>
      <c r="C501" t="s">
        <v>2124</v>
      </c>
      <c r="D501" t="s">
        <v>124</v>
      </c>
      <c r="E501" t="s">
        <v>11</v>
      </c>
      <c r="F501" t="s">
        <v>2125</v>
      </c>
      <c r="G501" t="s">
        <v>2063</v>
      </c>
      <c r="H501" t="s">
        <v>2126</v>
      </c>
      <c r="I501">
        <v>11</v>
      </c>
    </row>
    <row r="502" spans="1:9" x14ac:dyDescent="0.3">
      <c r="A502">
        <v>501</v>
      </c>
      <c r="B502">
        <v>501</v>
      </c>
      <c r="C502" t="s">
        <v>2127</v>
      </c>
      <c r="D502" t="s">
        <v>10</v>
      </c>
      <c r="E502" t="s">
        <v>510</v>
      </c>
      <c r="F502" t="s">
        <v>2128</v>
      </c>
      <c r="G502" t="s">
        <v>1399</v>
      </c>
      <c r="H502" t="s">
        <v>2129</v>
      </c>
      <c r="I502" t="s">
        <v>1590</v>
      </c>
    </row>
    <row r="503" spans="1:9" x14ac:dyDescent="0.3">
      <c r="A503">
        <v>502</v>
      </c>
      <c r="B503">
        <v>502</v>
      </c>
      <c r="C503" t="s">
        <v>2130</v>
      </c>
      <c r="D503" t="s">
        <v>10</v>
      </c>
      <c r="E503" t="s">
        <v>365</v>
      </c>
      <c r="F503" t="s">
        <v>2102</v>
      </c>
      <c r="G503" t="s">
        <v>933</v>
      </c>
      <c r="H503" t="s">
        <v>818</v>
      </c>
      <c r="I503" t="s">
        <v>2131</v>
      </c>
    </row>
    <row r="504" spans="1:9" x14ac:dyDescent="0.3">
      <c r="A504">
        <v>503</v>
      </c>
      <c r="B504">
        <v>503</v>
      </c>
      <c r="C504" t="s">
        <v>2132</v>
      </c>
      <c r="D504" t="s">
        <v>10</v>
      </c>
      <c r="E504" t="s">
        <v>11</v>
      </c>
      <c r="F504" t="s">
        <v>196</v>
      </c>
      <c r="G504" t="s">
        <v>1364</v>
      </c>
      <c r="H504" t="s">
        <v>2133</v>
      </c>
      <c r="I504" t="s">
        <v>2134</v>
      </c>
    </row>
    <row r="505" spans="1:9" x14ac:dyDescent="0.3">
      <c r="A505">
        <v>504</v>
      </c>
      <c r="B505">
        <v>504</v>
      </c>
      <c r="C505" t="s">
        <v>2135</v>
      </c>
      <c r="D505" t="s">
        <v>51</v>
      </c>
      <c r="E505" t="s">
        <v>58</v>
      </c>
      <c r="F505" t="s">
        <v>2136</v>
      </c>
      <c r="G505" t="s">
        <v>2042</v>
      </c>
      <c r="H505" t="s">
        <v>2137</v>
      </c>
      <c r="I505" t="s">
        <v>2138</v>
      </c>
    </row>
    <row r="506" spans="1:9" x14ac:dyDescent="0.3">
      <c r="A506">
        <v>505</v>
      </c>
      <c r="B506">
        <v>505</v>
      </c>
      <c r="C506" t="s">
        <v>2139</v>
      </c>
      <c r="D506" t="s">
        <v>205</v>
      </c>
      <c r="E506" t="s">
        <v>11</v>
      </c>
      <c r="F506" t="s">
        <v>496</v>
      </c>
      <c r="G506" t="s">
        <v>2140</v>
      </c>
      <c r="H506" t="s">
        <v>2141</v>
      </c>
      <c r="I506" t="s">
        <v>2142</v>
      </c>
    </row>
    <row r="507" spans="1:9" x14ac:dyDescent="0.3">
      <c r="A507">
        <v>506</v>
      </c>
      <c r="B507">
        <v>506</v>
      </c>
      <c r="C507" t="s">
        <v>2143</v>
      </c>
      <c r="D507" t="s">
        <v>10</v>
      </c>
      <c r="E507" t="s">
        <v>510</v>
      </c>
      <c r="F507" t="s">
        <v>1964</v>
      </c>
      <c r="G507" t="s">
        <v>1510</v>
      </c>
      <c r="H507" t="s">
        <v>2144</v>
      </c>
      <c r="I507" t="s">
        <v>2145</v>
      </c>
    </row>
    <row r="508" spans="1:9" x14ac:dyDescent="0.3">
      <c r="A508">
        <v>507</v>
      </c>
      <c r="B508">
        <v>507</v>
      </c>
      <c r="C508" t="s">
        <v>2146</v>
      </c>
      <c r="D508" t="s">
        <v>10</v>
      </c>
      <c r="E508" t="s">
        <v>130</v>
      </c>
      <c r="F508" t="s">
        <v>2147</v>
      </c>
      <c r="G508" t="s">
        <v>1123</v>
      </c>
      <c r="H508" t="s">
        <v>257</v>
      </c>
      <c r="I508" t="s">
        <v>2148</v>
      </c>
    </row>
    <row r="509" spans="1:9" x14ac:dyDescent="0.3">
      <c r="A509">
        <v>508</v>
      </c>
      <c r="B509">
        <v>508</v>
      </c>
      <c r="C509" t="s">
        <v>2149</v>
      </c>
      <c r="D509" t="s">
        <v>417</v>
      </c>
      <c r="E509" t="s">
        <v>11</v>
      </c>
      <c r="F509" t="s">
        <v>223</v>
      </c>
      <c r="G509" t="s">
        <v>1068</v>
      </c>
      <c r="H509" t="s">
        <v>2150</v>
      </c>
      <c r="I509" t="s">
        <v>2151</v>
      </c>
    </row>
    <row r="510" spans="1:9" x14ac:dyDescent="0.3">
      <c r="A510">
        <v>509</v>
      </c>
      <c r="B510">
        <v>509</v>
      </c>
      <c r="C510" t="s">
        <v>2152</v>
      </c>
      <c r="D510" t="s">
        <v>1679</v>
      </c>
      <c r="E510" t="s">
        <v>151</v>
      </c>
      <c r="F510" t="s">
        <v>2153</v>
      </c>
      <c r="G510" t="s">
        <v>1098</v>
      </c>
      <c r="H510" t="s">
        <v>2154</v>
      </c>
      <c r="I510" t="s">
        <v>2155</v>
      </c>
    </row>
    <row r="511" spans="1:9" x14ac:dyDescent="0.3">
      <c r="A511">
        <v>510</v>
      </c>
      <c r="B511">
        <v>510</v>
      </c>
      <c r="C511" t="s">
        <v>2156</v>
      </c>
      <c r="D511" t="s">
        <v>417</v>
      </c>
      <c r="E511" t="s">
        <v>29</v>
      </c>
      <c r="F511" t="s">
        <v>2157</v>
      </c>
      <c r="G511" t="s">
        <v>1089</v>
      </c>
      <c r="H511" t="s">
        <v>2158</v>
      </c>
      <c r="I511" t="s">
        <v>955</v>
      </c>
    </row>
    <row r="512" spans="1:9" x14ac:dyDescent="0.3">
      <c r="A512">
        <v>511</v>
      </c>
      <c r="B512">
        <v>511</v>
      </c>
      <c r="C512" t="s">
        <v>2159</v>
      </c>
      <c r="D512" t="s">
        <v>124</v>
      </c>
      <c r="E512" t="s">
        <v>23</v>
      </c>
      <c r="F512" t="s">
        <v>2160</v>
      </c>
      <c r="G512" t="s">
        <v>1098</v>
      </c>
      <c r="H512" t="s">
        <v>2161</v>
      </c>
      <c r="I512" t="s">
        <v>2162</v>
      </c>
    </row>
    <row r="513" spans="1:9" x14ac:dyDescent="0.3">
      <c r="A513">
        <v>512</v>
      </c>
      <c r="B513">
        <v>512</v>
      </c>
      <c r="C513" t="s">
        <v>2163</v>
      </c>
      <c r="D513" t="s">
        <v>10</v>
      </c>
      <c r="E513" t="s">
        <v>726</v>
      </c>
      <c r="F513" t="s">
        <v>2164</v>
      </c>
      <c r="G513" t="s">
        <v>562</v>
      </c>
      <c r="H513" t="s">
        <v>2027</v>
      </c>
      <c r="I513" t="s">
        <v>924</v>
      </c>
    </row>
    <row r="514" spans="1:9" x14ac:dyDescent="0.3">
      <c r="A514">
        <v>513</v>
      </c>
      <c r="B514">
        <v>513</v>
      </c>
      <c r="C514" t="s">
        <v>2165</v>
      </c>
      <c r="D514" t="s">
        <v>35</v>
      </c>
      <c r="E514" t="s">
        <v>243</v>
      </c>
      <c r="F514" t="s">
        <v>2166</v>
      </c>
      <c r="G514" t="s">
        <v>1568</v>
      </c>
      <c r="H514" t="s">
        <v>311</v>
      </c>
      <c r="I514" t="s">
        <v>2167</v>
      </c>
    </row>
    <row r="515" spans="1:9" x14ac:dyDescent="0.3">
      <c r="A515">
        <v>514</v>
      </c>
      <c r="B515">
        <v>514</v>
      </c>
      <c r="C515" t="s">
        <v>2168</v>
      </c>
      <c r="D515" t="s">
        <v>10</v>
      </c>
      <c r="E515" t="s">
        <v>64</v>
      </c>
      <c r="F515" t="s">
        <v>2169</v>
      </c>
      <c r="G515" t="s">
        <v>1474</v>
      </c>
      <c r="H515" t="s">
        <v>1063</v>
      </c>
      <c r="I515" t="s">
        <v>2170</v>
      </c>
    </row>
    <row r="516" spans="1:9" x14ac:dyDescent="0.3">
      <c r="A516">
        <v>515</v>
      </c>
      <c r="B516">
        <v>515</v>
      </c>
      <c r="C516" t="s">
        <v>2171</v>
      </c>
      <c r="D516" t="s">
        <v>2172</v>
      </c>
      <c r="E516" t="s">
        <v>11</v>
      </c>
      <c r="F516" t="s">
        <v>2173</v>
      </c>
      <c r="G516" t="s">
        <v>1949</v>
      </c>
      <c r="H516" t="s">
        <v>2174</v>
      </c>
      <c r="I516" t="s">
        <v>2175</v>
      </c>
    </row>
    <row r="517" spans="1:9" x14ac:dyDescent="0.3">
      <c r="A517">
        <v>516</v>
      </c>
      <c r="B517">
        <v>516</v>
      </c>
      <c r="C517" t="s">
        <v>2176</v>
      </c>
      <c r="D517" t="s">
        <v>35</v>
      </c>
      <c r="E517" t="s">
        <v>130</v>
      </c>
      <c r="F517" t="s">
        <v>2177</v>
      </c>
      <c r="G517" t="s">
        <v>1322</v>
      </c>
      <c r="H517" t="s">
        <v>2178</v>
      </c>
      <c r="I517" t="s">
        <v>2179</v>
      </c>
    </row>
    <row r="518" spans="1:9" x14ac:dyDescent="0.3">
      <c r="A518">
        <v>517</v>
      </c>
      <c r="B518">
        <v>517</v>
      </c>
      <c r="C518" t="s">
        <v>2180</v>
      </c>
      <c r="D518" t="s">
        <v>452</v>
      </c>
      <c r="E518" t="s">
        <v>11</v>
      </c>
      <c r="F518" t="s">
        <v>1878</v>
      </c>
      <c r="G518" t="s">
        <v>2140</v>
      </c>
      <c r="H518" t="s">
        <v>2181</v>
      </c>
      <c r="I518" t="s">
        <v>2182</v>
      </c>
    </row>
    <row r="519" spans="1:9" x14ac:dyDescent="0.3">
      <c r="A519">
        <v>518</v>
      </c>
      <c r="B519">
        <v>518</v>
      </c>
      <c r="C519" t="s">
        <v>2183</v>
      </c>
      <c r="D519" t="s">
        <v>124</v>
      </c>
      <c r="E519" t="s">
        <v>52</v>
      </c>
      <c r="F519" t="s">
        <v>2184</v>
      </c>
      <c r="G519" t="s">
        <v>1137</v>
      </c>
      <c r="H519" t="s">
        <v>2185</v>
      </c>
      <c r="I519" t="s">
        <v>2186</v>
      </c>
    </row>
    <row r="520" spans="1:9" x14ac:dyDescent="0.3">
      <c r="A520">
        <v>519</v>
      </c>
      <c r="B520">
        <v>519</v>
      </c>
      <c r="C520" t="s">
        <v>2187</v>
      </c>
      <c r="D520" t="s">
        <v>10</v>
      </c>
      <c r="E520" t="s">
        <v>345</v>
      </c>
      <c r="F520" t="s">
        <v>2188</v>
      </c>
      <c r="G520" t="s">
        <v>2042</v>
      </c>
      <c r="H520" t="s">
        <v>2189</v>
      </c>
      <c r="I520" t="s">
        <v>2190</v>
      </c>
    </row>
    <row r="521" spans="1:9" x14ac:dyDescent="0.3">
      <c r="A521">
        <v>520</v>
      </c>
      <c r="B521">
        <v>520</v>
      </c>
      <c r="C521" t="s">
        <v>2191</v>
      </c>
      <c r="D521" t="s">
        <v>10</v>
      </c>
      <c r="E521" t="s">
        <v>11</v>
      </c>
      <c r="F521" t="s">
        <v>2192</v>
      </c>
      <c r="G521" t="s">
        <v>1949</v>
      </c>
      <c r="H521" t="s">
        <v>2193</v>
      </c>
      <c r="I521" t="s">
        <v>1327</v>
      </c>
    </row>
    <row r="522" spans="1:9" x14ac:dyDescent="0.3">
      <c r="A522">
        <v>521</v>
      </c>
      <c r="B522">
        <v>521</v>
      </c>
      <c r="C522" t="s">
        <v>2194</v>
      </c>
      <c r="D522" t="s">
        <v>10</v>
      </c>
      <c r="E522" t="s">
        <v>715</v>
      </c>
      <c r="F522" t="s">
        <v>2195</v>
      </c>
      <c r="G522" t="s">
        <v>915</v>
      </c>
      <c r="H522" t="s">
        <v>1645</v>
      </c>
      <c r="I522" t="s">
        <v>1053</v>
      </c>
    </row>
    <row r="523" spans="1:9" x14ac:dyDescent="0.3">
      <c r="A523">
        <v>522</v>
      </c>
      <c r="B523">
        <v>522</v>
      </c>
      <c r="C523" t="s">
        <v>2196</v>
      </c>
      <c r="D523" t="s">
        <v>1617</v>
      </c>
      <c r="E523" t="s">
        <v>58</v>
      </c>
      <c r="F523" t="s">
        <v>2197</v>
      </c>
      <c r="G523" t="s">
        <v>1268</v>
      </c>
      <c r="H523" t="s">
        <v>2198</v>
      </c>
      <c r="I523" t="s">
        <v>2199</v>
      </c>
    </row>
    <row r="524" spans="1:9" x14ac:dyDescent="0.3">
      <c r="A524">
        <v>523</v>
      </c>
      <c r="B524">
        <v>523</v>
      </c>
      <c r="C524" t="s">
        <v>2200</v>
      </c>
      <c r="D524" t="s">
        <v>205</v>
      </c>
      <c r="E524" t="s">
        <v>560</v>
      </c>
      <c r="F524" t="s">
        <v>2201</v>
      </c>
      <c r="G524" t="s">
        <v>1118</v>
      </c>
      <c r="H524" t="s">
        <v>2202</v>
      </c>
      <c r="I524" t="s">
        <v>2203</v>
      </c>
    </row>
    <row r="525" spans="1:9" x14ac:dyDescent="0.3">
      <c r="A525">
        <v>524</v>
      </c>
      <c r="B525">
        <v>524</v>
      </c>
      <c r="C525" t="s">
        <v>2204</v>
      </c>
      <c r="D525" t="s">
        <v>51</v>
      </c>
      <c r="E525" t="s">
        <v>98</v>
      </c>
      <c r="F525" t="s">
        <v>2205</v>
      </c>
      <c r="G525" t="s">
        <v>2206</v>
      </c>
      <c r="H525" t="s">
        <v>2207</v>
      </c>
      <c r="I525" t="s">
        <v>2208</v>
      </c>
    </row>
    <row r="526" spans="1:9" x14ac:dyDescent="0.3">
      <c r="A526">
        <v>525</v>
      </c>
      <c r="B526">
        <v>525</v>
      </c>
      <c r="C526" t="s">
        <v>2209</v>
      </c>
      <c r="D526" t="s">
        <v>10</v>
      </c>
      <c r="E526" t="s">
        <v>687</v>
      </c>
      <c r="F526" t="s">
        <v>1904</v>
      </c>
      <c r="G526" t="s">
        <v>2100</v>
      </c>
      <c r="H526" t="s">
        <v>2210</v>
      </c>
      <c r="I526" t="s">
        <v>66</v>
      </c>
    </row>
    <row r="527" spans="1:9" x14ac:dyDescent="0.3">
      <c r="A527">
        <v>526</v>
      </c>
      <c r="B527">
        <v>526</v>
      </c>
      <c r="C527" t="s">
        <v>2211</v>
      </c>
      <c r="D527" t="s">
        <v>10</v>
      </c>
      <c r="E527" t="s">
        <v>17</v>
      </c>
      <c r="F527" t="s">
        <v>2117</v>
      </c>
      <c r="G527" t="s">
        <v>1521</v>
      </c>
      <c r="H527" t="s">
        <v>2212</v>
      </c>
      <c r="I527" t="s">
        <v>2213</v>
      </c>
    </row>
    <row r="528" spans="1:9" x14ac:dyDescent="0.3">
      <c r="A528">
        <v>527</v>
      </c>
      <c r="B528">
        <v>527</v>
      </c>
      <c r="C528" t="s">
        <v>2214</v>
      </c>
      <c r="D528" t="s">
        <v>737</v>
      </c>
      <c r="E528" t="s">
        <v>58</v>
      </c>
      <c r="F528" t="s">
        <v>1286</v>
      </c>
      <c r="G528" t="s">
        <v>387</v>
      </c>
      <c r="H528" t="s">
        <v>2215</v>
      </c>
      <c r="I528" t="s">
        <v>2216</v>
      </c>
    </row>
    <row r="529" spans="1:9" x14ac:dyDescent="0.3">
      <c r="A529">
        <v>528</v>
      </c>
      <c r="B529">
        <v>528</v>
      </c>
      <c r="C529" t="s">
        <v>2217</v>
      </c>
      <c r="D529" t="s">
        <v>51</v>
      </c>
      <c r="E529" t="s">
        <v>232</v>
      </c>
      <c r="F529" t="s">
        <v>2218</v>
      </c>
      <c r="G529" t="s">
        <v>1577</v>
      </c>
      <c r="H529" t="s">
        <v>2219</v>
      </c>
      <c r="I529" t="s">
        <v>1945</v>
      </c>
    </row>
    <row r="530" spans="1:9" x14ac:dyDescent="0.3">
      <c r="A530">
        <v>529</v>
      </c>
      <c r="B530">
        <v>529</v>
      </c>
      <c r="C530" t="s">
        <v>2220</v>
      </c>
      <c r="D530" t="s">
        <v>76</v>
      </c>
      <c r="E530" t="s">
        <v>464</v>
      </c>
      <c r="F530" t="s">
        <v>2221</v>
      </c>
      <c r="G530" t="s">
        <v>2222</v>
      </c>
      <c r="H530" t="s">
        <v>2223</v>
      </c>
      <c r="I530" t="s">
        <v>2224</v>
      </c>
    </row>
    <row r="531" spans="1:9" x14ac:dyDescent="0.3">
      <c r="A531">
        <v>530</v>
      </c>
      <c r="B531">
        <v>530</v>
      </c>
      <c r="C531" t="s">
        <v>2225</v>
      </c>
      <c r="D531" t="s">
        <v>216</v>
      </c>
      <c r="E531" t="s">
        <v>345</v>
      </c>
      <c r="F531" t="s">
        <v>2226</v>
      </c>
      <c r="G531" t="s">
        <v>1111</v>
      </c>
      <c r="H531" t="s">
        <v>1076</v>
      </c>
      <c r="I531" t="s">
        <v>1663</v>
      </c>
    </row>
    <row r="532" spans="1:9" x14ac:dyDescent="0.3">
      <c r="A532">
        <v>531</v>
      </c>
      <c r="B532">
        <v>531</v>
      </c>
      <c r="C532" t="s">
        <v>2227</v>
      </c>
      <c r="D532" t="s">
        <v>10</v>
      </c>
      <c r="E532" t="s">
        <v>687</v>
      </c>
      <c r="F532" t="s">
        <v>2228</v>
      </c>
      <c r="G532" t="s">
        <v>1340</v>
      </c>
      <c r="H532" t="s">
        <v>2229</v>
      </c>
      <c r="I532" t="s">
        <v>1047</v>
      </c>
    </row>
    <row r="533" spans="1:9" x14ac:dyDescent="0.3">
      <c r="A533">
        <v>532</v>
      </c>
      <c r="B533">
        <v>532</v>
      </c>
      <c r="C533" t="s">
        <v>2230</v>
      </c>
      <c r="D533" t="s">
        <v>51</v>
      </c>
      <c r="E533" t="s">
        <v>52</v>
      </c>
      <c r="F533" t="s">
        <v>2231</v>
      </c>
      <c r="G533" t="s">
        <v>1474</v>
      </c>
      <c r="H533" t="s">
        <v>2232</v>
      </c>
      <c r="I533" t="s">
        <v>2233</v>
      </c>
    </row>
    <row r="534" spans="1:9" x14ac:dyDescent="0.3">
      <c r="A534">
        <v>533</v>
      </c>
      <c r="B534">
        <v>533</v>
      </c>
      <c r="C534" t="s">
        <v>2234</v>
      </c>
      <c r="D534" t="s">
        <v>216</v>
      </c>
      <c r="E534" t="s">
        <v>29</v>
      </c>
      <c r="F534" t="s">
        <v>907</v>
      </c>
      <c r="G534" t="s">
        <v>809</v>
      </c>
      <c r="H534" t="s">
        <v>2029</v>
      </c>
      <c r="I534" t="s">
        <v>1279</v>
      </c>
    </row>
    <row r="535" spans="1:9" x14ac:dyDescent="0.3">
      <c r="A535">
        <v>534</v>
      </c>
      <c r="B535">
        <v>534</v>
      </c>
      <c r="C535" t="s">
        <v>2235</v>
      </c>
      <c r="D535" t="s">
        <v>51</v>
      </c>
      <c r="E535" t="s">
        <v>243</v>
      </c>
      <c r="F535" t="s">
        <v>2236</v>
      </c>
      <c r="G535" t="s">
        <v>1949</v>
      </c>
      <c r="H535" t="s">
        <v>1926</v>
      </c>
      <c r="I535" t="s">
        <v>2002</v>
      </c>
    </row>
    <row r="536" spans="1:9" x14ac:dyDescent="0.3">
      <c r="A536">
        <v>535</v>
      </c>
      <c r="B536">
        <v>535</v>
      </c>
      <c r="C536" t="s">
        <v>2237</v>
      </c>
      <c r="D536" t="s">
        <v>10</v>
      </c>
      <c r="E536" t="s">
        <v>23</v>
      </c>
      <c r="F536" t="s">
        <v>2238</v>
      </c>
      <c r="G536" t="s">
        <v>2239</v>
      </c>
      <c r="H536" t="s">
        <v>2240</v>
      </c>
      <c r="I536" t="s">
        <v>1471</v>
      </c>
    </row>
    <row r="537" spans="1:9" x14ac:dyDescent="0.3">
      <c r="A537">
        <v>536</v>
      </c>
      <c r="B537">
        <v>536</v>
      </c>
      <c r="C537" t="s">
        <v>2241</v>
      </c>
      <c r="D537" t="s">
        <v>10</v>
      </c>
      <c r="E537" t="s">
        <v>634</v>
      </c>
      <c r="F537" t="s">
        <v>2242</v>
      </c>
      <c r="G537" t="s">
        <v>2042</v>
      </c>
      <c r="H537" t="s">
        <v>1588</v>
      </c>
      <c r="I537" t="s">
        <v>2243</v>
      </c>
    </row>
    <row r="538" spans="1:9" x14ac:dyDescent="0.3">
      <c r="A538">
        <v>537</v>
      </c>
      <c r="B538">
        <v>537</v>
      </c>
      <c r="C538" t="s">
        <v>2244</v>
      </c>
      <c r="D538" t="s">
        <v>51</v>
      </c>
      <c r="E538" t="s">
        <v>726</v>
      </c>
      <c r="F538" t="s">
        <v>2245</v>
      </c>
      <c r="G538" t="s">
        <v>1335</v>
      </c>
      <c r="H538" t="s">
        <v>2246</v>
      </c>
      <c r="I538" t="s">
        <v>2147</v>
      </c>
    </row>
    <row r="539" spans="1:9" x14ac:dyDescent="0.3">
      <c r="A539">
        <v>538</v>
      </c>
      <c r="B539">
        <v>538</v>
      </c>
      <c r="C539" t="s">
        <v>2247</v>
      </c>
      <c r="D539" t="s">
        <v>51</v>
      </c>
      <c r="E539" t="s">
        <v>98</v>
      </c>
      <c r="F539" t="s">
        <v>2248</v>
      </c>
      <c r="G539" t="s">
        <v>2249</v>
      </c>
      <c r="H539" t="s">
        <v>2250</v>
      </c>
      <c r="I539" t="s">
        <v>2025</v>
      </c>
    </row>
    <row r="540" spans="1:9" x14ac:dyDescent="0.3">
      <c r="A540">
        <v>539</v>
      </c>
      <c r="B540">
        <v>539</v>
      </c>
      <c r="C540" t="s">
        <v>2251</v>
      </c>
      <c r="D540" t="s">
        <v>10</v>
      </c>
      <c r="E540" t="s">
        <v>64</v>
      </c>
      <c r="F540" t="s">
        <v>2252</v>
      </c>
      <c r="G540" t="s">
        <v>1038</v>
      </c>
      <c r="H540" t="s">
        <v>2210</v>
      </c>
      <c r="I540" t="s">
        <v>2253</v>
      </c>
    </row>
    <row r="541" spans="1:9" x14ac:dyDescent="0.3">
      <c r="A541">
        <v>540</v>
      </c>
      <c r="B541">
        <v>540</v>
      </c>
      <c r="C541" t="s">
        <v>2254</v>
      </c>
      <c r="D541" t="s">
        <v>70</v>
      </c>
      <c r="E541" t="s">
        <v>706</v>
      </c>
      <c r="F541" t="s">
        <v>1214</v>
      </c>
      <c r="G541" t="s">
        <v>1967</v>
      </c>
      <c r="H541" t="s">
        <v>2226</v>
      </c>
      <c r="I541" t="s">
        <v>2255</v>
      </c>
    </row>
    <row r="542" spans="1:9" x14ac:dyDescent="0.3">
      <c r="A542">
        <v>541</v>
      </c>
      <c r="B542">
        <v>541</v>
      </c>
      <c r="C542" t="s">
        <v>2256</v>
      </c>
      <c r="D542" t="s">
        <v>10</v>
      </c>
      <c r="E542" t="s">
        <v>11</v>
      </c>
      <c r="F542" t="s">
        <v>1308</v>
      </c>
      <c r="G542" t="s">
        <v>1330</v>
      </c>
      <c r="H542" t="s">
        <v>2257</v>
      </c>
      <c r="I542" t="s">
        <v>2258</v>
      </c>
    </row>
    <row r="543" spans="1:9" x14ac:dyDescent="0.3">
      <c r="A543">
        <v>542</v>
      </c>
      <c r="B543">
        <v>542</v>
      </c>
      <c r="C543" t="s">
        <v>2259</v>
      </c>
      <c r="D543" t="s">
        <v>417</v>
      </c>
      <c r="E543" t="s">
        <v>58</v>
      </c>
      <c r="F543" t="s">
        <v>2260</v>
      </c>
      <c r="G543" t="s">
        <v>933</v>
      </c>
      <c r="H543" t="s">
        <v>1731</v>
      </c>
      <c r="I543" t="s">
        <v>2261</v>
      </c>
    </row>
    <row r="544" spans="1:9" x14ac:dyDescent="0.3">
      <c r="A544">
        <v>543</v>
      </c>
      <c r="B544">
        <v>543</v>
      </c>
      <c r="C544" t="s">
        <v>2262</v>
      </c>
      <c r="D544" t="s">
        <v>76</v>
      </c>
      <c r="E544" t="s">
        <v>130</v>
      </c>
      <c r="F544" t="s">
        <v>2263</v>
      </c>
      <c r="G544" t="s">
        <v>1128</v>
      </c>
      <c r="H544" t="s">
        <v>2201</v>
      </c>
      <c r="I544" t="s">
        <v>2147</v>
      </c>
    </row>
    <row r="545" spans="1:9" x14ac:dyDescent="0.3">
      <c r="A545">
        <v>544</v>
      </c>
      <c r="B545">
        <v>544</v>
      </c>
      <c r="C545" t="s">
        <v>2264</v>
      </c>
      <c r="D545" t="s">
        <v>51</v>
      </c>
      <c r="E545" t="s">
        <v>510</v>
      </c>
      <c r="F545" t="s">
        <v>2265</v>
      </c>
      <c r="G545" t="s">
        <v>1671</v>
      </c>
      <c r="H545" t="s">
        <v>1867</v>
      </c>
      <c r="I545" t="s">
        <v>2266</v>
      </c>
    </row>
    <row r="546" spans="1:9" x14ac:dyDescent="0.3">
      <c r="A546">
        <v>545</v>
      </c>
      <c r="B546">
        <v>545</v>
      </c>
      <c r="C546" t="s">
        <v>2267</v>
      </c>
      <c r="D546" t="s">
        <v>696</v>
      </c>
      <c r="E546" t="s">
        <v>98</v>
      </c>
      <c r="F546" t="s">
        <v>2268</v>
      </c>
      <c r="G546" t="s">
        <v>2269</v>
      </c>
      <c r="H546" t="s">
        <v>2270</v>
      </c>
      <c r="I546" t="s">
        <v>2271</v>
      </c>
    </row>
    <row r="547" spans="1:9" x14ac:dyDescent="0.3">
      <c r="A547">
        <v>546</v>
      </c>
      <c r="B547">
        <v>546</v>
      </c>
      <c r="C547" t="s">
        <v>2272</v>
      </c>
      <c r="D547" t="s">
        <v>608</v>
      </c>
      <c r="E547" t="s">
        <v>11</v>
      </c>
      <c r="F547" t="s">
        <v>1940</v>
      </c>
      <c r="G547" t="s">
        <v>1556</v>
      </c>
      <c r="H547" t="s">
        <v>2273</v>
      </c>
      <c r="I547" t="s">
        <v>2274</v>
      </c>
    </row>
    <row r="548" spans="1:9" x14ac:dyDescent="0.3">
      <c r="A548">
        <v>547</v>
      </c>
      <c r="B548">
        <v>547</v>
      </c>
      <c r="C548" t="s">
        <v>2275</v>
      </c>
      <c r="D548" t="s">
        <v>35</v>
      </c>
      <c r="E548" t="s">
        <v>464</v>
      </c>
      <c r="F548" t="s">
        <v>2276</v>
      </c>
      <c r="G548" t="s">
        <v>809</v>
      </c>
      <c r="H548" t="s">
        <v>2166</v>
      </c>
      <c r="I548" t="s">
        <v>1773</v>
      </c>
    </row>
    <row r="549" spans="1:9" x14ac:dyDescent="0.3">
      <c r="A549">
        <v>548</v>
      </c>
      <c r="B549">
        <v>548</v>
      </c>
      <c r="C549" t="s">
        <v>2277</v>
      </c>
      <c r="D549" t="s">
        <v>70</v>
      </c>
      <c r="E549" t="s">
        <v>243</v>
      </c>
      <c r="F549" t="s">
        <v>2278</v>
      </c>
      <c r="G549" t="s">
        <v>873</v>
      </c>
      <c r="H549" t="s">
        <v>2279</v>
      </c>
      <c r="I549" t="s">
        <v>1845</v>
      </c>
    </row>
    <row r="550" spans="1:9" x14ac:dyDescent="0.3">
      <c r="A550">
        <v>549</v>
      </c>
      <c r="B550">
        <v>549</v>
      </c>
      <c r="C550" t="s">
        <v>2280</v>
      </c>
      <c r="D550" t="s">
        <v>10</v>
      </c>
      <c r="E550" t="s">
        <v>726</v>
      </c>
      <c r="F550" t="s">
        <v>66</v>
      </c>
      <c r="G550" t="s">
        <v>915</v>
      </c>
      <c r="H550" t="s">
        <v>2182</v>
      </c>
      <c r="I550" t="s">
        <v>2266</v>
      </c>
    </row>
    <row r="551" spans="1:9" x14ac:dyDescent="0.3">
      <c r="A551">
        <v>550</v>
      </c>
      <c r="B551">
        <v>550</v>
      </c>
      <c r="C551" t="s">
        <v>2281</v>
      </c>
      <c r="D551" t="s">
        <v>10</v>
      </c>
      <c r="E551" t="s">
        <v>726</v>
      </c>
      <c r="F551" t="s">
        <v>2034</v>
      </c>
      <c r="G551" t="s">
        <v>2282</v>
      </c>
      <c r="H551" t="s">
        <v>2283</v>
      </c>
      <c r="I551" t="s">
        <v>1608</v>
      </c>
    </row>
    <row r="552" spans="1:9" x14ac:dyDescent="0.3">
      <c r="A552">
        <v>551</v>
      </c>
      <c r="B552">
        <v>551</v>
      </c>
      <c r="C552" t="s">
        <v>2284</v>
      </c>
      <c r="D552" t="s">
        <v>51</v>
      </c>
      <c r="E552" t="s">
        <v>634</v>
      </c>
      <c r="F552" t="s">
        <v>1291</v>
      </c>
      <c r="G552" t="s">
        <v>2285</v>
      </c>
      <c r="H552" t="s">
        <v>2286</v>
      </c>
      <c r="I552" t="s">
        <v>2287</v>
      </c>
    </row>
    <row r="553" spans="1:9" x14ac:dyDescent="0.3">
      <c r="A553">
        <v>552</v>
      </c>
      <c r="B553">
        <v>552</v>
      </c>
      <c r="C553" t="s">
        <v>2288</v>
      </c>
      <c r="D553" t="s">
        <v>205</v>
      </c>
      <c r="E553" t="s">
        <v>52</v>
      </c>
      <c r="F553" t="s">
        <v>2289</v>
      </c>
      <c r="G553" t="s">
        <v>2290</v>
      </c>
      <c r="H553" t="s">
        <v>2291</v>
      </c>
      <c r="I553" t="s">
        <v>1630</v>
      </c>
    </row>
    <row r="554" spans="1:9" x14ac:dyDescent="0.3">
      <c r="A554">
        <v>553</v>
      </c>
      <c r="B554">
        <v>553</v>
      </c>
      <c r="C554" t="s">
        <v>2292</v>
      </c>
      <c r="D554" t="s">
        <v>124</v>
      </c>
      <c r="E554" t="s">
        <v>345</v>
      </c>
      <c r="F554" t="s">
        <v>2118</v>
      </c>
      <c r="G554" t="s">
        <v>1506</v>
      </c>
      <c r="H554" t="s">
        <v>2293</v>
      </c>
      <c r="I554" t="s">
        <v>2294</v>
      </c>
    </row>
    <row r="555" spans="1:9" x14ac:dyDescent="0.3">
      <c r="A555">
        <v>554</v>
      </c>
      <c r="B555">
        <v>554</v>
      </c>
      <c r="C555" t="s">
        <v>2295</v>
      </c>
      <c r="D555" t="s">
        <v>1441</v>
      </c>
      <c r="E555" t="s">
        <v>58</v>
      </c>
      <c r="F555" t="s">
        <v>2041</v>
      </c>
      <c r="G555" t="s">
        <v>1563</v>
      </c>
      <c r="H555" t="s">
        <v>2296</v>
      </c>
      <c r="I555" t="s">
        <v>2297</v>
      </c>
    </row>
    <row r="556" spans="1:9" x14ac:dyDescent="0.3">
      <c r="A556">
        <v>555</v>
      </c>
      <c r="B556">
        <v>555</v>
      </c>
      <c r="C556" t="s">
        <v>2298</v>
      </c>
      <c r="D556" t="s">
        <v>10</v>
      </c>
      <c r="E556" t="s">
        <v>345</v>
      </c>
      <c r="F556" t="s">
        <v>1962</v>
      </c>
      <c r="G556" t="s">
        <v>1399</v>
      </c>
      <c r="H556">
        <v>13</v>
      </c>
      <c r="I556" t="s">
        <v>2299</v>
      </c>
    </row>
    <row r="557" spans="1:9" x14ac:dyDescent="0.3">
      <c r="A557">
        <v>556</v>
      </c>
      <c r="B557">
        <v>556</v>
      </c>
      <c r="C557" t="s">
        <v>2300</v>
      </c>
      <c r="D557" t="s">
        <v>10</v>
      </c>
      <c r="E557" t="s">
        <v>365</v>
      </c>
      <c r="F557" t="s">
        <v>2301</v>
      </c>
      <c r="G557" t="s">
        <v>1716</v>
      </c>
      <c r="H557" t="s">
        <v>2302</v>
      </c>
      <c r="I557" t="s">
        <v>2303</v>
      </c>
    </row>
    <row r="558" spans="1:9" x14ac:dyDescent="0.3">
      <c r="A558">
        <v>557</v>
      </c>
      <c r="B558">
        <v>557</v>
      </c>
      <c r="C558" t="s">
        <v>2304</v>
      </c>
      <c r="D558" t="s">
        <v>10</v>
      </c>
      <c r="E558" t="s">
        <v>23</v>
      </c>
      <c r="F558" t="s">
        <v>2305</v>
      </c>
      <c r="G558" t="s">
        <v>1089</v>
      </c>
      <c r="H558" t="s">
        <v>990</v>
      </c>
      <c r="I558" t="s">
        <v>1434</v>
      </c>
    </row>
    <row r="559" spans="1:9" x14ac:dyDescent="0.3">
      <c r="A559">
        <v>558</v>
      </c>
      <c r="B559">
        <v>558</v>
      </c>
      <c r="C559" t="s">
        <v>2306</v>
      </c>
      <c r="D559" t="s">
        <v>681</v>
      </c>
      <c r="E559" t="s">
        <v>141</v>
      </c>
      <c r="F559" t="s">
        <v>2253</v>
      </c>
      <c r="G559" t="s">
        <v>772</v>
      </c>
      <c r="H559" t="s">
        <v>245</v>
      </c>
      <c r="I559" t="s">
        <v>1141</v>
      </c>
    </row>
    <row r="560" spans="1:9" x14ac:dyDescent="0.3">
      <c r="A560">
        <v>559</v>
      </c>
      <c r="B560">
        <v>559</v>
      </c>
      <c r="C560" t="s">
        <v>2307</v>
      </c>
      <c r="D560" t="s">
        <v>104</v>
      </c>
      <c r="E560" t="s">
        <v>11</v>
      </c>
      <c r="F560" t="s">
        <v>748</v>
      </c>
      <c r="G560" t="s">
        <v>1995</v>
      </c>
      <c r="H560" t="s">
        <v>2308</v>
      </c>
      <c r="I560" t="s">
        <v>2032</v>
      </c>
    </row>
    <row r="561" spans="1:9" x14ac:dyDescent="0.3">
      <c r="A561">
        <v>560</v>
      </c>
      <c r="B561">
        <v>560</v>
      </c>
      <c r="C561" t="s">
        <v>2309</v>
      </c>
      <c r="D561" t="s">
        <v>124</v>
      </c>
      <c r="E561" t="s">
        <v>687</v>
      </c>
      <c r="F561" t="s">
        <v>2310</v>
      </c>
      <c r="G561" t="s">
        <v>1577</v>
      </c>
      <c r="H561" t="s">
        <v>2311</v>
      </c>
      <c r="I561" t="s">
        <v>2142</v>
      </c>
    </row>
    <row r="562" spans="1:9" x14ac:dyDescent="0.3">
      <c r="A562">
        <v>561</v>
      </c>
      <c r="B562">
        <v>561</v>
      </c>
      <c r="C562" t="s">
        <v>2312</v>
      </c>
      <c r="D562" t="s">
        <v>104</v>
      </c>
      <c r="E562" t="s">
        <v>98</v>
      </c>
      <c r="F562" t="s">
        <v>2313</v>
      </c>
      <c r="G562" t="s">
        <v>2314</v>
      </c>
      <c r="H562" t="s">
        <v>2315</v>
      </c>
      <c r="I562" t="s">
        <v>598</v>
      </c>
    </row>
    <row r="563" spans="1:9" x14ac:dyDescent="0.3">
      <c r="A563">
        <v>562</v>
      </c>
      <c r="B563">
        <v>562</v>
      </c>
      <c r="C563" t="s">
        <v>2316</v>
      </c>
      <c r="D563" t="s">
        <v>51</v>
      </c>
      <c r="E563" t="s">
        <v>510</v>
      </c>
      <c r="F563" t="s">
        <v>2317</v>
      </c>
      <c r="G563" t="s">
        <v>1967</v>
      </c>
      <c r="H563" t="s">
        <v>596</v>
      </c>
      <c r="I563" t="s">
        <v>2029</v>
      </c>
    </row>
    <row r="564" spans="1:9" x14ac:dyDescent="0.3">
      <c r="A564">
        <v>563</v>
      </c>
      <c r="B564">
        <v>563</v>
      </c>
      <c r="C564" t="s">
        <v>2318</v>
      </c>
      <c r="D564" t="s">
        <v>51</v>
      </c>
      <c r="E564" t="s">
        <v>11</v>
      </c>
      <c r="F564" t="s">
        <v>1224</v>
      </c>
      <c r="G564" t="s">
        <v>2319</v>
      </c>
      <c r="H564" t="s">
        <v>2320</v>
      </c>
      <c r="I564" t="s">
        <v>2321</v>
      </c>
    </row>
    <row r="565" spans="1:9" x14ac:dyDescent="0.3">
      <c r="A565">
        <v>564</v>
      </c>
      <c r="B565">
        <v>564</v>
      </c>
      <c r="C565" t="s">
        <v>2322</v>
      </c>
      <c r="D565" t="s">
        <v>35</v>
      </c>
      <c r="E565" t="s">
        <v>365</v>
      </c>
      <c r="F565">
        <v>3</v>
      </c>
      <c r="G565" t="s">
        <v>1510</v>
      </c>
      <c r="H565" t="s">
        <v>2323</v>
      </c>
      <c r="I565" t="s">
        <v>2324</v>
      </c>
    </row>
    <row r="566" spans="1:9" x14ac:dyDescent="0.3">
      <c r="A566">
        <v>565</v>
      </c>
      <c r="B566">
        <v>565</v>
      </c>
      <c r="C566" t="s">
        <v>2325</v>
      </c>
      <c r="D566" t="s">
        <v>401</v>
      </c>
      <c r="E566" t="s">
        <v>130</v>
      </c>
      <c r="F566" t="s">
        <v>2326</v>
      </c>
      <c r="G566" t="s">
        <v>1202</v>
      </c>
      <c r="H566" t="s">
        <v>818</v>
      </c>
      <c r="I566" t="s">
        <v>2327</v>
      </c>
    </row>
    <row r="567" spans="1:9" x14ac:dyDescent="0.3">
      <c r="A567">
        <v>566</v>
      </c>
      <c r="B567">
        <v>566</v>
      </c>
      <c r="C567" t="s">
        <v>2328</v>
      </c>
      <c r="D567" t="s">
        <v>2329</v>
      </c>
      <c r="E567" t="s">
        <v>11</v>
      </c>
      <c r="F567" t="s">
        <v>2330</v>
      </c>
      <c r="G567" t="s">
        <v>1286</v>
      </c>
      <c r="H567" t="s">
        <v>916</v>
      </c>
      <c r="I567" t="s">
        <v>1876</v>
      </c>
    </row>
    <row r="568" spans="1:9" x14ac:dyDescent="0.3">
      <c r="A568">
        <v>567</v>
      </c>
      <c r="B568">
        <v>567</v>
      </c>
      <c r="C568" t="s">
        <v>2331</v>
      </c>
      <c r="D568" t="s">
        <v>417</v>
      </c>
      <c r="E568" t="s">
        <v>365</v>
      </c>
      <c r="F568" t="s">
        <v>2332</v>
      </c>
      <c r="G568" t="s">
        <v>1111</v>
      </c>
      <c r="H568" t="s">
        <v>1684</v>
      </c>
      <c r="I568" t="s">
        <v>2333</v>
      </c>
    </row>
    <row r="569" spans="1:9" x14ac:dyDescent="0.3">
      <c r="A569">
        <v>568</v>
      </c>
      <c r="B569">
        <v>568</v>
      </c>
      <c r="C569" t="s">
        <v>2334</v>
      </c>
      <c r="D569" t="s">
        <v>10</v>
      </c>
      <c r="E569" t="s">
        <v>345</v>
      </c>
      <c r="F569" t="s">
        <v>1746</v>
      </c>
      <c r="G569" t="s">
        <v>1830</v>
      </c>
      <c r="H569" t="s">
        <v>2335</v>
      </c>
      <c r="I569" t="s">
        <v>2336</v>
      </c>
    </row>
    <row r="570" spans="1:9" x14ac:dyDescent="0.3">
      <c r="A570">
        <v>569</v>
      </c>
      <c r="B570">
        <v>569</v>
      </c>
      <c r="C570" t="s">
        <v>2337</v>
      </c>
      <c r="D570" t="s">
        <v>10</v>
      </c>
      <c r="E570" t="s">
        <v>706</v>
      </c>
      <c r="F570" t="s">
        <v>2338</v>
      </c>
      <c r="G570" t="s">
        <v>645</v>
      </c>
      <c r="H570" t="s">
        <v>2339</v>
      </c>
      <c r="I570" t="s">
        <v>1951</v>
      </c>
    </row>
    <row r="571" spans="1:9" x14ac:dyDescent="0.3">
      <c r="A571">
        <v>570</v>
      </c>
      <c r="B571">
        <v>570</v>
      </c>
      <c r="C571" t="s">
        <v>2340</v>
      </c>
      <c r="D571" t="s">
        <v>51</v>
      </c>
      <c r="E571" t="s">
        <v>64</v>
      </c>
      <c r="F571" t="s">
        <v>2341</v>
      </c>
      <c r="G571" t="s">
        <v>947</v>
      </c>
      <c r="H571" t="s">
        <v>2342</v>
      </c>
      <c r="I571" t="s">
        <v>1029</v>
      </c>
    </row>
    <row r="572" spans="1:9" x14ac:dyDescent="0.3">
      <c r="A572">
        <v>571</v>
      </c>
      <c r="B572">
        <v>571</v>
      </c>
      <c r="C572" t="s">
        <v>2343</v>
      </c>
      <c r="D572" t="s">
        <v>51</v>
      </c>
      <c r="E572" t="s">
        <v>52</v>
      </c>
      <c r="F572" t="s">
        <v>2344</v>
      </c>
      <c r="G572" t="s">
        <v>1202</v>
      </c>
      <c r="H572" t="s">
        <v>1531</v>
      </c>
      <c r="I572" t="s">
        <v>2345</v>
      </c>
    </row>
    <row r="573" spans="1:9" x14ac:dyDescent="0.3">
      <c r="A573">
        <v>572</v>
      </c>
      <c r="B573">
        <v>572</v>
      </c>
      <c r="C573" t="s">
        <v>2346</v>
      </c>
      <c r="D573" t="s">
        <v>124</v>
      </c>
      <c r="E573" t="s">
        <v>345</v>
      </c>
      <c r="F573" t="s">
        <v>2347</v>
      </c>
      <c r="G573" t="s">
        <v>2348</v>
      </c>
      <c r="H573" t="s">
        <v>1491</v>
      </c>
      <c r="I573" t="s">
        <v>2032</v>
      </c>
    </row>
    <row r="574" spans="1:9" x14ac:dyDescent="0.3">
      <c r="A574">
        <v>573</v>
      </c>
      <c r="B574">
        <v>573</v>
      </c>
      <c r="C574" t="s">
        <v>2349</v>
      </c>
      <c r="D574" t="s">
        <v>584</v>
      </c>
      <c r="E574" t="s">
        <v>29</v>
      </c>
      <c r="F574" t="s">
        <v>2350</v>
      </c>
      <c r="G574" t="s">
        <v>361</v>
      </c>
      <c r="H574" t="s">
        <v>1608</v>
      </c>
      <c r="I574" t="s">
        <v>2351</v>
      </c>
    </row>
    <row r="575" spans="1:9" x14ac:dyDescent="0.3">
      <c r="A575">
        <v>574</v>
      </c>
      <c r="B575">
        <v>574</v>
      </c>
      <c r="C575" t="s">
        <v>2352</v>
      </c>
      <c r="D575" t="s">
        <v>1441</v>
      </c>
      <c r="E575" t="s">
        <v>510</v>
      </c>
      <c r="F575" t="s">
        <v>2353</v>
      </c>
      <c r="G575" t="s">
        <v>1399</v>
      </c>
      <c r="H575" t="s">
        <v>2263</v>
      </c>
      <c r="I575" t="s">
        <v>1033</v>
      </c>
    </row>
    <row r="576" spans="1:9" x14ac:dyDescent="0.3">
      <c r="A576">
        <v>575</v>
      </c>
      <c r="B576">
        <v>575</v>
      </c>
      <c r="C576" t="s">
        <v>2354</v>
      </c>
      <c r="D576" t="s">
        <v>10</v>
      </c>
      <c r="E576" t="s">
        <v>345</v>
      </c>
      <c r="F576" t="s">
        <v>2355</v>
      </c>
      <c r="G576" t="s">
        <v>2140</v>
      </c>
      <c r="H576" t="s">
        <v>2356</v>
      </c>
      <c r="I576" t="s">
        <v>1962</v>
      </c>
    </row>
    <row r="577" spans="1:9" x14ac:dyDescent="0.3">
      <c r="A577">
        <v>576</v>
      </c>
      <c r="B577">
        <v>576</v>
      </c>
      <c r="C577" t="s">
        <v>2357</v>
      </c>
      <c r="D577" t="s">
        <v>10</v>
      </c>
      <c r="E577" t="s">
        <v>232</v>
      </c>
      <c r="F577" t="s">
        <v>212</v>
      </c>
      <c r="G577" t="s">
        <v>1568</v>
      </c>
      <c r="H577" t="s">
        <v>2358</v>
      </c>
      <c r="I577" t="s">
        <v>2359</v>
      </c>
    </row>
    <row r="578" spans="1:9" x14ac:dyDescent="0.3">
      <c r="A578">
        <v>577</v>
      </c>
      <c r="B578">
        <v>577</v>
      </c>
      <c r="C578" t="s">
        <v>2360</v>
      </c>
      <c r="D578" t="s">
        <v>76</v>
      </c>
      <c r="E578" t="s">
        <v>151</v>
      </c>
      <c r="F578" t="s">
        <v>1035</v>
      </c>
      <c r="G578" t="s">
        <v>2361</v>
      </c>
      <c r="H578" t="s">
        <v>2362</v>
      </c>
      <c r="I578" t="s">
        <v>803</v>
      </c>
    </row>
    <row r="579" spans="1:9" x14ac:dyDescent="0.3">
      <c r="A579">
        <v>578</v>
      </c>
      <c r="B579">
        <v>578</v>
      </c>
      <c r="C579" t="s">
        <v>2363</v>
      </c>
      <c r="D579" t="s">
        <v>2364</v>
      </c>
      <c r="E579" t="s">
        <v>11</v>
      </c>
      <c r="F579" t="s">
        <v>223</v>
      </c>
      <c r="G579" t="s">
        <v>1958</v>
      </c>
      <c r="H579" t="s">
        <v>2365</v>
      </c>
      <c r="I579" t="s">
        <v>2366</v>
      </c>
    </row>
    <row r="580" spans="1:9" x14ac:dyDescent="0.3">
      <c r="A580">
        <v>579</v>
      </c>
      <c r="B580">
        <v>579</v>
      </c>
      <c r="C580" t="s">
        <v>2367</v>
      </c>
      <c r="D580" t="s">
        <v>10</v>
      </c>
      <c r="E580" t="s">
        <v>510</v>
      </c>
      <c r="F580" t="s">
        <v>2109</v>
      </c>
      <c r="G580" t="s">
        <v>1335</v>
      </c>
      <c r="H580" t="s">
        <v>762</v>
      </c>
      <c r="I580" t="s">
        <v>1544</v>
      </c>
    </row>
    <row r="581" spans="1:9" x14ac:dyDescent="0.3">
      <c r="A581">
        <v>580</v>
      </c>
      <c r="B581">
        <v>580</v>
      </c>
      <c r="C581" t="s">
        <v>2368</v>
      </c>
      <c r="D581" t="s">
        <v>452</v>
      </c>
      <c r="E581" t="s">
        <v>464</v>
      </c>
      <c r="F581" t="s">
        <v>2202</v>
      </c>
      <c r="G581" t="s">
        <v>2369</v>
      </c>
      <c r="H581" t="s">
        <v>1816</v>
      </c>
      <c r="I581" t="s">
        <v>1207</v>
      </c>
    </row>
    <row r="582" spans="1:9" x14ac:dyDescent="0.3">
      <c r="A582">
        <v>581</v>
      </c>
      <c r="B582">
        <v>581</v>
      </c>
      <c r="C582" t="s">
        <v>2370</v>
      </c>
      <c r="D582" t="s">
        <v>35</v>
      </c>
      <c r="E582" t="s">
        <v>510</v>
      </c>
      <c r="F582" t="s">
        <v>2371</v>
      </c>
      <c r="G582" t="s">
        <v>1111</v>
      </c>
      <c r="H582" t="s">
        <v>2372</v>
      </c>
      <c r="I582" t="s">
        <v>1749</v>
      </c>
    </row>
    <row r="583" spans="1:9" x14ac:dyDescent="0.3">
      <c r="A583">
        <v>582</v>
      </c>
      <c r="B583">
        <v>582</v>
      </c>
      <c r="C583" t="s">
        <v>2373</v>
      </c>
      <c r="D583" t="s">
        <v>51</v>
      </c>
      <c r="E583" t="s">
        <v>58</v>
      </c>
      <c r="F583" t="s">
        <v>223</v>
      </c>
      <c r="G583" t="s">
        <v>2042</v>
      </c>
      <c r="H583" t="s">
        <v>2374</v>
      </c>
      <c r="I583" t="s">
        <v>990</v>
      </c>
    </row>
    <row r="584" spans="1:9" x14ac:dyDescent="0.3">
      <c r="A584">
        <v>583</v>
      </c>
      <c r="B584">
        <v>583</v>
      </c>
      <c r="C584" t="s">
        <v>2375</v>
      </c>
      <c r="D584" t="s">
        <v>35</v>
      </c>
      <c r="E584" t="s">
        <v>232</v>
      </c>
      <c r="F584" t="s">
        <v>1377</v>
      </c>
      <c r="G584" t="s">
        <v>2376</v>
      </c>
      <c r="H584" t="s">
        <v>585</v>
      </c>
      <c r="I584" t="s">
        <v>2377</v>
      </c>
    </row>
    <row r="585" spans="1:9" x14ac:dyDescent="0.3">
      <c r="A585">
        <v>584</v>
      </c>
      <c r="B585">
        <v>584</v>
      </c>
      <c r="C585" t="s">
        <v>2378</v>
      </c>
      <c r="D585" t="s">
        <v>124</v>
      </c>
      <c r="E585" t="s">
        <v>141</v>
      </c>
      <c r="F585" t="s">
        <v>2379</v>
      </c>
      <c r="G585" t="s">
        <v>506</v>
      </c>
      <c r="H585" t="s">
        <v>2380</v>
      </c>
      <c r="I585" t="s">
        <v>2381</v>
      </c>
    </row>
    <row r="586" spans="1:9" x14ac:dyDescent="0.3">
      <c r="A586">
        <v>585</v>
      </c>
      <c r="B586">
        <v>585</v>
      </c>
      <c r="C586" t="s">
        <v>2382</v>
      </c>
      <c r="D586" t="s">
        <v>10</v>
      </c>
      <c r="E586" t="s">
        <v>52</v>
      </c>
      <c r="F586" t="s">
        <v>2383</v>
      </c>
      <c r="G586" t="s">
        <v>397</v>
      </c>
      <c r="H586" t="s">
        <v>2384</v>
      </c>
      <c r="I586" t="s">
        <v>2385</v>
      </c>
    </row>
    <row r="587" spans="1:9" x14ac:dyDescent="0.3">
      <c r="A587">
        <v>586</v>
      </c>
      <c r="B587">
        <v>586</v>
      </c>
      <c r="C587" t="s">
        <v>2386</v>
      </c>
      <c r="D587" t="s">
        <v>51</v>
      </c>
      <c r="E587" t="s">
        <v>687</v>
      </c>
      <c r="F587" t="s">
        <v>2387</v>
      </c>
      <c r="G587" t="s">
        <v>2388</v>
      </c>
      <c r="H587" t="s">
        <v>2389</v>
      </c>
      <c r="I587" t="s">
        <v>2390</v>
      </c>
    </row>
    <row r="588" spans="1:9" x14ac:dyDescent="0.3">
      <c r="A588">
        <v>587</v>
      </c>
      <c r="B588">
        <v>587</v>
      </c>
      <c r="C588" t="s">
        <v>2391</v>
      </c>
      <c r="D588" t="s">
        <v>458</v>
      </c>
      <c r="E588" t="s">
        <v>634</v>
      </c>
      <c r="F588" t="s">
        <v>2392</v>
      </c>
      <c r="G588" t="s">
        <v>1521</v>
      </c>
      <c r="H588" t="s">
        <v>2393</v>
      </c>
      <c r="I588" t="s">
        <v>2394</v>
      </c>
    </row>
    <row r="589" spans="1:9" x14ac:dyDescent="0.3">
      <c r="A589">
        <v>588</v>
      </c>
      <c r="B589">
        <v>588</v>
      </c>
      <c r="C589" t="s">
        <v>2395</v>
      </c>
      <c r="D589" t="s">
        <v>51</v>
      </c>
      <c r="E589" t="s">
        <v>52</v>
      </c>
      <c r="F589" t="s">
        <v>66</v>
      </c>
      <c r="G589" t="s">
        <v>1716</v>
      </c>
      <c r="H589" t="s">
        <v>2396</v>
      </c>
      <c r="I589" t="s">
        <v>2397</v>
      </c>
    </row>
    <row r="590" spans="1:9" x14ac:dyDescent="0.3">
      <c r="A590">
        <v>589</v>
      </c>
      <c r="B590">
        <v>589</v>
      </c>
      <c r="C590" t="s">
        <v>2398</v>
      </c>
      <c r="D590" t="s">
        <v>1441</v>
      </c>
      <c r="E590" t="s">
        <v>29</v>
      </c>
      <c r="F590" t="s">
        <v>2399</v>
      </c>
      <c r="G590" t="s">
        <v>2369</v>
      </c>
      <c r="H590" t="s">
        <v>1544</v>
      </c>
      <c r="I590" t="s">
        <v>2400</v>
      </c>
    </row>
    <row r="591" spans="1:9" x14ac:dyDescent="0.3">
      <c r="A591">
        <v>590</v>
      </c>
      <c r="B591">
        <v>590</v>
      </c>
      <c r="C591" t="s">
        <v>2401</v>
      </c>
      <c r="D591" t="s">
        <v>10</v>
      </c>
      <c r="E591" t="s">
        <v>52</v>
      </c>
      <c r="F591" t="s">
        <v>1141</v>
      </c>
      <c r="G591" t="s">
        <v>1254</v>
      </c>
      <c r="H591" t="s">
        <v>1194</v>
      </c>
      <c r="I591" t="s">
        <v>471</v>
      </c>
    </row>
    <row r="592" spans="1:9" x14ac:dyDescent="0.3">
      <c r="A592">
        <v>591</v>
      </c>
      <c r="B592">
        <v>591</v>
      </c>
      <c r="C592" t="s">
        <v>2402</v>
      </c>
      <c r="D592" t="s">
        <v>2172</v>
      </c>
      <c r="E592" t="s">
        <v>345</v>
      </c>
      <c r="F592" t="s">
        <v>2403</v>
      </c>
      <c r="G592" t="s">
        <v>1335</v>
      </c>
      <c r="H592" t="s">
        <v>2404</v>
      </c>
      <c r="I592" t="s">
        <v>2405</v>
      </c>
    </row>
    <row r="593" spans="1:9" x14ac:dyDescent="0.3">
      <c r="A593">
        <v>592</v>
      </c>
      <c r="B593">
        <v>592</v>
      </c>
      <c r="C593" t="s">
        <v>2406</v>
      </c>
      <c r="D593" t="s">
        <v>297</v>
      </c>
      <c r="E593" t="s">
        <v>345</v>
      </c>
      <c r="F593" t="s">
        <v>2407</v>
      </c>
      <c r="G593" t="s">
        <v>891</v>
      </c>
      <c r="H593" t="s">
        <v>2301</v>
      </c>
      <c r="I593" t="s">
        <v>2408</v>
      </c>
    </row>
    <row r="594" spans="1:9" x14ac:dyDescent="0.3">
      <c r="A594">
        <v>593</v>
      </c>
      <c r="B594">
        <v>593</v>
      </c>
      <c r="C594" t="s">
        <v>2409</v>
      </c>
      <c r="D594" t="s">
        <v>70</v>
      </c>
      <c r="E594" t="s">
        <v>510</v>
      </c>
      <c r="F594" t="s">
        <v>2397</v>
      </c>
      <c r="G594" t="s">
        <v>1335</v>
      </c>
      <c r="H594" t="s">
        <v>1283</v>
      </c>
      <c r="I594" t="s">
        <v>2236</v>
      </c>
    </row>
    <row r="595" spans="1:9" x14ac:dyDescent="0.3">
      <c r="A595">
        <v>594</v>
      </c>
      <c r="B595">
        <v>594</v>
      </c>
      <c r="C595" t="s">
        <v>2410</v>
      </c>
      <c r="D595" t="s">
        <v>452</v>
      </c>
      <c r="E595" t="s">
        <v>464</v>
      </c>
      <c r="F595" t="s">
        <v>2411</v>
      </c>
      <c r="G595" t="s">
        <v>933</v>
      </c>
      <c r="H595" t="s">
        <v>2412</v>
      </c>
      <c r="I595" t="s">
        <v>2413</v>
      </c>
    </row>
    <row r="596" spans="1:9" x14ac:dyDescent="0.3">
      <c r="A596">
        <v>595</v>
      </c>
      <c r="B596">
        <v>595</v>
      </c>
      <c r="C596" t="s">
        <v>2414</v>
      </c>
      <c r="D596" t="s">
        <v>2415</v>
      </c>
      <c r="E596" t="s">
        <v>634</v>
      </c>
      <c r="F596" t="s">
        <v>2416</v>
      </c>
      <c r="G596" t="s">
        <v>2417</v>
      </c>
      <c r="H596" t="s">
        <v>2418</v>
      </c>
      <c r="I596" t="s">
        <v>1018</v>
      </c>
    </row>
    <row r="597" spans="1:9" x14ac:dyDescent="0.3">
      <c r="A597">
        <v>596</v>
      </c>
      <c r="B597">
        <v>596</v>
      </c>
      <c r="C597" t="s">
        <v>2419</v>
      </c>
      <c r="D597" t="s">
        <v>521</v>
      </c>
      <c r="E597" t="s">
        <v>464</v>
      </c>
      <c r="F597" t="s">
        <v>2420</v>
      </c>
      <c r="G597" t="s">
        <v>1716</v>
      </c>
      <c r="H597" t="s">
        <v>2148</v>
      </c>
      <c r="I597" t="s">
        <v>2421</v>
      </c>
    </row>
    <row r="598" spans="1:9" x14ac:dyDescent="0.3">
      <c r="A598">
        <v>597</v>
      </c>
      <c r="B598">
        <v>597</v>
      </c>
      <c r="C598" t="s">
        <v>2422</v>
      </c>
      <c r="D598" t="s">
        <v>297</v>
      </c>
      <c r="E598" t="s">
        <v>23</v>
      </c>
      <c r="F598" t="s">
        <v>1984</v>
      </c>
      <c r="G598" t="s">
        <v>2423</v>
      </c>
      <c r="H598" t="s">
        <v>2424</v>
      </c>
      <c r="I598" t="s">
        <v>2425</v>
      </c>
    </row>
    <row r="599" spans="1:9" x14ac:dyDescent="0.3">
      <c r="A599">
        <v>598</v>
      </c>
      <c r="B599">
        <v>598</v>
      </c>
      <c r="C599" t="s">
        <v>2426</v>
      </c>
      <c r="D599" t="s">
        <v>205</v>
      </c>
      <c r="E599" t="s">
        <v>11</v>
      </c>
      <c r="F599" t="s">
        <v>2427</v>
      </c>
      <c r="G599" t="s">
        <v>2348</v>
      </c>
      <c r="H599" t="s">
        <v>2428</v>
      </c>
      <c r="I599" t="s">
        <v>1244</v>
      </c>
    </row>
    <row r="600" spans="1:9" x14ac:dyDescent="0.3">
      <c r="A600">
        <v>599</v>
      </c>
      <c r="B600">
        <v>599</v>
      </c>
      <c r="C600" t="s">
        <v>2429</v>
      </c>
      <c r="D600" t="s">
        <v>10</v>
      </c>
      <c r="E600" t="s">
        <v>52</v>
      </c>
      <c r="F600" t="s">
        <v>2430</v>
      </c>
      <c r="G600" t="s">
        <v>1128</v>
      </c>
      <c r="H600" t="s">
        <v>2431</v>
      </c>
      <c r="I600">
        <v>5</v>
      </c>
    </row>
    <row r="601" spans="1:9" x14ac:dyDescent="0.3">
      <c r="A601">
        <v>600</v>
      </c>
      <c r="B601">
        <v>600</v>
      </c>
      <c r="C601" t="s">
        <v>2432</v>
      </c>
      <c r="D601" t="s">
        <v>51</v>
      </c>
      <c r="E601" t="s">
        <v>141</v>
      </c>
      <c r="F601" t="s">
        <v>2433</v>
      </c>
      <c r="G601" t="s">
        <v>2042</v>
      </c>
      <c r="H601" t="s">
        <v>2236</v>
      </c>
      <c r="I601" t="s">
        <v>1814</v>
      </c>
    </row>
    <row r="602" spans="1:9" x14ac:dyDescent="0.3">
      <c r="A602">
        <v>601</v>
      </c>
      <c r="B602">
        <v>601</v>
      </c>
      <c r="C602" t="s">
        <v>2434</v>
      </c>
      <c r="D602" t="s">
        <v>696</v>
      </c>
      <c r="E602" t="s">
        <v>64</v>
      </c>
      <c r="F602" t="s">
        <v>2435</v>
      </c>
      <c r="G602" t="s">
        <v>1317</v>
      </c>
      <c r="H602" t="s">
        <v>285</v>
      </c>
      <c r="I602" t="s">
        <v>2436</v>
      </c>
    </row>
    <row r="603" spans="1:9" x14ac:dyDescent="0.3">
      <c r="A603">
        <v>602</v>
      </c>
      <c r="B603">
        <v>602</v>
      </c>
      <c r="C603" t="s">
        <v>2437</v>
      </c>
      <c r="D603" t="s">
        <v>10</v>
      </c>
      <c r="E603" t="s">
        <v>23</v>
      </c>
      <c r="F603" t="s">
        <v>1630</v>
      </c>
      <c r="G603" t="s">
        <v>2096</v>
      </c>
      <c r="H603" t="s">
        <v>2438</v>
      </c>
      <c r="I603" t="s">
        <v>2439</v>
      </c>
    </row>
    <row r="604" spans="1:9" x14ac:dyDescent="0.3">
      <c r="A604">
        <v>603</v>
      </c>
      <c r="B604">
        <v>603</v>
      </c>
      <c r="C604" t="s">
        <v>2440</v>
      </c>
      <c r="D604" t="s">
        <v>10</v>
      </c>
      <c r="E604" t="s">
        <v>687</v>
      </c>
      <c r="F604" t="s">
        <v>1194</v>
      </c>
      <c r="G604" t="s">
        <v>1202</v>
      </c>
      <c r="H604" t="s">
        <v>1358</v>
      </c>
      <c r="I604" t="s">
        <v>2203</v>
      </c>
    </row>
    <row r="605" spans="1:9" x14ac:dyDescent="0.3">
      <c r="A605">
        <v>604</v>
      </c>
      <c r="B605">
        <v>604</v>
      </c>
      <c r="C605" t="s">
        <v>2441</v>
      </c>
      <c r="D605" t="s">
        <v>35</v>
      </c>
      <c r="E605" t="s">
        <v>130</v>
      </c>
      <c r="F605" t="s">
        <v>2442</v>
      </c>
      <c r="G605" t="s">
        <v>1340</v>
      </c>
      <c r="H605" t="s">
        <v>1451</v>
      </c>
      <c r="I605" t="s">
        <v>2443</v>
      </c>
    </row>
    <row r="606" spans="1:9" x14ac:dyDescent="0.3">
      <c r="A606">
        <v>605</v>
      </c>
      <c r="B606">
        <v>605</v>
      </c>
      <c r="C606" t="s">
        <v>2444</v>
      </c>
      <c r="D606" t="s">
        <v>35</v>
      </c>
      <c r="E606" t="s">
        <v>464</v>
      </c>
      <c r="F606" t="s">
        <v>2445</v>
      </c>
      <c r="G606" t="s">
        <v>1563</v>
      </c>
      <c r="H606" t="s">
        <v>1945</v>
      </c>
      <c r="I606" t="s">
        <v>2299</v>
      </c>
    </row>
    <row r="607" spans="1:9" x14ac:dyDescent="0.3">
      <c r="A607">
        <v>606</v>
      </c>
      <c r="B607">
        <v>606</v>
      </c>
      <c r="C607" t="s">
        <v>2446</v>
      </c>
      <c r="D607" t="s">
        <v>216</v>
      </c>
      <c r="E607" t="s">
        <v>726</v>
      </c>
      <c r="F607" t="s">
        <v>2228</v>
      </c>
      <c r="G607" t="s">
        <v>809</v>
      </c>
      <c r="H607" t="s">
        <v>951</v>
      </c>
      <c r="I607" t="s">
        <v>2447</v>
      </c>
    </row>
    <row r="608" spans="1:9" x14ac:dyDescent="0.3">
      <c r="A608">
        <v>607</v>
      </c>
      <c r="B608">
        <v>607</v>
      </c>
      <c r="C608" t="s">
        <v>2448</v>
      </c>
      <c r="D608" t="s">
        <v>51</v>
      </c>
      <c r="E608" t="s">
        <v>345</v>
      </c>
      <c r="F608" t="s">
        <v>1248</v>
      </c>
      <c r="G608" t="s">
        <v>1577</v>
      </c>
      <c r="H608" t="s">
        <v>2449</v>
      </c>
      <c r="I608" t="s">
        <v>1953</v>
      </c>
    </row>
    <row r="609" spans="1:9" x14ac:dyDescent="0.3">
      <c r="A609">
        <v>608</v>
      </c>
      <c r="B609">
        <v>608</v>
      </c>
      <c r="C609" t="s">
        <v>2450</v>
      </c>
      <c r="D609" t="s">
        <v>205</v>
      </c>
      <c r="E609" t="s">
        <v>11</v>
      </c>
      <c r="F609" t="s">
        <v>2451</v>
      </c>
      <c r="G609" t="s">
        <v>1741</v>
      </c>
      <c r="H609" t="s">
        <v>2452</v>
      </c>
      <c r="I609" t="s">
        <v>1244</v>
      </c>
    </row>
    <row r="610" spans="1:9" x14ac:dyDescent="0.3">
      <c r="A610">
        <v>609</v>
      </c>
      <c r="B610">
        <v>609</v>
      </c>
      <c r="C610" t="s">
        <v>2453</v>
      </c>
      <c r="D610" t="s">
        <v>10</v>
      </c>
      <c r="E610" t="s">
        <v>345</v>
      </c>
      <c r="F610" t="s">
        <v>2454</v>
      </c>
      <c r="G610" t="s">
        <v>2455</v>
      </c>
      <c r="H610" t="s">
        <v>2456</v>
      </c>
      <c r="I610" t="s">
        <v>2358</v>
      </c>
    </row>
    <row r="611" spans="1:9" x14ac:dyDescent="0.3">
      <c r="A611">
        <v>610</v>
      </c>
      <c r="B611">
        <v>610</v>
      </c>
      <c r="C611" t="s">
        <v>2457</v>
      </c>
      <c r="D611" t="s">
        <v>10</v>
      </c>
      <c r="E611" t="s">
        <v>743</v>
      </c>
      <c r="F611" t="s">
        <v>2458</v>
      </c>
      <c r="G611" t="s">
        <v>1447</v>
      </c>
      <c r="H611" t="s">
        <v>1865</v>
      </c>
      <c r="I611" t="s">
        <v>1073</v>
      </c>
    </row>
    <row r="612" spans="1:9" x14ac:dyDescent="0.3">
      <c r="A612">
        <v>611</v>
      </c>
      <c r="B612">
        <v>611</v>
      </c>
      <c r="C612" t="s">
        <v>2459</v>
      </c>
      <c r="D612" t="s">
        <v>10</v>
      </c>
      <c r="E612" t="s">
        <v>11</v>
      </c>
      <c r="F612" t="s">
        <v>2460</v>
      </c>
      <c r="G612" t="s">
        <v>2140</v>
      </c>
      <c r="H612" t="s">
        <v>2461</v>
      </c>
      <c r="I612" t="s">
        <v>2462</v>
      </c>
    </row>
    <row r="613" spans="1:9" x14ac:dyDescent="0.3">
      <c r="A613">
        <v>612</v>
      </c>
      <c r="B613">
        <v>612</v>
      </c>
      <c r="C613" t="s">
        <v>2463</v>
      </c>
      <c r="D613" t="s">
        <v>696</v>
      </c>
      <c r="E613" t="s">
        <v>687</v>
      </c>
      <c r="F613" t="s">
        <v>143</v>
      </c>
      <c r="G613" t="s">
        <v>2140</v>
      </c>
      <c r="H613" t="s">
        <v>1434</v>
      </c>
      <c r="I613" t="s">
        <v>2301</v>
      </c>
    </row>
    <row r="614" spans="1:9" x14ac:dyDescent="0.3">
      <c r="A614">
        <v>613</v>
      </c>
      <c r="B614">
        <v>613</v>
      </c>
      <c r="C614" t="s">
        <v>2464</v>
      </c>
      <c r="D614" t="s">
        <v>297</v>
      </c>
      <c r="E614" t="s">
        <v>634</v>
      </c>
      <c r="F614" t="s">
        <v>2004</v>
      </c>
      <c r="G614" t="s">
        <v>1322</v>
      </c>
      <c r="H614" t="s">
        <v>137</v>
      </c>
      <c r="I614" t="s">
        <v>2213</v>
      </c>
    </row>
    <row r="615" spans="1:9" x14ac:dyDescent="0.3">
      <c r="A615">
        <v>614</v>
      </c>
      <c r="B615">
        <v>614</v>
      </c>
      <c r="C615" t="s">
        <v>2465</v>
      </c>
      <c r="D615" t="s">
        <v>10</v>
      </c>
      <c r="E615" t="s">
        <v>11</v>
      </c>
      <c r="F615" t="s">
        <v>2466</v>
      </c>
      <c r="G615" t="s">
        <v>1399</v>
      </c>
      <c r="H615" t="s">
        <v>2467</v>
      </c>
      <c r="I615" t="s">
        <v>2468</v>
      </c>
    </row>
    <row r="616" spans="1:9" x14ac:dyDescent="0.3">
      <c r="A616">
        <v>615</v>
      </c>
      <c r="B616">
        <v>615</v>
      </c>
      <c r="C616" t="s">
        <v>2469</v>
      </c>
      <c r="D616" t="s">
        <v>104</v>
      </c>
      <c r="E616" t="s">
        <v>560</v>
      </c>
      <c r="F616" t="s">
        <v>2470</v>
      </c>
      <c r="G616" t="s">
        <v>2471</v>
      </c>
      <c r="H616" t="s">
        <v>2472</v>
      </c>
      <c r="I616" t="s">
        <v>1876</v>
      </c>
    </row>
    <row r="617" spans="1:9" x14ac:dyDescent="0.3">
      <c r="A617">
        <v>616</v>
      </c>
      <c r="B617">
        <v>616</v>
      </c>
      <c r="C617" t="s">
        <v>2473</v>
      </c>
      <c r="D617" t="s">
        <v>51</v>
      </c>
      <c r="E617" t="s">
        <v>365</v>
      </c>
      <c r="F617" t="s">
        <v>1020</v>
      </c>
      <c r="G617" t="s">
        <v>2348</v>
      </c>
      <c r="H617" t="s">
        <v>1888</v>
      </c>
      <c r="I617" t="s">
        <v>2474</v>
      </c>
    </row>
    <row r="618" spans="1:9" x14ac:dyDescent="0.3">
      <c r="A618">
        <v>617</v>
      </c>
      <c r="B618">
        <v>617</v>
      </c>
      <c r="C618" t="s">
        <v>2475</v>
      </c>
      <c r="D618" t="s">
        <v>10</v>
      </c>
      <c r="E618" t="s">
        <v>743</v>
      </c>
      <c r="F618" t="s">
        <v>2476</v>
      </c>
      <c r="G618" t="s">
        <v>1068</v>
      </c>
      <c r="H618" t="s">
        <v>2477</v>
      </c>
      <c r="I618" t="s">
        <v>2478</v>
      </c>
    </row>
    <row r="619" spans="1:9" x14ac:dyDescent="0.3">
      <c r="A619">
        <v>618</v>
      </c>
      <c r="B619">
        <v>618</v>
      </c>
      <c r="C619" t="s">
        <v>2479</v>
      </c>
      <c r="D619" t="s">
        <v>2364</v>
      </c>
      <c r="E619" t="s">
        <v>151</v>
      </c>
      <c r="F619" t="s">
        <v>2458</v>
      </c>
      <c r="G619" t="s">
        <v>1202</v>
      </c>
      <c r="H619" t="s">
        <v>2480</v>
      </c>
      <c r="I619" t="s">
        <v>2481</v>
      </c>
    </row>
    <row r="620" spans="1:9" x14ac:dyDescent="0.3">
      <c r="A620">
        <v>619</v>
      </c>
      <c r="B620">
        <v>619</v>
      </c>
      <c r="C620" t="s">
        <v>2482</v>
      </c>
      <c r="D620" t="s">
        <v>35</v>
      </c>
      <c r="E620" t="s">
        <v>726</v>
      </c>
      <c r="F620" t="s">
        <v>2483</v>
      </c>
      <c r="G620" t="s">
        <v>1737</v>
      </c>
      <c r="H620" t="s">
        <v>1301</v>
      </c>
      <c r="I620">
        <v>6</v>
      </c>
    </row>
    <row r="621" spans="1:9" x14ac:dyDescent="0.3">
      <c r="A621">
        <v>620</v>
      </c>
      <c r="B621">
        <v>620</v>
      </c>
      <c r="C621" t="s">
        <v>2484</v>
      </c>
      <c r="D621" t="s">
        <v>401</v>
      </c>
      <c r="E621" t="s">
        <v>464</v>
      </c>
      <c r="F621" t="s">
        <v>990</v>
      </c>
      <c r="G621" t="s">
        <v>1768</v>
      </c>
      <c r="H621" t="s">
        <v>2485</v>
      </c>
      <c r="I621" t="s">
        <v>2117</v>
      </c>
    </row>
    <row r="622" spans="1:9" x14ac:dyDescent="0.3">
      <c r="A622">
        <v>621</v>
      </c>
      <c r="B622">
        <v>621</v>
      </c>
      <c r="C622" t="s">
        <v>2486</v>
      </c>
      <c r="D622" t="s">
        <v>51</v>
      </c>
      <c r="E622" t="s">
        <v>23</v>
      </c>
      <c r="F622" t="s">
        <v>2487</v>
      </c>
      <c r="G622" t="s">
        <v>2488</v>
      </c>
      <c r="H622" t="s">
        <v>2489</v>
      </c>
      <c r="I622" t="s">
        <v>1512</v>
      </c>
    </row>
    <row r="623" spans="1:9" x14ac:dyDescent="0.3">
      <c r="A623">
        <v>622</v>
      </c>
      <c r="B623">
        <v>622</v>
      </c>
      <c r="C623" t="s">
        <v>2490</v>
      </c>
      <c r="D623" t="s">
        <v>10</v>
      </c>
      <c r="E623" t="s">
        <v>232</v>
      </c>
      <c r="F623" t="s">
        <v>1307</v>
      </c>
      <c r="G623" t="s">
        <v>2491</v>
      </c>
      <c r="H623" t="s">
        <v>2492</v>
      </c>
      <c r="I623" t="s">
        <v>1037</v>
      </c>
    </row>
    <row r="624" spans="1:9" x14ac:dyDescent="0.3">
      <c r="A624">
        <v>623</v>
      </c>
      <c r="B624">
        <v>623</v>
      </c>
      <c r="C624" t="s">
        <v>2493</v>
      </c>
      <c r="D624" t="s">
        <v>10</v>
      </c>
      <c r="E624" t="s">
        <v>232</v>
      </c>
      <c r="F624">
        <v>4</v>
      </c>
      <c r="G624" t="s">
        <v>1268</v>
      </c>
      <c r="H624" t="s">
        <v>2494</v>
      </c>
      <c r="I624" t="s">
        <v>1088</v>
      </c>
    </row>
    <row r="625" spans="1:9" x14ac:dyDescent="0.3">
      <c r="A625">
        <v>624</v>
      </c>
      <c r="B625">
        <v>624</v>
      </c>
      <c r="C625" t="s">
        <v>2495</v>
      </c>
      <c r="D625" t="s">
        <v>35</v>
      </c>
      <c r="E625" t="s">
        <v>365</v>
      </c>
      <c r="F625" t="s">
        <v>2496</v>
      </c>
      <c r="G625" t="s">
        <v>1995</v>
      </c>
      <c r="H625" t="s">
        <v>2497</v>
      </c>
      <c r="I625" t="s">
        <v>2498</v>
      </c>
    </row>
    <row r="626" spans="1:9" x14ac:dyDescent="0.3">
      <c r="A626">
        <v>625</v>
      </c>
      <c r="B626">
        <v>625</v>
      </c>
      <c r="C626" t="s">
        <v>2499</v>
      </c>
      <c r="D626" t="s">
        <v>10</v>
      </c>
      <c r="E626" t="s">
        <v>345</v>
      </c>
      <c r="F626" t="s">
        <v>1838</v>
      </c>
      <c r="G626" t="s">
        <v>1335</v>
      </c>
      <c r="H626" t="s">
        <v>1769</v>
      </c>
      <c r="I626" t="s">
        <v>2500</v>
      </c>
    </row>
    <row r="627" spans="1:9" x14ac:dyDescent="0.3">
      <c r="A627">
        <v>626</v>
      </c>
      <c r="B627">
        <v>626</v>
      </c>
      <c r="C627" t="s">
        <v>2501</v>
      </c>
      <c r="D627" t="s">
        <v>1463</v>
      </c>
      <c r="E627" t="s">
        <v>11</v>
      </c>
      <c r="F627" t="s">
        <v>2502</v>
      </c>
      <c r="G627" t="s">
        <v>1254</v>
      </c>
      <c r="H627" t="s">
        <v>2503</v>
      </c>
      <c r="I627" t="s">
        <v>2504</v>
      </c>
    </row>
    <row r="628" spans="1:9" x14ac:dyDescent="0.3">
      <c r="A628">
        <v>627</v>
      </c>
      <c r="B628">
        <v>627</v>
      </c>
      <c r="C628" t="s">
        <v>2505</v>
      </c>
      <c r="D628" t="s">
        <v>104</v>
      </c>
      <c r="E628" t="s">
        <v>130</v>
      </c>
      <c r="F628" t="s">
        <v>1063</v>
      </c>
      <c r="G628" t="s">
        <v>1268</v>
      </c>
      <c r="H628" t="s">
        <v>2506</v>
      </c>
      <c r="I628" t="s">
        <v>2507</v>
      </c>
    </row>
    <row r="629" spans="1:9" x14ac:dyDescent="0.3">
      <c r="A629">
        <v>628</v>
      </c>
      <c r="B629">
        <v>628</v>
      </c>
      <c r="C629" t="s">
        <v>2508</v>
      </c>
      <c r="D629" t="s">
        <v>1441</v>
      </c>
      <c r="E629" t="s">
        <v>11</v>
      </c>
      <c r="F629" t="s">
        <v>1046</v>
      </c>
      <c r="G629" t="s">
        <v>1286</v>
      </c>
      <c r="H629" t="s">
        <v>2509</v>
      </c>
      <c r="I629" t="s">
        <v>2510</v>
      </c>
    </row>
    <row r="630" spans="1:9" x14ac:dyDescent="0.3">
      <c r="A630">
        <v>629</v>
      </c>
      <c r="B630">
        <v>629</v>
      </c>
      <c r="C630" t="s">
        <v>2511</v>
      </c>
      <c r="D630" t="s">
        <v>76</v>
      </c>
      <c r="E630" t="s">
        <v>510</v>
      </c>
      <c r="F630" t="s">
        <v>2512</v>
      </c>
      <c r="G630" t="s">
        <v>1335</v>
      </c>
      <c r="H630" t="s">
        <v>984</v>
      </c>
      <c r="I630" t="s">
        <v>2513</v>
      </c>
    </row>
    <row r="631" spans="1:9" x14ac:dyDescent="0.3">
      <c r="A631">
        <v>630</v>
      </c>
      <c r="B631">
        <v>630</v>
      </c>
      <c r="C631" t="s">
        <v>2514</v>
      </c>
      <c r="D631" t="s">
        <v>35</v>
      </c>
      <c r="E631" t="s">
        <v>130</v>
      </c>
      <c r="F631" t="s">
        <v>2515</v>
      </c>
      <c r="G631" t="s">
        <v>1958</v>
      </c>
      <c r="H631" t="s">
        <v>697</v>
      </c>
      <c r="I631" t="s">
        <v>1953</v>
      </c>
    </row>
    <row r="632" spans="1:9" x14ac:dyDescent="0.3">
      <c r="A632">
        <v>631</v>
      </c>
      <c r="B632">
        <v>631</v>
      </c>
      <c r="C632" t="s">
        <v>2516</v>
      </c>
      <c r="D632" t="s">
        <v>249</v>
      </c>
      <c r="E632" t="s">
        <v>11</v>
      </c>
      <c r="F632" t="s">
        <v>212</v>
      </c>
      <c r="G632" t="s">
        <v>1038</v>
      </c>
      <c r="H632" t="s">
        <v>2517</v>
      </c>
      <c r="I632" t="s">
        <v>2518</v>
      </c>
    </row>
    <row r="633" spans="1:9" x14ac:dyDescent="0.3">
      <c r="A633">
        <v>632</v>
      </c>
      <c r="B633">
        <v>632</v>
      </c>
      <c r="C633" t="s">
        <v>2519</v>
      </c>
      <c r="D633" t="s">
        <v>35</v>
      </c>
      <c r="E633" t="s">
        <v>510</v>
      </c>
      <c r="F633" t="s">
        <v>1283</v>
      </c>
      <c r="G633" t="s">
        <v>1335</v>
      </c>
      <c r="H633" t="s">
        <v>2179</v>
      </c>
      <c r="I633" t="s">
        <v>2520</v>
      </c>
    </row>
    <row r="634" spans="1:9" x14ac:dyDescent="0.3">
      <c r="A634">
        <v>633</v>
      </c>
      <c r="B634">
        <v>633</v>
      </c>
      <c r="C634" t="s">
        <v>2521</v>
      </c>
      <c r="D634" t="s">
        <v>124</v>
      </c>
      <c r="E634" t="s">
        <v>141</v>
      </c>
      <c r="F634" t="s">
        <v>2522</v>
      </c>
      <c r="G634" t="s">
        <v>1118</v>
      </c>
      <c r="H634" t="s">
        <v>2481</v>
      </c>
      <c r="I634" t="s">
        <v>2232</v>
      </c>
    </row>
    <row r="635" spans="1:9" x14ac:dyDescent="0.3">
      <c r="A635">
        <v>634</v>
      </c>
      <c r="B635">
        <v>634</v>
      </c>
      <c r="C635" t="s">
        <v>2523</v>
      </c>
      <c r="D635" t="s">
        <v>51</v>
      </c>
      <c r="E635" t="s">
        <v>130</v>
      </c>
      <c r="F635" t="s">
        <v>909</v>
      </c>
      <c r="G635" t="s">
        <v>1098</v>
      </c>
      <c r="H635" t="s">
        <v>1852</v>
      </c>
      <c r="I635" t="s">
        <v>2178</v>
      </c>
    </row>
    <row r="636" spans="1:9" x14ac:dyDescent="0.3">
      <c r="A636">
        <v>635</v>
      </c>
      <c r="B636">
        <v>635</v>
      </c>
      <c r="C636" t="s">
        <v>2524</v>
      </c>
      <c r="D636" t="s">
        <v>51</v>
      </c>
      <c r="E636" t="s">
        <v>687</v>
      </c>
      <c r="F636" t="s">
        <v>1553</v>
      </c>
      <c r="G636" t="s">
        <v>1716</v>
      </c>
      <c r="H636" t="s">
        <v>2160</v>
      </c>
      <c r="I636" t="s">
        <v>2128</v>
      </c>
    </row>
    <row r="637" spans="1:9" x14ac:dyDescent="0.3">
      <c r="A637">
        <v>636</v>
      </c>
      <c r="B637">
        <v>636</v>
      </c>
      <c r="C637" t="s">
        <v>2525</v>
      </c>
      <c r="D637" t="s">
        <v>51</v>
      </c>
      <c r="E637" t="s">
        <v>52</v>
      </c>
      <c r="F637">
        <v>20</v>
      </c>
      <c r="G637" t="s">
        <v>2348</v>
      </c>
      <c r="H637" t="s">
        <v>1655</v>
      </c>
      <c r="I637" t="s">
        <v>2526</v>
      </c>
    </row>
    <row r="638" spans="1:9" x14ac:dyDescent="0.3">
      <c r="A638">
        <v>637</v>
      </c>
      <c r="B638">
        <v>637</v>
      </c>
      <c r="C638" t="s">
        <v>2527</v>
      </c>
      <c r="D638" t="s">
        <v>10</v>
      </c>
      <c r="E638" t="s">
        <v>29</v>
      </c>
      <c r="F638" t="s">
        <v>2528</v>
      </c>
      <c r="G638" t="s">
        <v>1286</v>
      </c>
      <c r="H638" t="s">
        <v>1896</v>
      </c>
      <c r="I638" t="s">
        <v>2529</v>
      </c>
    </row>
    <row r="639" spans="1:9" x14ac:dyDescent="0.3">
      <c r="A639">
        <v>638</v>
      </c>
      <c r="B639">
        <v>638</v>
      </c>
      <c r="C639" t="s">
        <v>2530</v>
      </c>
      <c r="D639" t="s">
        <v>10</v>
      </c>
      <c r="E639" t="s">
        <v>23</v>
      </c>
      <c r="F639" t="s">
        <v>542</v>
      </c>
      <c r="G639" t="s">
        <v>1249</v>
      </c>
      <c r="H639" t="s">
        <v>2531</v>
      </c>
      <c r="I639" t="s">
        <v>2532</v>
      </c>
    </row>
    <row r="640" spans="1:9" x14ac:dyDescent="0.3">
      <c r="A640">
        <v>639</v>
      </c>
      <c r="B640">
        <v>639</v>
      </c>
      <c r="C640" t="s">
        <v>2533</v>
      </c>
      <c r="D640" t="s">
        <v>10</v>
      </c>
      <c r="E640" t="s">
        <v>715</v>
      </c>
      <c r="F640" t="s">
        <v>2534</v>
      </c>
      <c r="G640" t="s">
        <v>1286</v>
      </c>
      <c r="H640" t="s">
        <v>1277</v>
      </c>
      <c r="I640" t="s">
        <v>2535</v>
      </c>
    </row>
    <row r="641" spans="1:9" x14ac:dyDescent="0.3">
      <c r="A641">
        <v>640</v>
      </c>
      <c r="B641">
        <v>640</v>
      </c>
      <c r="C641" t="s">
        <v>2536</v>
      </c>
      <c r="D641" t="s">
        <v>417</v>
      </c>
      <c r="E641" t="s">
        <v>29</v>
      </c>
      <c r="F641" t="s">
        <v>2537</v>
      </c>
      <c r="G641" t="s">
        <v>1340</v>
      </c>
      <c r="H641" t="s">
        <v>1470</v>
      </c>
      <c r="I641" t="s">
        <v>1419</v>
      </c>
    </row>
    <row r="642" spans="1:9" x14ac:dyDescent="0.3">
      <c r="A642">
        <v>641</v>
      </c>
      <c r="B642">
        <v>641</v>
      </c>
      <c r="C642" t="s">
        <v>2538</v>
      </c>
      <c r="D642" t="s">
        <v>297</v>
      </c>
      <c r="E642" t="s">
        <v>365</v>
      </c>
      <c r="F642" t="s">
        <v>491</v>
      </c>
      <c r="G642" t="s">
        <v>2042</v>
      </c>
      <c r="H642" t="s">
        <v>2539</v>
      </c>
      <c r="I642" t="s">
        <v>2540</v>
      </c>
    </row>
    <row r="643" spans="1:9" x14ac:dyDescent="0.3">
      <c r="A643">
        <v>642</v>
      </c>
      <c r="B643">
        <v>642</v>
      </c>
      <c r="C643" t="s">
        <v>2541</v>
      </c>
      <c r="D643" t="s">
        <v>51</v>
      </c>
      <c r="E643" t="s">
        <v>52</v>
      </c>
      <c r="F643" t="s">
        <v>2542</v>
      </c>
      <c r="G643" t="s">
        <v>2543</v>
      </c>
      <c r="H643" t="s">
        <v>888</v>
      </c>
      <c r="I643" t="s">
        <v>2544</v>
      </c>
    </row>
    <row r="644" spans="1:9" x14ac:dyDescent="0.3">
      <c r="A644">
        <v>643</v>
      </c>
      <c r="B644">
        <v>643</v>
      </c>
      <c r="C644" t="s">
        <v>2545</v>
      </c>
      <c r="D644" t="s">
        <v>124</v>
      </c>
      <c r="E644" t="s">
        <v>687</v>
      </c>
      <c r="F644" t="s">
        <v>730</v>
      </c>
      <c r="G644" t="s">
        <v>2376</v>
      </c>
      <c r="H644" t="s">
        <v>984</v>
      </c>
      <c r="I644" t="s">
        <v>2546</v>
      </c>
    </row>
    <row r="645" spans="1:9" x14ac:dyDescent="0.3">
      <c r="A645">
        <v>644</v>
      </c>
      <c r="B645">
        <v>644</v>
      </c>
      <c r="C645" t="s">
        <v>2547</v>
      </c>
      <c r="D645" t="s">
        <v>124</v>
      </c>
      <c r="E645" t="s">
        <v>52</v>
      </c>
      <c r="F645" t="s">
        <v>1471</v>
      </c>
      <c r="G645" t="s">
        <v>1012</v>
      </c>
      <c r="H645" t="s">
        <v>2548</v>
      </c>
      <c r="I645" t="s">
        <v>2549</v>
      </c>
    </row>
    <row r="646" spans="1:9" x14ac:dyDescent="0.3">
      <c r="A646">
        <v>645</v>
      </c>
      <c r="B646">
        <v>645</v>
      </c>
      <c r="C646" t="s">
        <v>2550</v>
      </c>
      <c r="D646" t="s">
        <v>10</v>
      </c>
      <c r="E646" t="s">
        <v>130</v>
      </c>
      <c r="F646" t="s">
        <v>2539</v>
      </c>
      <c r="G646" t="s">
        <v>1111</v>
      </c>
      <c r="H646" t="s">
        <v>2551</v>
      </c>
      <c r="I646" t="s">
        <v>2552</v>
      </c>
    </row>
    <row r="647" spans="1:9" x14ac:dyDescent="0.3">
      <c r="A647">
        <v>646</v>
      </c>
      <c r="B647">
        <v>646</v>
      </c>
      <c r="C647" t="s">
        <v>2553</v>
      </c>
      <c r="D647" t="s">
        <v>10</v>
      </c>
      <c r="E647" t="s">
        <v>464</v>
      </c>
      <c r="F647" t="s">
        <v>2554</v>
      </c>
      <c r="G647" t="s">
        <v>2555</v>
      </c>
      <c r="H647" t="s">
        <v>1593</v>
      </c>
      <c r="I647" t="s">
        <v>2556</v>
      </c>
    </row>
    <row r="648" spans="1:9" x14ac:dyDescent="0.3">
      <c r="A648">
        <v>647</v>
      </c>
      <c r="B648">
        <v>647</v>
      </c>
      <c r="C648" t="s">
        <v>2557</v>
      </c>
      <c r="D648" t="s">
        <v>10</v>
      </c>
      <c r="E648" t="s">
        <v>174</v>
      </c>
      <c r="F648" t="s">
        <v>2558</v>
      </c>
      <c r="G648" t="s">
        <v>2423</v>
      </c>
      <c r="H648" t="s">
        <v>2559</v>
      </c>
      <c r="I648" t="s">
        <v>2560</v>
      </c>
    </row>
    <row r="649" spans="1:9" x14ac:dyDescent="0.3">
      <c r="A649">
        <v>648</v>
      </c>
      <c r="B649">
        <v>648</v>
      </c>
      <c r="C649" t="s">
        <v>2561</v>
      </c>
      <c r="D649" t="s">
        <v>35</v>
      </c>
      <c r="E649" t="s">
        <v>560</v>
      </c>
      <c r="F649">
        <v>13</v>
      </c>
      <c r="G649" t="s">
        <v>2562</v>
      </c>
      <c r="H649" t="s">
        <v>2563</v>
      </c>
      <c r="I649" t="s">
        <v>1251</v>
      </c>
    </row>
    <row r="650" spans="1:9" x14ac:dyDescent="0.3">
      <c r="A650">
        <v>649</v>
      </c>
      <c r="B650">
        <v>649</v>
      </c>
      <c r="C650" t="s">
        <v>2564</v>
      </c>
      <c r="D650" t="s">
        <v>51</v>
      </c>
      <c r="E650" t="s">
        <v>52</v>
      </c>
      <c r="F650" t="s">
        <v>2145</v>
      </c>
      <c r="G650" t="s">
        <v>1098</v>
      </c>
      <c r="H650" t="s">
        <v>1589</v>
      </c>
      <c r="I650" t="s">
        <v>2565</v>
      </c>
    </row>
    <row r="651" spans="1:9" x14ac:dyDescent="0.3">
      <c r="A651">
        <v>650</v>
      </c>
      <c r="B651">
        <v>650</v>
      </c>
      <c r="C651" t="s">
        <v>2566</v>
      </c>
      <c r="D651" t="s">
        <v>10</v>
      </c>
      <c r="E651" t="s">
        <v>29</v>
      </c>
      <c r="F651" t="s">
        <v>1056</v>
      </c>
      <c r="G651" t="s">
        <v>1820</v>
      </c>
      <c r="H651" t="s">
        <v>2107</v>
      </c>
      <c r="I651" t="s">
        <v>1790</v>
      </c>
    </row>
    <row r="652" spans="1:9" x14ac:dyDescent="0.3">
      <c r="A652">
        <v>651</v>
      </c>
      <c r="B652">
        <v>651</v>
      </c>
      <c r="C652" t="s">
        <v>2567</v>
      </c>
      <c r="D652" t="s">
        <v>10</v>
      </c>
      <c r="E652" t="s">
        <v>64</v>
      </c>
      <c r="F652" t="s">
        <v>596</v>
      </c>
      <c r="G652" t="s">
        <v>1737</v>
      </c>
      <c r="H652" t="s">
        <v>2568</v>
      </c>
      <c r="I652" t="s">
        <v>1846</v>
      </c>
    </row>
    <row r="653" spans="1:9" x14ac:dyDescent="0.3">
      <c r="A653">
        <v>652</v>
      </c>
      <c r="B653">
        <v>652</v>
      </c>
      <c r="C653" t="s">
        <v>2569</v>
      </c>
      <c r="D653" t="s">
        <v>10</v>
      </c>
      <c r="E653" t="s">
        <v>345</v>
      </c>
      <c r="F653" t="s">
        <v>2449</v>
      </c>
      <c r="G653" t="s">
        <v>2570</v>
      </c>
      <c r="H653" t="s">
        <v>2571</v>
      </c>
      <c r="I653" t="s">
        <v>2572</v>
      </c>
    </row>
    <row r="654" spans="1:9" x14ac:dyDescent="0.3">
      <c r="A654">
        <v>653</v>
      </c>
      <c r="B654">
        <v>653</v>
      </c>
      <c r="C654" t="s">
        <v>2573</v>
      </c>
      <c r="D654" t="s">
        <v>35</v>
      </c>
      <c r="E654" t="s">
        <v>23</v>
      </c>
      <c r="F654" t="s">
        <v>919</v>
      </c>
      <c r="G654" t="s">
        <v>2574</v>
      </c>
      <c r="H654" t="s">
        <v>2575</v>
      </c>
      <c r="I654" t="s">
        <v>2576</v>
      </c>
    </row>
    <row r="655" spans="1:9" x14ac:dyDescent="0.3">
      <c r="A655">
        <v>654</v>
      </c>
      <c r="B655">
        <v>654</v>
      </c>
      <c r="C655" t="s">
        <v>2577</v>
      </c>
      <c r="D655" t="s">
        <v>51</v>
      </c>
      <c r="E655" t="s">
        <v>706</v>
      </c>
      <c r="F655" t="s">
        <v>2578</v>
      </c>
      <c r="G655" t="s">
        <v>1737</v>
      </c>
      <c r="H655" t="s">
        <v>2579</v>
      </c>
      <c r="I655" t="s">
        <v>1721</v>
      </c>
    </row>
    <row r="656" spans="1:9" x14ac:dyDescent="0.3">
      <c r="A656">
        <v>655</v>
      </c>
      <c r="B656">
        <v>655</v>
      </c>
      <c r="C656" t="s">
        <v>2580</v>
      </c>
      <c r="D656" t="s">
        <v>1441</v>
      </c>
      <c r="E656" t="s">
        <v>98</v>
      </c>
      <c r="F656" t="s">
        <v>2212</v>
      </c>
      <c r="G656" t="s">
        <v>1038</v>
      </c>
      <c r="H656" t="s">
        <v>460</v>
      </c>
      <c r="I656" t="s">
        <v>1396</v>
      </c>
    </row>
    <row r="657" spans="1:9" x14ac:dyDescent="0.3">
      <c r="A657">
        <v>656</v>
      </c>
      <c r="B657">
        <v>656</v>
      </c>
      <c r="C657" t="s">
        <v>2581</v>
      </c>
      <c r="D657" t="s">
        <v>249</v>
      </c>
      <c r="E657" t="s">
        <v>11</v>
      </c>
      <c r="F657" t="s">
        <v>218</v>
      </c>
      <c r="G657" t="s">
        <v>1563</v>
      </c>
      <c r="H657" t="s">
        <v>2582</v>
      </c>
      <c r="I657" t="s">
        <v>2253</v>
      </c>
    </row>
    <row r="658" spans="1:9" x14ac:dyDescent="0.3">
      <c r="A658">
        <v>657</v>
      </c>
      <c r="B658">
        <v>657</v>
      </c>
      <c r="C658" t="s">
        <v>2583</v>
      </c>
      <c r="D658" t="s">
        <v>10</v>
      </c>
      <c r="E658" t="s">
        <v>11</v>
      </c>
      <c r="F658" t="s">
        <v>828</v>
      </c>
      <c r="G658" t="s">
        <v>645</v>
      </c>
      <c r="H658" t="s">
        <v>2584</v>
      </c>
      <c r="I658" t="s">
        <v>299</v>
      </c>
    </row>
    <row r="659" spans="1:9" x14ac:dyDescent="0.3">
      <c r="A659">
        <v>658</v>
      </c>
      <c r="B659">
        <v>658</v>
      </c>
      <c r="C659" t="s">
        <v>2585</v>
      </c>
      <c r="D659" t="s">
        <v>2364</v>
      </c>
      <c r="E659" t="s">
        <v>345</v>
      </c>
      <c r="F659" t="s">
        <v>443</v>
      </c>
      <c r="G659" t="s">
        <v>645</v>
      </c>
      <c r="H659" t="s">
        <v>2586</v>
      </c>
      <c r="I659" t="s">
        <v>2587</v>
      </c>
    </row>
    <row r="660" spans="1:9" x14ac:dyDescent="0.3">
      <c r="A660">
        <v>659</v>
      </c>
      <c r="B660">
        <v>659</v>
      </c>
      <c r="C660" t="s">
        <v>2588</v>
      </c>
      <c r="D660" t="s">
        <v>205</v>
      </c>
      <c r="E660" t="s">
        <v>365</v>
      </c>
      <c r="F660" t="s">
        <v>2589</v>
      </c>
      <c r="G660" t="s">
        <v>506</v>
      </c>
      <c r="H660" t="s">
        <v>2590</v>
      </c>
      <c r="I660" t="s">
        <v>919</v>
      </c>
    </row>
    <row r="661" spans="1:9" x14ac:dyDescent="0.3">
      <c r="A661">
        <v>660</v>
      </c>
      <c r="B661">
        <v>660</v>
      </c>
      <c r="C661" t="s">
        <v>2591</v>
      </c>
      <c r="D661" t="s">
        <v>51</v>
      </c>
      <c r="E661" t="s">
        <v>365</v>
      </c>
      <c r="F661" t="s">
        <v>2210</v>
      </c>
      <c r="G661" t="s">
        <v>1202</v>
      </c>
      <c r="H661" t="s">
        <v>2592</v>
      </c>
      <c r="I661" t="s">
        <v>2593</v>
      </c>
    </row>
    <row r="662" spans="1:9" x14ac:dyDescent="0.3">
      <c r="A662">
        <v>661</v>
      </c>
      <c r="B662">
        <v>661</v>
      </c>
      <c r="C662" t="s">
        <v>2594</v>
      </c>
      <c r="D662" t="s">
        <v>10</v>
      </c>
      <c r="E662" t="s">
        <v>243</v>
      </c>
      <c r="F662" t="s">
        <v>2595</v>
      </c>
      <c r="G662" t="s">
        <v>973</v>
      </c>
      <c r="H662" t="s">
        <v>1641</v>
      </c>
      <c r="I662" t="s">
        <v>2596</v>
      </c>
    </row>
    <row r="663" spans="1:9" x14ac:dyDescent="0.3">
      <c r="A663">
        <v>662</v>
      </c>
      <c r="B663">
        <v>662</v>
      </c>
      <c r="C663" t="s">
        <v>2597</v>
      </c>
      <c r="D663" t="s">
        <v>10</v>
      </c>
      <c r="E663" t="s">
        <v>11</v>
      </c>
      <c r="F663" t="s">
        <v>454</v>
      </c>
      <c r="G663" t="s">
        <v>1068</v>
      </c>
      <c r="H663" t="s">
        <v>227</v>
      </c>
      <c r="I663" t="s">
        <v>299</v>
      </c>
    </row>
    <row r="664" spans="1:9" x14ac:dyDescent="0.3">
      <c r="A664">
        <v>663</v>
      </c>
      <c r="B664">
        <v>663</v>
      </c>
      <c r="C664" t="s">
        <v>2598</v>
      </c>
      <c r="D664" t="s">
        <v>51</v>
      </c>
      <c r="E664" t="s">
        <v>365</v>
      </c>
      <c r="F664" t="s">
        <v>843</v>
      </c>
      <c r="G664" t="s">
        <v>2455</v>
      </c>
      <c r="H664" t="s">
        <v>2599</v>
      </c>
      <c r="I664" t="s">
        <v>2462</v>
      </c>
    </row>
    <row r="665" spans="1:9" x14ac:dyDescent="0.3">
      <c r="A665">
        <v>664</v>
      </c>
      <c r="B665">
        <v>664</v>
      </c>
      <c r="C665" t="s">
        <v>2600</v>
      </c>
      <c r="D665" t="s">
        <v>35</v>
      </c>
      <c r="E665" t="s">
        <v>64</v>
      </c>
      <c r="F665" t="s">
        <v>1971</v>
      </c>
      <c r="G665" t="s">
        <v>2369</v>
      </c>
      <c r="H665" t="s">
        <v>2540</v>
      </c>
      <c r="I665" t="s">
        <v>2601</v>
      </c>
    </row>
    <row r="666" spans="1:9" x14ac:dyDescent="0.3">
      <c r="A666">
        <v>665</v>
      </c>
      <c r="B666">
        <v>665</v>
      </c>
      <c r="C666" t="s">
        <v>2602</v>
      </c>
      <c r="D666" t="s">
        <v>696</v>
      </c>
      <c r="E666" t="s">
        <v>687</v>
      </c>
      <c r="F666" t="s">
        <v>1964</v>
      </c>
      <c r="G666" t="s">
        <v>1399</v>
      </c>
      <c r="H666" t="s">
        <v>2603</v>
      </c>
      <c r="I666" t="s">
        <v>909</v>
      </c>
    </row>
    <row r="667" spans="1:9" x14ac:dyDescent="0.3">
      <c r="A667">
        <v>666</v>
      </c>
      <c r="B667">
        <v>666</v>
      </c>
      <c r="C667" t="s">
        <v>2604</v>
      </c>
      <c r="D667" t="s">
        <v>2329</v>
      </c>
      <c r="E667" t="s">
        <v>58</v>
      </c>
      <c r="F667" t="s">
        <v>2549</v>
      </c>
      <c r="G667" t="s">
        <v>1741</v>
      </c>
      <c r="H667" t="s">
        <v>2605</v>
      </c>
      <c r="I667" t="s">
        <v>2606</v>
      </c>
    </row>
    <row r="668" spans="1:9" x14ac:dyDescent="0.3">
      <c r="A668">
        <v>667</v>
      </c>
      <c r="B668">
        <v>667</v>
      </c>
      <c r="C668" t="s">
        <v>2607</v>
      </c>
      <c r="D668" t="s">
        <v>10</v>
      </c>
      <c r="E668" t="s">
        <v>58</v>
      </c>
      <c r="F668" t="s">
        <v>2608</v>
      </c>
      <c r="G668" t="s">
        <v>809</v>
      </c>
      <c r="H668" t="s">
        <v>2609</v>
      </c>
      <c r="I668" t="s">
        <v>2610</v>
      </c>
    </row>
    <row r="669" spans="1:9" x14ac:dyDescent="0.3">
      <c r="A669">
        <v>668</v>
      </c>
      <c r="B669">
        <v>668</v>
      </c>
      <c r="C669" t="s">
        <v>2611</v>
      </c>
      <c r="D669" t="s">
        <v>2612</v>
      </c>
      <c r="E669" t="s">
        <v>98</v>
      </c>
      <c r="F669" t="s">
        <v>2510</v>
      </c>
      <c r="G669" t="s">
        <v>1094</v>
      </c>
      <c r="H669" t="s">
        <v>321</v>
      </c>
      <c r="I669" t="s">
        <v>2613</v>
      </c>
    </row>
    <row r="670" spans="1:9" x14ac:dyDescent="0.3">
      <c r="A670">
        <v>669</v>
      </c>
      <c r="B670">
        <v>669</v>
      </c>
      <c r="C670" t="s">
        <v>2614</v>
      </c>
      <c r="D670" t="s">
        <v>452</v>
      </c>
      <c r="E670" t="s">
        <v>365</v>
      </c>
      <c r="F670" t="s">
        <v>2615</v>
      </c>
      <c r="G670" t="s">
        <v>1741</v>
      </c>
      <c r="H670" t="s">
        <v>2616</v>
      </c>
      <c r="I670" t="s">
        <v>2384</v>
      </c>
    </row>
    <row r="671" spans="1:9" x14ac:dyDescent="0.3">
      <c r="A671">
        <v>670</v>
      </c>
      <c r="B671">
        <v>670</v>
      </c>
      <c r="C671" t="s">
        <v>2617</v>
      </c>
      <c r="D671" t="s">
        <v>51</v>
      </c>
      <c r="E671" t="s">
        <v>141</v>
      </c>
      <c r="F671" t="s">
        <v>207</v>
      </c>
      <c r="G671" t="s">
        <v>1335</v>
      </c>
      <c r="H671" t="s">
        <v>1565</v>
      </c>
      <c r="I671" t="s">
        <v>2618</v>
      </c>
    </row>
    <row r="672" spans="1:9" x14ac:dyDescent="0.3">
      <c r="A672">
        <v>671</v>
      </c>
      <c r="B672">
        <v>671</v>
      </c>
      <c r="C672" t="s">
        <v>2619</v>
      </c>
      <c r="D672" t="s">
        <v>205</v>
      </c>
      <c r="E672" t="s">
        <v>11</v>
      </c>
      <c r="F672" t="s">
        <v>2620</v>
      </c>
      <c r="G672" t="s">
        <v>2491</v>
      </c>
      <c r="H672" t="s">
        <v>2621</v>
      </c>
      <c r="I672" t="s">
        <v>2498</v>
      </c>
    </row>
    <row r="673" spans="1:9" x14ac:dyDescent="0.3">
      <c r="A673">
        <v>672</v>
      </c>
      <c r="B673">
        <v>672</v>
      </c>
      <c r="C673" t="s">
        <v>2622</v>
      </c>
      <c r="D673" t="s">
        <v>10</v>
      </c>
      <c r="E673" t="s">
        <v>58</v>
      </c>
      <c r="F673" t="s">
        <v>2192</v>
      </c>
      <c r="G673" t="s">
        <v>506</v>
      </c>
      <c r="H673" t="s">
        <v>2178</v>
      </c>
      <c r="I673" t="s">
        <v>711</v>
      </c>
    </row>
    <row r="674" spans="1:9" x14ac:dyDescent="0.3">
      <c r="A674">
        <v>673</v>
      </c>
      <c r="B674">
        <v>673</v>
      </c>
      <c r="C674" t="s">
        <v>2623</v>
      </c>
      <c r="D674" t="s">
        <v>51</v>
      </c>
      <c r="E674" t="s">
        <v>634</v>
      </c>
      <c r="F674" t="s">
        <v>2624</v>
      </c>
      <c r="G674" t="s">
        <v>2376</v>
      </c>
      <c r="H674" t="s">
        <v>2625</v>
      </c>
      <c r="I674" t="s">
        <v>2626</v>
      </c>
    </row>
    <row r="675" spans="1:9" x14ac:dyDescent="0.3">
      <c r="A675">
        <v>674</v>
      </c>
      <c r="B675">
        <v>674</v>
      </c>
      <c r="C675" t="s">
        <v>2627</v>
      </c>
      <c r="D675" t="s">
        <v>696</v>
      </c>
      <c r="E675" t="s">
        <v>151</v>
      </c>
      <c r="F675" t="s">
        <v>1962</v>
      </c>
      <c r="G675" t="s">
        <v>2628</v>
      </c>
      <c r="H675" t="s">
        <v>2629</v>
      </c>
      <c r="I675" t="s">
        <v>2630</v>
      </c>
    </row>
    <row r="676" spans="1:9" x14ac:dyDescent="0.3">
      <c r="A676">
        <v>675</v>
      </c>
      <c r="B676">
        <v>675</v>
      </c>
      <c r="C676" t="s">
        <v>2631</v>
      </c>
      <c r="D676" t="s">
        <v>2632</v>
      </c>
      <c r="E676" t="s">
        <v>715</v>
      </c>
      <c r="F676" t="s">
        <v>2633</v>
      </c>
      <c r="G676" t="s">
        <v>1098</v>
      </c>
      <c r="H676" t="s">
        <v>2634</v>
      </c>
      <c r="I676" t="s">
        <v>1512</v>
      </c>
    </row>
    <row r="677" spans="1:9" x14ac:dyDescent="0.3">
      <c r="A677">
        <v>676</v>
      </c>
      <c r="B677">
        <v>676</v>
      </c>
      <c r="C677" t="s">
        <v>2635</v>
      </c>
      <c r="D677" t="s">
        <v>10</v>
      </c>
      <c r="E677" t="s">
        <v>11</v>
      </c>
      <c r="F677" t="s">
        <v>2636</v>
      </c>
      <c r="G677" t="s">
        <v>2100</v>
      </c>
      <c r="H677" t="s">
        <v>2637</v>
      </c>
      <c r="I677" t="s">
        <v>2051</v>
      </c>
    </row>
    <row r="678" spans="1:9" x14ac:dyDescent="0.3">
      <c r="A678">
        <v>677</v>
      </c>
      <c r="B678">
        <v>677</v>
      </c>
      <c r="C678" t="s">
        <v>2638</v>
      </c>
      <c r="D678" t="s">
        <v>10</v>
      </c>
      <c r="E678" t="s">
        <v>151</v>
      </c>
      <c r="F678" t="s">
        <v>2639</v>
      </c>
      <c r="G678" t="s">
        <v>2640</v>
      </c>
      <c r="H678" t="s">
        <v>2641</v>
      </c>
      <c r="I678" t="s">
        <v>1654</v>
      </c>
    </row>
    <row r="679" spans="1:9" x14ac:dyDescent="0.3">
      <c r="A679">
        <v>678</v>
      </c>
      <c r="B679">
        <v>678</v>
      </c>
      <c r="C679" t="s">
        <v>2642</v>
      </c>
      <c r="D679" t="s">
        <v>10</v>
      </c>
      <c r="E679" t="s">
        <v>17</v>
      </c>
      <c r="F679" t="s">
        <v>1700</v>
      </c>
      <c r="G679" t="s">
        <v>1399</v>
      </c>
      <c r="H679" t="s">
        <v>252</v>
      </c>
      <c r="I679" t="s">
        <v>2643</v>
      </c>
    </row>
    <row r="680" spans="1:9" x14ac:dyDescent="0.3">
      <c r="A680">
        <v>679</v>
      </c>
      <c r="B680">
        <v>679</v>
      </c>
      <c r="C680" t="s">
        <v>2644</v>
      </c>
      <c r="D680" t="s">
        <v>249</v>
      </c>
      <c r="E680" t="s">
        <v>29</v>
      </c>
      <c r="F680" t="s">
        <v>472</v>
      </c>
      <c r="G680" t="s">
        <v>2645</v>
      </c>
      <c r="H680" t="s">
        <v>2646</v>
      </c>
      <c r="I680" t="s">
        <v>2197</v>
      </c>
    </row>
    <row r="681" spans="1:9" x14ac:dyDescent="0.3">
      <c r="A681">
        <v>680</v>
      </c>
      <c r="B681">
        <v>680</v>
      </c>
      <c r="C681" t="s">
        <v>2647</v>
      </c>
      <c r="D681" t="s">
        <v>401</v>
      </c>
      <c r="E681" t="s">
        <v>23</v>
      </c>
      <c r="F681" t="s">
        <v>2648</v>
      </c>
      <c r="G681" t="s">
        <v>1268</v>
      </c>
      <c r="H681" t="s">
        <v>1569</v>
      </c>
      <c r="I681" t="s">
        <v>207</v>
      </c>
    </row>
    <row r="682" spans="1:9" x14ac:dyDescent="0.3">
      <c r="A682">
        <v>681</v>
      </c>
      <c r="B682">
        <v>681</v>
      </c>
      <c r="C682" t="s">
        <v>2649</v>
      </c>
      <c r="D682" t="s">
        <v>696</v>
      </c>
      <c r="E682" t="s">
        <v>687</v>
      </c>
      <c r="F682" t="s">
        <v>2650</v>
      </c>
      <c r="G682" t="s">
        <v>2096</v>
      </c>
      <c r="H682" t="s">
        <v>2297</v>
      </c>
      <c r="I682" t="s">
        <v>2651</v>
      </c>
    </row>
    <row r="683" spans="1:9" x14ac:dyDescent="0.3">
      <c r="A683">
        <v>682</v>
      </c>
      <c r="B683">
        <v>682</v>
      </c>
      <c r="C683" t="s">
        <v>2652</v>
      </c>
      <c r="D683" t="s">
        <v>452</v>
      </c>
      <c r="E683" t="s">
        <v>58</v>
      </c>
      <c r="F683" t="s">
        <v>2526</v>
      </c>
      <c r="G683" t="s">
        <v>1967</v>
      </c>
      <c r="H683" t="s">
        <v>2653</v>
      </c>
      <c r="I683" t="s">
        <v>2654</v>
      </c>
    </row>
    <row r="684" spans="1:9" x14ac:dyDescent="0.3">
      <c r="A684">
        <v>683</v>
      </c>
      <c r="B684">
        <v>683</v>
      </c>
      <c r="C684" t="s">
        <v>2655</v>
      </c>
      <c r="D684" t="s">
        <v>10</v>
      </c>
      <c r="E684" t="s">
        <v>345</v>
      </c>
      <c r="F684" t="s">
        <v>1209</v>
      </c>
      <c r="G684" t="s">
        <v>2656</v>
      </c>
      <c r="H684" t="s">
        <v>2657</v>
      </c>
      <c r="I684" t="s">
        <v>2123</v>
      </c>
    </row>
    <row r="685" spans="1:9" x14ac:dyDescent="0.3">
      <c r="A685">
        <v>684</v>
      </c>
      <c r="B685">
        <v>684</v>
      </c>
      <c r="C685" t="s">
        <v>2658</v>
      </c>
      <c r="D685" t="s">
        <v>124</v>
      </c>
      <c r="E685" t="s">
        <v>726</v>
      </c>
      <c r="F685" t="s">
        <v>2659</v>
      </c>
      <c r="G685" t="s">
        <v>1967</v>
      </c>
      <c r="H685" t="s">
        <v>955</v>
      </c>
      <c r="I685" t="s">
        <v>2660</v>
      </c>
    </row>
    <row r="686" spans="1:9" x14ac:dyDescent="0.3">
      <c r="A686">
        <v>685</v>
      </c>
      <c r="B686">
        <v>685</v>
      </c>
      <c r="C686" t="s">
        <v>2661</v>
      </c>
      <c r="D686" t="s">
        <v>205</v>
      </c>
      <c r="E686" t="s">
        <v>11</v>
      </c>
      <c r="F686" t="s">
        <v>2662</v>
      </c>
      <c r="G686" t="s">
        <v>2455</v>
      </c>
      <c r="H686" t="s">
        <v>2663</v>
      </c>
      <c r="I686" t="s">
        <v>2664</v>
      </c>
    </row>
    <row r="687" spans="1:9" x14ac:dyDescent="0.3">
      <c r="A687">
        <v>686</v>
      </c>
      <c r="B687">
        <v>686</v>
      </c>
      <c r="C687" t="s">
        <v>2665</v>
      </c>
      <c r="D687" t="s">
        <v>417</v>
      </c>
      <c r="E687" t="s">
        <v>560</v>
      </c>
      <c r="F687" t="s">
        <v>2666</v>
      </c>
      <c r="G687" t="s">
        <v>2667</v>
      </c>
      <c r="H687" t="s">
        <v>2341</v>
      </c>
      <c r="I687" t="s">
        <v>1749</v>
      </c>
    </row>
    <row r="688" spans="1:9" x14ac:dyDescent="0.3">
      <c r="A688">
        <v>687</v>
      </c>
      <c r="B688">
        <v>687</v>
      </c>
      <c r="C688" t="s">
        <v>2668</v>
      </c>
      <c r="D688" t="s">
        <v>35</v>
      </c>
      <c r="E688" t="s">
        <v>151</v>
      </c>
      <c r="F688" t="s">
        <v>2203</v>
      </c>
      <c r="G688" t="s">
        <v>2669</v>
      </c>
      <c r="H688" t="s">
        <v>2670</v>
      </c>
      <c r="I688" t="s">
        <v>996</v>
      </c>
    </row>
    <row r="689" spans="1:9" x14ac:dyDescent="0.3">
      <c r="A689">
        <v>688</v>
      </c>
      <c r="B689">
        <v>688</v>
      </c>
      <c r="C689" t="s">
        <v>2671</v>
      </c>
      <c r="D689" t="s">
        <v>2672</v>
      </c>
      <c r="E689" t="s">
        <v>11</v>
      </c>
      <c r="F689" t="s">
        <v>2537</v>
      </c>
      <c r="G689" t="s">
        <v>1399</v>
      </c>
      <c r="H689" t="s">
        <v>2673</v>
      </c>
      <c r="I689" t="s">
        <v>2674</v>
      </c>
    </row>
    <row r="690" spans="1:9" x14ac:dyDescent="0.3">
      <c r="A690">
        <v>689</v>
      </c>
      <c r="B690">
        <v>689</v>
      </c>
      <c r="C690" t="s">
        <v>2675</v>
      </c>
      <c r="D690" t="s">
        <v>124</v>
      </c>
      <c r="E690" t="s">
        <v>743</v>
      </c>
      <c r="F690" t="s">
        <v>591</v>
      </c>
      <c r="G690" t="s">
        <v>1577</v>
      </c>
      <c r="H690" t="s">
        <v>2676</v>
      </c>
      <c r="I690" t="s">
        <v>1772</v>
      </c>
    </row>
    <row r="691" spans="1:9" x14ac:dyDescent="0.3">
      <c r="A691">
        <v>690</v>
      </c>
      <c r="B691">
        <v>690</v>
      </c>
      <c r="C691" t="s">
        <v>2677</v>
      </c>
      <c r="D691" t="s">
        <v>10</v>
      </c>
      <c r="E691" t="s">
        <v>98</v>
      </c>
      <c r="F691" t="s">
        <v>2678</v>
      </c>
      <c r="G691" t="s">
        <v>2679</v>
      </c>
      <c r="H691" t="s">
        <v>2025</v>
      </c>
      <c r="I691" t="s">
        <v>2680</v>
      </c>
    </row>
    <row r="692" spans="1:9" x14ac:dyDescent="0.3">
      <c r="A692">
        <v>691</v>
      </c>
      <c r="B692">
        <v>691</v>
      </c>
      <c r="C692" t="s">
        <v>2681</v>
      </c>
      <c r="D692" t="s">
        <v>10</v>
      </c>
      <c r="E692" t="s">
        <v>232</v>
      </c>
      <c r="F692" t="s">
        <v>299</v>
      </c>
      <c r="G692" t="s">
        <v>2682</v>
      </c>
      <c r="H692" t="s">
        <v>2683</v>
      </c>
      <c r="I692" t="s">
        <v>2684</v>
      </c>
    </row>
    <row r="693" spans="1:9" x14ac:dyDescent="0.3">
      <c r="A693">
        <v>692</v>
      </c>
      <c r="B693">
        <v>692</v>
      </c>
      <c r="C693" t="s">
        <v>2685</v>
      </c>
      <c r="D693" t="s">
        <v>51</v>
      </c>
      <c r="E693" t="s">
        <v>250</v>
      </c>
      <c r="F693" t="s">
        <v>1936</v>
      </c>
      <c r="G693" t="s">
        <v>2140</v>
      </c>
      <c r="H693" t="s">
        <v>2303</v>
      </c>
      <c r="I693" t="s">
        <v>2686</v>
      </c>
    </row>
    <row r="694" spans="1:9" x14ac:dyDescent="0.3">
      <c r="A694">
        <v>693</v>
      </c>
      <c r="B694">
        <v>693</v>
      </c>
      <c r="C694" t="s">
        <v>2687</v>
      </c>
      <c r="D694" t="s">
        <v>104</v>
      </c>
      <c r="E694" t="s">
        <v>715</v>
      </c>
      <c r="F694" t="s">
        <v>848</v>
      </c>
      <c r="G694" t="s">
        <v>1671</v>
      </c>
      <c r="H694" t="s">
        <v>1596</v>
      </c>
      <c r="I694" t="s">
        <v>1622</v>
      </c>
    </row>
    <row r="695" spans="1:9" x14ac:dyDescent="0.3">
      <c r="A695">
        <v>694</v>
      </c>
      <c r="B695">
        <v>694</v>
      </c>
      <c r="C695" t="s">
        <v>2688</v>
      </c>
      <c r="D695" t="s">
        <v>10</v>
      </c>
      <c r="E695" t="s">
        <v>23</v>
      </c>
      <c r="F695" t="s">
        <v>2689</v>
      </c>
      <c r="G695" t="s">
        <v>1737</v>
      </c>
      <c r="H695" t="s">
        <v>2690</v>
      </c>
      <c r="I695" t="s">
        <v>89</v>
      </c>
    </row>
    <row r="696" spans="1:9" x14ac:dyDescent="0.3">
      <c r="A696">
        <v>695</v>
      </c>
      <c r="B696">
        <v>695</v>
      </c>
      <c r="C696" t="s">
        <v>2691</v>
      </c>
      <c r="D696" t="s">
        <v>10</v>
      </c>
      <c r="E696" t="s">
        <v>98</v>
      </c>
      <c r="F696" t="s">
        <v>2692</v>
      </c>
      <c r="G696" t="s">
        <v>2555</v>
      </c>
      <c r="H696" t="s">
        <v>1817</v>
      </c>
      <c r="I696" t="s">
        <v>2693</v>
      </c>
    </row>
    <row r="697" spans="1:9" x14ac:dyDescent="0.3">
      <c r="A697">
        <v>696</v>
      </c>
      <c r="B697">
        <v>696</v>
      </c>
      <c r="C697" t="s">
        <v>2694</v>
      </c>
      <c r="D697" t="s">
        <v>249</v>
      </c>
      <c r="E697" t="s">
        <v>706</v>
      </c>
      <c r="F697" t="s">
        <v>2695</v>
      </c>
      <c r="G697" t="s">
        <v>645</v>
      </c>
      <c r="H697" t="s">
        <v>212</v>
      </c>
      <c r="I697" t="s">
        <v>2229</v>
      </c>
    </row>
    <row r="698" spans="1:9" x14ac:dyDescent="0.3">
      <c r="A698">
        <v>697</v>
      </c>
      <c r="B698">
        <v>697</v>
      </c>
      <c r="C698" t="s">
        <v>2696</v>
      </c>
      <c r="D698" t="s">
        <v>10</v>
      </c>
      <c r="E698" t="s">
        <v>243</v>
      </c>
      <c r="F698" t="s">
        <v>2353</v>
      </c>
      <c r="G698" t="s">
        <v>1340</v>
      </c>
      <c r="H698" t="s">
        <v>2529</v>
      </c>
      <c r="I698" t="s">
        <v>2182</v>
      </c>
    </row>
    <row r="699" spans="1:9" x14ac:dyDescent="0.3">
      <c r="A699">
        <v>698</v>
      </c>
      <c r="B699">
        <v>698</v>
      </c>
      <c r="C699" t="s">
        <v>2697</v>
      </c>
      <c r="D699" t="s">
        <v>51</v>
      </c>
      <c r="E699" t="s">
        <v>706</v>
      </c>
      <c r="F699" t="s">
        <v>2698</v>
      </c>
      <c r="G699" t="s">
        <v>2369</v>
      </c>
      <c r="H699" t="s">
        <v>2699</v>
      </c>
      <c r="I699" t="s">
        <v>2700</v>
      </c>
    </row>
    <row r="700" spans="1:9" x14ac:dyDescent="0.3">
      <c r="A700">
        <v>699</v>
      </c>
      <c r="B700">
        <v>699</v>
      </c>
      <c r="C700" t="s">
        <v>2701</v>
      </c>
      <c r="D700" t="s">
        <v>10</v>
      </c>
      <c r="E700" t="s">
        <v>52</v>
      </c>
      <c r="F700" t="s">
        <v>2702</v>
      </c>
      <c r="G700" t="s">
        <v>2703</v>
      </c>
      <c r="H700" t="s">
        <v>2704</v>
      </c>
      <c r="I700" t="s">
        <v>1235</v>
      </c>
    </row>
    <row r="701" spans="1:9" x14ac:dyDescent="0.3">
      <c r="A701">
        <v>700</v>
      </c>
      <c r="B701">
        <v>700</v>
      </c>
      <c r="C701" t="s">
        <v>2705</v>
      </c>
      <c r="D701" t="s">
        <v>70</v>
      </c>
      <c r="E701" t="s">
        <v>23</v>
      </c>
      <c r="F701" t="s">
        <v>1141</v>
      </c>
      <c r="G701" t="s">
        <v>1584</v>
      </c>
      <c r="H701" t="s">
        <v>2706</v>
      </c>
      <c r="I701" t="s">
        <v>2231</v>
      </c>
    </row>
    <row r="702" spans="1:9" x14ac:dyDescent="0.3">
      <c r="A702">
        <v>701</v>
      </c>
      <c r="B702">
        <v>701</v>
      </c>
      <c r="C702" t="s">
        <v>2707</v>
      </c>
      <c r="D702" t="s">
        <v>104</v>
      </c>
      <c r="E702" t="s">
        <v>365</v>
      </c>
      <c r="F702" t="s">
        <v>1143</v>
      </c>
      <c r="G702" t="s">
        <v>1572</v>
      </c>
      <c r="H702" t="s">
        <v>2708</v>
      </c>
      <c r="I702" t="s">
        <v>2355</v>
      </c>
    </row>
    <row r="703" spans="1:9" x14ac:dyDescent="0.3">
      <c r="A703">
        <v>702</v>
      </c>
      <c r="B703">
        <v>702</v>
      </c>
      <c r="C703" t="s">
        <v>2709</v>
      </c>
      <c r="D703" t="s">
        <v>10</v>
      </c>
      <c r="E703" t="s">
        <v>11</v>
      </c>
      <c r="F703" t="s">
        <v>2636</v>
      </c>
      <c r="G703" t="s">
        <v>1111</v>
      </c>
      <c r="H703" t="s">
        <v>2710</v>
      </c>
      <c r="I703" t="s">
        <v>2711</v>
      </c>
    </row>
    <row r="704" spans="1:9" x14ac:dyDescent="0.3">
      <c r="A704">
        <v>703</v>
      </c>
      <c r="B704">
        <v>703</v>
      </c>
      <c r="C704" t="s">
        <v>2712</v>
      </c>
      <c r="D704" t="s">
        <v>10</v>
      </c>
      <c r="E704" t="s">
        <v>464</v>
      </c>
      <c r="F704" t="s">
        <v>2713</v>
      </c>
      <c r="G704" t="s">
        <v>1577</v>
      </c>
      <c r="H704" t="s">
        <v>1942</v>
      </c>
      <c r="I704" t="s">
        <v>2714</v>
      </c>
    </row>
    <row r="705" spans="1:9" x14ac:dyDescent="0.3">
      <c r="A705">
        <v>704</v>
      </c>
      <c r="B705">
        <v>704</v>
      </c>
      <c r="C705" t="s">
        <v>2715</v>
      </c>
      <c r="D705" t="s">
        <v>10</v>
      </c>
      <c r="E705" t="s">
        <v>58</v>
      </c>
      <c r="F705" t="s">
        <v>2716</v>
      </c>
      <c r="G705" t="s">
        <v>1949</v>
      </c>
      <c r="H705" t="s">
        <v>2717</v>
      </c>
      <c r="I705" t="s">
        <v>910</v>
      </c>
    </row>
    <row r="706" spans="1:9" x14ac:dyDescent="0.3">
      <c r="A706">
        <v>705</v>
      </c>
      <c r="B706">
        <v>705</v>
      </c>
      <c r="C706" t="s">
        <v>2718</v>
      </c>
      <c r="D706" t="s">
        <v>297</v>
      </c>
      <c r="E706" t="s">
        <v>58</v>
      </c>
      <c r="F706" t="s">
        <v>2719</v>
      </c>
      <c r="G706" t="s">
        <v>2282</v>
      </c>
      <c r="H706" t="s">
        <v>2720</v>
      </c>
      <c r="I706" t="s">
        <v>1950</v>
      </c>
    </row>
    <row r="707" spans="1:9" x14ac:dyDescent="0.3">
      <c r="A707">
        <v>706</v>
      </c>
      <c r="B707">
        <v>706</v>
      </c>
      <c r="C707" t="s">
        <v>2721</v>
      </c>
      <c r="D707" t="s">
        <v>10</v>
      </c>
      <c r="E707" t="s">
        <v>706</v>
      </c>
      <c r="F707" t="s">
        <v>2722</v>
      </c>
      <c r="G707" t="s">
        <v>1123</v>
      </c>
      <c r="H707" t="s">
        <v>2199</v>
      </c>
      <c r="I707" t="s">
        <v>2723</v>
      </c>
    </row>
    <row r="708" spans="1:9" x14ac:dyDescent="0.3">
      <c r="A708">
        <v>707</v>
      </c>
      <c r="B708">
        <v>707</v>
      </c>
      <c r="C708" t="s">
        <v>2724</v>
      </c>
      <c r="D708" t="s">
        <v>104</v>
      </c>
      <c r="E708" t="s">
        <v>365</v>
      </c>
      <c r="F708" t="s">
        <v>2725</v>
      </c>
      <c r="G708" t="s">
        <v>1098</v>
      </c>
      <c r="H708" t="s">
        <v>1424</v>
      </c>
      <c r="I708" t="s">
        <v>1567</v>
      </c>
    </row>
    <row r="709" spans="1:9" x14ac:dyDescent="0.3">
      <c r="A709">
        <v>708</v>
      </c>
      <c r="B709">
        <v>708</v>
      </c>
      <c r="C709" t="s">
        <v>2726</v>
      </c>
      <c r="D709" t="s">
        <v>10</v>
      </c>
      <c r="E709" t="s">
        <v>743</v>
      </c>
      <c r="F709" t="s">
        <v>2088</v>
      </c>
      <c r="G709" t="s">
        <v>2369</v>
      </c>
      <c r="H709" t="s">
        <v>2513</v>
      </c>
      <c r="I709" t="s">
        <v>2727</v>
      </c>
    </row>
    <row r="710" spans="1:9" x14ac:dyDescent="0.3">
      <c r="A710">
        <v>709</v>
      </c>
      <c r="B710">
        <v>709</v>
      </c>
      <c r="C710" t="s">
        <v>2728</v>
      </c>
      <c r="D710" t="s">
        <v>10</v>
      </c>
      <c r="E710" t="s">
        <v>23</v>
      </c>
      <c r="F710" t="s">
        <v>851</v>
      </c>
      <c r="G710" t="s">
        <v>915</v>
      </c>
      <c r="H710" t="s">
        <v>1382</v>
      </c>
      <c r="I710" t="s">
        <v>2729</v>
      </c>
    </row>
    <row r="711" spans="1:9" x14ac:dyDescent="0.3">
      <c r="A711">
        <v>710</v>
      </c>
      <c r="B711">
        <v>710</v>
      </c>
      <c r="C711" t="s">
        <v>2730</v>
      </c>
      <c r="D711" t="s">
        <v>51</v>
      </c>
      <c r="E711" t="s">
        <v>726</v>
      </c>
      <c r="F711" t="s">
        <v>2731</v>
      </c>
      <c r="G711" t="s">
        <v>2732</v>
      </c>
      <c r="H711" t="s">
        <v>2733</v>
      </c>
      <c r="I711" t="s">
        <v>653</v>
      </c>
    </row>
    <row r="712" spans="1:9" x14ac:dyDescent="0.3">
      <c r="A712">
        <v>711</v>
      </c>
      <c r="B712">
        <v>711</v>
      </c>
      <c r="C712" t="s">
        <v>2734</v>
      </c>
      <c r="D712" t="s">
        <v>76</v>
      </c>
      <c r="E712" t="s">
        <v>232</v>
      </c>
      <c r="F712" t="s">
        <v>2253</v>
      </c>
      <c r="G712" t="s">
        <v>1671</v>
      </c>
      <c r="H712" t="s">
        <v>2400</v>
      </c>
      <c r="I712" t="s">
        <v>1461</v>
      </c>
    </row>
    <row r="713" spans="1:9" x14ac:dyDescent="0.3">
      <c r="A713">
        <v>712</v>
      </c>
      <c r="B713">
        <v>712</v>
      </c>
      <c r="C713" t="s">
        <v>2735</v>
      </c>
      <c r="D713" t="s">
        <v>70</v>
      </c>
      <c r="E713" t="s">
        <v>510</v>
      </c>
      <c r="F713" t="s">
        <v>2736</v>
      </c>
      <c r="G713" t="s">
        <v>1098</v>
      </c>
      <c r="H713" t="s">
        <v>2276</v>
      </c>
      <c r="I713" t="s">
        <v>1212</v>
      </c>
    </row>
    <row r="714" spans="1:9" x14ac:dyDescent="0.3">
      <c r="A714">
        <v>713</v>
      </c>
      <c r="B714">
        <v>713</v>
      </c>
      <c r="C714" t="s">
        <v>2737</v>
      </c>
      <c r="D714" t="s">
        <v>51</v>
      </c>
      <c r="E714" t="s">
        <v>634</v>
      </c>
      <c r="F714" t="s">
        <v>1604</v>
      </c>
      <c r="G714" t="s">
        <v>2455</v>
      </c>
      <c r="H714" t="s">
        <v>2686</v>
      </c>
      <c r="I714" t="s">
        <v>1663</v>
      </c>
    </row>
    <row r="715" spans="1:9" x14ac:dyDescent="0.3">
      <c r="A715">
        <v>714</v>
      </c>
      <c r="B715">
        <v>714</v>
      </c>
      <c r="C715" t="s">
        <v>2738</v>
      </c>
      <c r="D715" t="s">
        <v>10</v>
      </c>
      <c r="E715" t="s">
        <v>23</v>
      </c>
      <c r="F715" t="s">
        <v>2739</v>
      </c>
      <c r="G715" t="s">
        <v>1268</v>
      </c>
      <c r="H715" t="s">
        <v>1332</v>
      </c>
      <c r="I715" t="s">
        <v>2380</v>
      </c>
    </row>
    <row r="716" spans="1:9" x14ac:dyDescent="0.3">
      <c r="A716">
        <v>715</v>
      </c>
      <c r="B716">
        <v>715</v>
      </c>
      <c r="C716" t="s">
        <v>2740</v>
      </c>
      <c r="D716" t="s">
        <v>10</v>
      </c>
      <c r="E716" t="s">
        <v>345</v>
      </c>
      <c r="F716" t="s">
        <v>1088</v>
      </c>
      <c r="G716" t="s">
        <v>1958</v>
      </c>
      <c r="H716" t="s">
        <v>2741</v>
      </c>
      <c r="I716" t="s">
        <v>443</v>
      </c>
    </row>
    <row r="717" spans="1:9" x14ac:dyDescent="0.3">
      <c r="A717">
        <v>716</v>
      </c>
      <c r="B717">
        <v>716</v>
      </c>
      <c r="C717" t="s">
        <v>2742</v>
      </c>
      <c r="D717" t="s">
        <v>35</v>
      </c>
      <c r="E717" t="s">
        <v>715</v>
      </c>
      <c r="F717" t="s">
        <v>1544</v>
      </c>
      <c r="G717" t="s">
        <v>1506</v>
      </c>
      <c r="H717" t="s">
        <v>2201</v>
      </c>
      <c r="I717" t="s">
        <v>60</v>
      </c>
    </row>
    <row r="718" spans="1:9" x14ac:dyDescent="0.3">
      <c r="A718">
        <v>717</v>
      </c>
      <c r="B718">
        <v>717</v>
      </c>
      <c r="C718" t="s">
        <v>2743</v>
      </c>
      <c r="D718" t="s">
        <v>10</v>
      </c>
      <c r="E718" t="s">
        <v>64</v>
      </c>
      <c r="F718" t="s">
        <v>1841</v>
      </c>
      <c r="G718" t="s">
        <v>1958</v>
      </c>
      <c r="H718" t="s">
        <v>2744</v>
      </c>
      <c r="I718" t="s">
        <v>2350</v>
      </c>
    </row>
    <row r="719" spans="1:9" x14ac:dyDescent="0.3">
      <c r="A719">
        <v>718</v>
      </c>
      <c r="B719">
        <v>718</v>
      </c>
      <c r="C719" t="s">
        <v>2745</v>
      </c>
      <c r="D719" t="s">
        <v>35</v>
      </c>
      <c r="E719" t="s">
        <v>345</v>
      </c>
      <c r="F719" t="s">
        <v>2746</v>
      </c>
      <c r="G719" t="s">
        <v>933</v>
      </c>
      <c r="H719" t="s">
        <v>2747</v>
      </c>
      <c r="I719" t="s">
        <v>2748</v>
      </c>
    </row>
    <row r="720" spans="1:9" x14ac:dyDescent="0.3">
      <c r="A720">
        <v>719</v>
      </c>
      <c r="B720">
        <v>719</v>
      </c>
      <c r="C720" t="s">
        <v>2749</v>
      </c>
      <c r="D720" t="s">
        <v>51</v>
      </c>
      <c r="E720" t="s">
        <v>726</v>
      </c>
      <c r="F720" t="s">
        <v>2750</v>
      </c>
      <c r="G720" t="s">
        <v>1572</v>
      </c>
      <c r="H720" t="s">
        <v>2751</v>
      </c>
      <c r="I720" t="s">
        <v>2722</v>
      </c>
    </row>
    <row r="721" spans="1:9" x14ac:dyDescent="0.3">
      <c r="A721">
        <v>720</v>
      </c>
      <c r="B721">
        <v>720</v>
      </c>
      <c r="C721" t="s">
        <v>2752</v>
      </c>
      <c r="D721" t="s">
        <v>1632</v>
      </c>
      <c r="E721" t="s">
        <v>29</v>
      </c>
      <c r="F721" t="s">
        <v>2212</v>
      </c>
      <c r="G721" t="s">
        <v>2369</v>
      </c>
      <c r="H721" t="s">
        <v>2753</v>
      </c>
      <c r="I721" t="s">
        <v>1063</v>
      </c>
    </row>
    <row r="722" spans="1:9" x14ac:dyDescent="0.3">
      <c r="A722">
        <v>721</v>
      </c>
      <c r="B722">
        <v>721</v>
      </c>
      <c r="C722" t="s">
        <v>2754</v>
      </c>
      <c r="D722" t="s">
        <v>10</v>
      </c>
      <c r="E722" t="s">
        <v>743</v>
      </c>
      <c r="F722" t="s">
        <v>2755</v>
      </c>
      <c r="G722" t="s">
        <v>933</v>
      </c>
      <c r="H722" t="s">
        <v>1940</v>
      </c>
      <c r="I722" t="s">
        <v>2756</v>
      </c>
    </row>
    <row r="723" spans="1:9" x14ac:dyDescent="0.3">
      <c r="A723">
        <v>722</v>
      </c>
      <c r="B723">
        <v>722</v>
      </c>
      <c r="C723" t="s">
        <v>2757</v>
      </c>
      <c r="D723" t="s">
        <v>696</v>
      </c>
      <c r="E723" t="s">
        <v>23</v>
      </c>
      <c r="F723" t="s">
        <v>2758</v>
      </c>
      <c r="G723" t="s">
        <v>2759</v>
      </c>
      <c r="H723" t="s">
        <v>2760</v>
      </c>
      <c r="I723" t="s">
        <v>2157</v>
      </c>
    </row>
    <row r="724" spans="1:9" x14ac:dyDescent="0.3">
      <c r="A724">
        <v>723</v>
      </c>
      <c r="B724">
        <v>723</v>
      </c>
      <c r="C724" t="s">
        <v>2761</v>
      </c>
      <c r="D724" t="s">
        <v>35</v>
      </c>
      <c r="E724" t="s">
        <v>232</v>
      </c>
      <c r="F724" t="s">
        <v>2762</v>
      </c>
      <c r="G724" t="s">
        <v>2096</v>
      </c>
      <c r="H724" t="s">
        <v>2763</v>
      </c>
      <c r="I724" t="s">
        <v>2764</v>
      </c>
    </row>
    <row r="725" spans="1:9" x14ac:dyDescent="0.3">
      <c r="A725">
        <v>724</v>
      </c>
      <c r="B725">
        <v>724</v>
      </c>
      <c r="C725" t="s">
        <v>2765</v>
      </c>
      <c r="D725" t="s">
        <v>401</v>
      </c>
      <c r="E725" t="s">
        <v>23</v>
      </c>
      <c r="F725" t="s">
        <v>460</v>
      </c>
      <c r="G725" t="s">
        <v>1737</v>
      </c>
      <c r="H725" t="s">
        <v>2766</v>
      </c>
      <c r="I725" t="s">
        <v>491</v>
      </c>
    </row>
    <row r="726" spans="1:9" x14ac:dyDescent="0.3">
      <c r="A726">
        <v>725</v>
      </c>
      <c r="B726">
        <v>725</v>
      </c>
      <c r="C726" t="s">
        <v>2767</v>
      </c>
      <c r="D726" t="s">
        <v>51</v>
      </c>
      <c r="E726" t="s">
        <v>98</v>
      </c>
      <c r="F726" t="s">
        <v>1370</v>
      </c>
      <c r="G726" t="s">
        <v>1995</v>
      </c>
      <c r="H726" t="s">
        <v>2768</v>
      </c>
      <c r="I726" t="s">
        <v>2769</v>
      </c>
    </row>
    <row r="727" spans="1:9" x14ac:dyDescent="0.3">
      <c r="A727">
        <v>726</v>
      </c>
      <c r="B727">
        <v>726</v>
      </c>
      <c r="C727" t="s">
        <v>2770</v>
      </c>
      <c r="D727" t="s">
        <v>657</v>
      </c>
      <c r="E727" t="s">
        <v>11</v>
      </c>
      <c r="F727" t="s">
        <v>2654</v>
      </c>
      <c r="G727" t="s">
        <v>1335</v>
      </c>
      <c r="H727" t="s">
        <v>2771</v>
      </c>
      <c r="I727" t="s">
        <v>2772</v>
      </c>
    </row>
    <row r="728" spans="1:9" x14ac:dyDescent="0.3">
      <c r="A728">
        <v>727</v>
      </c>
      <c r="B728">
        <v>727</v>
      </c>
      <c r="C728" t="s">
        <v>2773</v>
      </c>
      <c r="D728" t="s">
        <v>10</v>
      </c>
      <c r="E728" t="s">
        <v>715</v>
      </c>
      <c r="F728" t="s">
        <v>1354</v>
      </c>
      <c r="G728" t="s">
        <v>1012</v>
      </c>
      <c r="H728" t="s">
        <v>2774</v>
      </c>
      <c r="I728" t="s">
        <v>2568</v>
      </c>
    </row>
    <row r="729" spans="1:9" x14ac:dyDescent="0.3">
      <c r="A729">
        <v>728</v>
      </c>
      <c r="B729">
        <v>728</v>
      </c>
      <c r="C729" t="s">
        <v>2775</v>
      </c>
      <c r="D729" t="s">
        <v>51</v>
      </c>
      <c r="E729" t="s">
        <v>345</v>
      </c>
      <c r="F729" t="s">
        <v>115</v>
      </c>
      <c r="G729" t="s">
        <v>1958</v>
      </c>
      <c r="H729" t="s">
        <v>2776</v>
      </c>
      <c r="I729" t="s">
        <v>2777</v>
      </c>
    </row>
    <row r="730" spans="1:9" x14ac:dyDescent="0.3">
      <c r="A730">
        <v>729</v>
      </c>
      <c r="B730">
        <v>729</v>
      </c>
      <c r="C730" t="s">
        <v>2778</v>
      </c>
      <c r="D730" t="s">
        <v>104</v>
      </c>
      <c r="E730" t="s">
        <v>52</v>
      </c>
      <c r="F730" t="s">
        <v>2145</v>
      </c>
      <c r="G730" t="s">
        <v>1741</v>
      </c>
      <c r="H730" t="s">
        <v>2779</v>
      </c>
      <c r="I730" t="s">
        <v>2112</v>
      </c>
    </row>
    <row r="731" spans="1:9" x14ac:dyDescent="0.3">
      <c r="A731">
        <v>730</v>
      </c>
      <c r="B731">
        <v>730</v>
      </c>
      <c r="C731" t="s">
        <v>2780</v>
      </c>
      <c r="D731" t="s">
        <v>10</v>
      </c>
      <c r="E731" t="s">
        <v>64</v>
      </c>
      <c r="F731" t="s">
        <v>171</v>
      </c>
      <c r="G731" t="s">
        <v>2140</v>
      </c>
      <c r="H731" t="s">
        <v>1464</v>
      </c>
      <c r="I731" t="s">
        <v>2781</v>
      </c>
    </row>
    <row r="732" spans="1:9" x14ac:dyDescent="0.3">
      <c r="A732">
        <v>731</v>
      </c>
      <c r="B732">
        <v>731</v>
      </c>
      <c r="C732" t="s">
        <v>2782</v>
      </c>
      <c r="D732" t="s">
        <v>10</v>
      </c>
      <c r="E732" t="s">
        <v>64</v>
      </c>
      <c r="F732" t="s">
        <v>2515</v>
      </c>
      <c r="G732" t="s">
        <v>1949</v>
      </c>
      <c r="H732" t="s">
        <v>2783</v>
      </c>
      <c r="I732" t="s">
        <v>2784</v>
      </c>
    </row>
    <row r="733" spans="1:9" x14ac:dyDescent="0.3">
      <c r="A733">
        <v>732</v>
      </c>
      <c r="B733">
        <v>732</v>
      </c>
      <c r="C733" t="s">
        <v>2785</v>
      </c>
      <c r="D733" t="s">
        <v>10</v>
      </c>
      <c r="E733" t="s">
        <v>11</v>
      </c>
      <c r="F733" t="s">
        <v>891</v>
      </c>
      <c r="G733" t="s">
        <v>2096</v>
      </c>
      <c r="H733" t="s">
        <v>1912</v>
      </c>
      <c r="I733" t="s">
        <v>2786</v>
      </c>
    </row>
    <row r="734" spans="1:9" x14ac:dyDescent="0.3">
      <c r="A734">
        <v>733</v>
      </c>
      <c r="B734">
        <v>733</v>
      </c>
      <c r="C734" t="s">
        <v>2787</v>
      </c>
      <c r="D734" t="s">
        <v>452</v>
      </c>
      <c r="E734" t="s">
        <v>17</v>
      </c>
      <c r="F734">
        <v>5</v>
      </c>
      <c r="G734" t="s">
        <v>1111</v>
      </c>
      <c r="H734" t="s">
        <v>2788</v>
      </c>
      <c r="I734" t="s">
        <v>1314</v>
      </c>
    </row>
    <row r="735" spans="1:9" x14ac:dyDescent="0.3">
      <c r="A735">
        <v>734</v>
      </c>
      <c r="B735">
        <v>734</v>
      </c>
      <c r="C735" t="s">
        <v>2789</v>
      </c>
      <c r="D735" t="s">
        <v>51</v>
      </c>
      <c r="E735" t="s">
        <v>510</v>
      </c>
      <c r="F735" t="s">
        <v>2790</v>
      </c>
      <c r="G735" t="s">
        <v>1857</v>
      </c>
      <c r="H735" t="s">
        <v>1369</v>
      </c>
      <c r="I735" t="s">
        <v>2433</v>
      </c>
    </row>
    <row r="736" spans="1:9" x14ac:dyDescent="0.3">
      <c r="A736">
        <v>735</v>
      </c>
      <c r="B736">
        <v>735</v>
      </c>
      <c r="C736" t="s">
        <v>2791</v>
      </c>
      <c r="D736" t="s">
        <v>216</v>
      </c>
      <c r="E736" t="s">
        <v>726</v>
      </c>
      <c r="F736" t="s">
        <v>1476</v>
      </c>
      <c r="G736" t="s">
        <v>1335</v>
      </c>
      <c r="H736" t="s">
        <v>1824</v>
      </c>
      <c r="I736" t="s">
        <v>2197</v>
      </c>
    </row>
    <row r="737" spans="1:9" x14ac:dyDescent="0.3">
      <c r="A737">
        <v>736</v>
      </c>
      <c r="B737">
        <v>736</v>
      </c>
      <c r="C737" t="s">
        <v>2792</v>
      </c>
      <c r="D737" t="s">
        <v>51</v>
      </c>
      <c r="E737" t="s">
        <v>365</v>
      </c>
      <c r="F737" t="s">
        <v>1698</v>
      </c>
      <c r="G737" t="s">
        <v>2471</v>
      </c>
      <c r="H737" t="s">
        <v>42</v>
      </c>
      <c r="I737" t="s">
        <v>2549</v>
      </c>
    </row>
    <row r="738" spans="1:9" x14ac:dyDescent="0.3">
      <c r="A738">
        <v>737</v>
      </c>
      <c r="B738">
        <v>737</v>
      </c>
      <c r="C738" t="s">
        <v>2793</v>
      </c>
      <c r="D738" t="s">
        <v>35</v>
      </c>
      <c r="E738" t="s">
        <v>58</v>
      </c>
      <c r="F738" t="s">
        <v>377</v>
      </c>
      <c r="G738" t="s">
        <v>1098</v>
      </c>
      <c r="H738" t="s">
        <v>2794</v>
      </c>
      <c r="I738" t="s">
        <v>2795</v>
      </c>
    </row>
    <row r="739" spans="1:9" x14ac:dyDescent="0.3">
      <c r="A739">
        <v>738</v>
      </c>
      <c r="B739">
        <v>738</v>
      </c>
      <c r="C739" t="s">
        <v>2796</v>
      </c>
      <c r="D739" t="s">
        <v>35</v>
      </c>
      <c r="E739" t="s">
        <v>130</v>
      </c>
      <c r="F739" t="s">
        <v>2136</v>
      </c>
      <c r="G739" t="s">
        <v>1202</v>
      </c>
      <c r="H739" t="s">
        <v>2155</v>
      </c>
      <c r="I739" t="s">
        <v>2784</v>
      </c>
    </row>
    <row r="740" spans="1:9" x14ac:dyDescent="0.3">
      <c r="A740">
        <v>739</v>
      </c>
      <c r="B740">
        <v>739</v>
      </c>
      <c r="C740" t="s">
        <v>2797</v>
      </c>
      <c r="D740" t="s">
        <v>1441</v>
      </c>
      <c r="E740" t="s">
        <v>634</v>
      </c>
      <c r="F740" t="s">
        <v>2798</v>
      </c>
      <c r="G740" t="s">
        <v>1038</v>
      </c>
      <c r="H740" t="s">
        <v>2299</v>
      </c>
      <c r="I740" t="s">
        <v>1721</v>
      </c>
    </row>
    <row r="741" spans="1:9" x14ac:dyDescent="0.3">
      <c r="A741">
        <v>740</v>
      </c>
      <c r="B741">
        <v>740</v>
      </c>
      <c r="C741" t="s">
        <v>2799</v>
      </c>
      <c r="D741" t="s">
        <v>51</v>
      </c>
      <c r="E741" t="s">
        <v>365</v>
      </c>
      <c r="F741" t="s">
        <v>2800</v>
      </c>
      <c r="G741" t="s">
        <v>2801</v>
      </c>
      <c r="H741" t="s">
        <v>2802</v>
      </c>
      <c r="I741" t="s">
        <v>2803</v>
      </c>
    </row>
    <row r="742" spans="1:9" x14ac:dyDescent="0.3">
      <c r="A742">
        <v>741</v>
      </c>
      <c r="B742">
        <v>741</v>
      </c>
      <c r="C742" t="s">
        <v>2804</v>
      </c>
      <c r="D742" t="s">
        <v>10</v>
      </c>
      <c r="E742" t="s">
        <v>52</v>
      </c>
      <c r="F742" t="s">
        <v>909</v>
      </c>
      <c r="G742" t="s">
        <v>1111</v>
      </c>
      <c r="H742" t="s">
        <v>2805</v>
      </c>
      <c r="I742" t="s">
        <v>2664</v>
      </c>
    </row>
    <row r="743" spans="1:9" x14ac:dyDescent="0.3">
      <c r="A743">
        <v>742</v>
      </c>
      <c r="B743">
        <v>742</v>
      </c>
      <c r="C743" t="s">
        <v>2806</v>
      </c>
      <c r="D743" t="s">
        <v>633</v>
      </c>
      <c r="E743" t="s">
        <v>706</v>
      </c>
      <c r="F743" t="s">
        <v>2552</v>
      </c>
      <c r="G743" t="s">
        <v>1958</v>
      </c>
      <c r="H743" t="s">
        <v>2029</v>
      </c>
      <c r="I743" t="s">
        <v>2807</v>
      </c>
    </row>
    <row r="744" spans="1:9" x14ac:dyDescent="0.3">
      <c r="A744">
        <v>743</v>
      </c>
      <c r="B744">
        <v>743</v>
      </c>
      <c r="C744" t="s">
        <v>2808</v>
      </c>
      <c r="D744" t="s">
        <v>10</v>
      </c>
      <c r="E744" t="s">
        <v>687</v>
      </c>
      <c r="F744" t="s">
        <v>2809</v>
      </c>
      <c r="G744" t="s">
        <v>1118</v>
      </c>
      <c r="H744" t="s">
        <v>2810</v>
      </c>
      <c r="I744" t="s">
        <v>2811</v>
      </c>
    </row>
    <row r="745" spans="1:9" x14ac:dyDescent="0.3">
      <c r="A745">
        <v>744</v>
      </c>
      <c r="B745">
        <v>744</v>
      </c>
      <c r="C745" t="s">
        <v>2812</v>
      </c>
      <c r="D745" t="s">
        <v>1679</v>
      </c>
      <c r="E745" t="s">
        <v>130</v>
      </c>
      <c r="F745" t="s">
        <v>547</v>
      </c>
      <c r="G745" t="s">
        <v>1202</v>
      </c>
      <c r="H745" t="s">
        <v>1964</v>
      </c>
      <c r="I745" t="s">
        <v>1427</v>
      </c>
    </row>
    <row r="746" spans="1:9" x14ac:dyDescent="0.3">
      <c r="A746">
        <v>745</v>
      </c>
      <c r="B746">
        <v>745</v>
      </c>
      <c r="C746" t="s">
        <v>2813</v>
      </c>
      <c r="D746" t="s">
        <v>452</v>
      </c>
      <c r="E746" t="s">
        <v>634</v>
      </c>
      <c r="F746" t="s">
        <v>1733</v>
      </c>
      <c r="G746" t="s">
        <v>1012</v>
      </c>
      <c r="H746" t="s">
        <v>2029</v>
      </c>
      <c r="I746" t="s">
        <v>2576</v>
      </c>
    </row>
    <row r="747" spans="1:9" x14ac:dyDescent="0.3">
      <c r="A747">
        <v>746</v>
      </c>
      <c r="B747">
        <v>746</v>
      </c>
      <c r="C747" t="s">
        <v>2814</v>
      </c>
      <c r="D747" t="s">
        <v>2329</v>
      </c>
      <c r="E747" t="s">
        <v>11</v>
      </c>
      <c r="F747" t="s">
        <v>2815</v>
      </c>
      <c r="G747" t="s">
        <v>865</v>
      </c>
      <c r="H747" t="s">
        <v>2816</v>
      </c>
      <c r="I747" t="s">
        <v>788</v>
      </c>
    </row>
    <row r="748" spans="1:9" x14ac:dyDescent="0.3">
      <c r="A748">
        <v>747</v>
      </c>
      <c r="B748">
        <v>747</v>
      </c>
      <c r="C748" t="s">
        <v>2817</v>
      </c>
      <c r="D748" t="s">
        <v>124</v>
      </c>
      <c r="E748" t="s">
        <v>243</v>
      </c>
      <c r="F748" t="s">
        <v>2818</v>
      </c>
      <c r="G748" t="s">
        <v>1254</v>
      </c>
      <c r="H748" t="s">
        <v>2526</v>
      </c>
      <c r="I748" t="s">
        <v>1950</v>
      </c>
    </row>
    <row r="749" spans="1:9" x14ac:dyDescent="0.3">
      <c r="A749">
        <v>748</v>
      </c>
      <c r="B749">
        <v>748</v>
      </c>
      <c r="C749" t="s">
        <v>2819</v>
      </c>
      <c r="D749" t="s">
        <v>297</v>
      </c>
      <c r="E749" t="s">
        <v>11</v>
      </c>
      <c r="F749" t="s">
        <v>2820</v>
      </c>
      <c r="G749" t="s">
        <v>1958</v>
      </c>
      <c r="H749" t="s">
        <v>1695</v>
      </c>
      <c r="I749" t="s">
        <v>1366</v>
      </c>
    </row>
    <row r="750" spans="1:9" x14ac:dyDescent="0.3">
      <c r="A750">
        <v>749</v>
      </c>
      <c r="B750">
        <v>749</v>
      </c>
      <c r="C750" t="s">
        <v>2821</v>
      </c>
      <c r="D750" t="s">
        <v>10</v>
      </c>
      <c r="E750" t="s">
        <v>11</v>
      </c>
      <c r="F750" t="s">
        <v>512</v>
      </c>
      <c r="G750" t="s">
        <v>1068</v>
      </c>
      <c r="H750" t="s">
        <v>2822</v>
      </c>
      <c r="I750" t="s">
        <v>1041</v>
      </c>
    </row>
    <row r="751" spans="1:9" x14ac:dyDescent="0.3">
      <c r="A751">
        <v>750</v>
      </c>
      <c r="B751">
        <v>750</v>
      </c>
      <c r="C751" t="s">
        <v>2823</v>
      </c>
      <c r="D751" t="s">
        <v>10</v>
      </c>
      <c r="E751" t="s">
        <v>706</v>
      </c>
      <c r="F751" t="s">
        <v>762</v>
      </c>
      <c r="G751" t="s">
        <v>1737</v>
      </c>
      <c r="H751" t="s">
        <v>94</v>
      </c>
      <c r="I751" t="s">
        <v>2824</v>
      </c>
    </row>
    <row r="752" spans="1:9" x14ac:dyDescent="0.3">
      <c r="A752">
        <v>751</v>
      </c>
      <c r="B752">
        <v>751</v>
      </c>
      <c r="C752" t="s">
        <v>2825</v>
      </c>
      <c r="D752" t="s">
        <v>417</v>
      </c>
      <c r="E752" t="s">
        <v>23</v>
      </c>
      <c r="F752" t="s">
        <v>2826</v>
      </c>
      <c r="G752" t="s">
        <v>1335</v>
      </c>
      <c r="H752" t="s">
        <v>2827</v>
      </c>
      <c r="I752" t="s">
        <v>1152</v>
      </c>
    </row>
    <row r="753" spans="1:9" x14ac:dyDescent="0.3">
      <c r="A753">
        <v>752</v>
      </c>
      <c r="B753">
        <v>752</v>
      </c>
      <c r="C753" t="s">
        <v>2828</v>
      </c>
      <c r="D753" t="s">
        <v>436</v>
      </c>
      <c r="E753" t="s">
        <v>23</v>
      </c>
      <c r="F753" t="s">
        <v>739</v>
      </c>
      <c r="G753" t="s">
        <v>1202</v>
      </c>
      <c r="H753" t="s">
        <v>2362</v>
      </c>
      <c r="I753" t="s">
        <v>143</v>
      </c>
    </row>
    <row r="754" spans="1:9" x14ac:dyDescent="0.3">
      <c r="A754">
        <v>753</v>
      </c>
      <c r="B754">
        <v>753</v>
      </c>
      <c r="C754" t="s">
        <v>2829</v>
      </c>
      <c r="D754" t="s">
        <v>10</v>
      </c>
      <c r="E754" t="s">
        <v>243</v>
      </c>
      <c r="F754" t="s">
        <v>2830</v>
      </c>
      <c r="G754" t="s">
        <v>1286</v>
      </c>
      <c r="H754" t="s">
        <v>2041</v>
      </c>
      <c r="I754" t="s">
        <v>2263</v>
      </c>
    </row>
    <row r="755" spans="1:9" x14ac:dyDescent="0.3">
      <c r="A755">
        <v>754</v>
      </c>
      <c r="B755">
        <v>754</v>
      </c>
      <c r="C755" t="s">
        <v>2831</v>
      </c>
      <c r="D755" t="s">
        <v>51</v>
      </c>
      <c r="E755" t="s">
        <v>11</v>
      </c>
      <c r="F755" t="s">
        <v>2832</v>
      </c>
      <c r="G755" t="s">
        <v>2543</v>
      </c>
      <c r="H755" t="s">
        <v>2833</v>
      </c>
      <c r="I755" t="s">
        <v>1904</v>
      </c>
    </row>
    <row r="756" spans="1:9" x14ac:dyDescent="0.3">
      <c r="A756">
        <v>755</v>
      </c>
      <c r="B756">
        <v>755</v>
      </c>
      <c r="C756" t="s">
        <v>2834</v>
      </c>
      <c r="D756" t="s">
        <v>737</v>
      </c>
      <c r="E756" t="s">
        <v>365</v>
      </c>
      <c r="F756" t="s">
        <v>754</v>
      </c>
      <c r="G756" t="s">
        <v>1340</v>
      </c>
      <c r="H756" t="s">
        <v>2835</v>
      </c>
      <c r="I756" t="s">
        <v>2836</v>
      </c>
    </row>
    <row r="757" spans="1:9" x14ac:dyDescent="0.3">
      <c r="A757">
        <v>756</v>
      </c>
      <c r="B757">
        <v>756</v>
      </c>
      <c r="C757" t="s">
        <v>2837</v>
      </c>
      <c r="D757" t="s">
        <v>104</v>
      </c>
      <c r="E757" t="s">
        <v>232</v>
      </c>
      <c r="F757" t="s">
        <v>1688</v>
      </c>
      <c r="G757" t="s">
        <v>2423</v>
      </c>
      <c r="H757" t="s">
        <v>2838</v>
      </c>
      <c r="I757" t="s">
        <v>1960</v>
      </c>
    </row>
    <row r="758" spans="1:9" x14ac:dyDescent="0.3">
      <c r="A758">
        <v>757</v>
      </c>
      <c r="B758">
        <v>757</v>
      </c>
      <c r="C758" t="s">
        <v>2839</v>
      </c>
      <c r="D758" t="s">
        <v>1679</v>
      </c>
      <c r="E758" t="s">
        <v>151</v>
      </c>
      <c r="F758" t="s">
        <v>2840</v>
      </c>
      <c r="G758" t="s">
        <v>2376</v>
      </c>
      <c r="H758" t="s">
        <v>1718</v>
      </c>
      <c r="I758" t="s">
        <v>2283</v>
      </c>
    </row>
    <row r="759" spans="1:9" x14ac:dyDescent="0.3">
      <c r="A759">
        <v>758</v>
      </c>
      <c r="B759">
        <v>758</v>
      </c>
      <c r="C759" t="s">
        <v>2841</v>
      </c>
      <c r="D759" t="s">
        <v>10</v>
      </c>
      <c r="E759" t="s">
        <v>23</v>
      </c>
      <c r="F759" t="s">
        <v>2255</v>
      </c>
      <c r="G759" t="s">
        <v>2842</v>
      </c>
      <c r="H759" t="s">
        <v>2843</v>
      </c>
      <c r="I759" t="s">
        <v>2844</v>
      </c>
    </row>
    <row r="760" spans="1:9" x14ac:dyDescent="0.3">
      <c r="A760">
        <v>759</v>
      </c>
      <c r="B760">
        <v>759</v>
      </c>
      <c r="C760" t="s">
        <v>2845</v>
      </c>
      <c r="D760" t="s">
        <v>51</v>
      </c>
      <c r="E760" t="s">
        <v>726</v>
      </c>
      <c r="F760" t="s">
        <v>1863</v>
      </c>
      <c r="G760" t="s">
        <v>1506</v>
      </c>
      <c r="H760" t="s">
        <v>2846</v>
      </c>
      <c r="I760" t="s">
        <v>1611</v>
      </c>
    </row>
    <row r="761" spans="1:9" x14ac:dyDescent="0.3">
      <c r="A761">
        <v>760</v>
      </c>
      <c r="B761">
        <v>760</v>
      </c>
      <c r="C761" t="s">
        <v>2847</v>
      </c>
      <c r="D761" t="s">
        <v>10</v>
      </c>
      <c r="E761" t="s">
        <v>706</v>
      </c>
      <c r="F761" t="s">
        <v>2716</v>
      </c>
      <c r="G761" t="s">
        <v>933</v>
      </c>
      <c r="H761" t="s">
        <v>2848</v>
      </c>
      <c r="I761" t="s">
        <v>1188</v>
      </c>
    </row>
    <row r="762" spans="1:9" x14ac:dyDescent="0.3">
      <c r="A762">
        <v>761</v>
      </c>
      <c r="B762">
        <v>761</v>
      </c>
      <c r="C762" t="s">
        <v>2849</v>
      </c>
      <c r="D762" t="s">
        <v>51</v>
      </c>
      <c r="E762" t="s">
        <v>23</v>
      </c>
      <c r="F762" t="s">
        <v>1551</v>
      </c>
      <c r="G762" t="s">
        <v>2850</v>
      </c>
      <c r="H762" t="s">
        <v>2851</v>
      </c>
      <c r="I762" t="s">
        <v>2578</v>
      </c>
    </row>
    <row r="763" spans="1:9" x14ac:dyDescent="0.3">
      <c r="A763">
        <v>762</v>
      </c>
      <c r="B763">
        <v>762</v>
      </c>
      <c r="C763" t="s">
        <v>2852</v>
      </c>
      <c r="D763" t="s">
        <v>10</v>
      </c>
      <c r="E763" t="s">
        <v>98</v>
      </c>
      <c r="F763" t="s">
        <v>257</v>
      </c>
      <c r="G763" t="s">
        <v>2376</v>
      </c>
      <c r="H763" t="s">
        <v>2699</v>
      </c>
      <c r="I763" t="s">
        <v>2548</v>
      </c>
    </row>
    <row r="764" spans="1:9" x14ac:dyDescent="0.3">
      <c r="A764">
        <v>763</v>
      </c>
      <c r="B764">
        <v>763</v>
      </c>
      <c r="C764" t="s">
        <v>2853</v>
      </c>
      <c r="D764" t="s">
        <v>216</v>
      </c>
      <c r="E764" t="s">
        <v>243</v>
      </c>
      <c r="F764" t="s">
        <v>2854</v>
      </c>
      <c r="G764" t="s">
        <v>1068</v>
      </c>
      <c r="H764" t="s">
        <v>372</v>
      </c>
      <c r="I764" t="s">
        <v>2686</v>
      </c>
    </row>
    <row r="765" spans="1:9" x14ac:dyDescent="0.3">
      <c r="A765">
        <v>764</v>
      </c>
      <c r="B765">
        <v>764</v>
      </c>
      <c r="C765" t="s">
        <v>2855</v>
      </c>
      <c r="D765" t="s">
        <v>124</v>
      </c>
      <c r="E765" t="s">
        <v>243</v>
      </c>
      <c r="F765" t="s">
        <v>2123</v>
      </c>
      <c r="G765" t="s">
        <v>2369</v>
      </c>
      <c r="H765" t="s">
        <v>1940</v>
      </c>
      <c r="I765" t="s">
        <v>1816</v>
      </c>
    </row>
    <row r="766" spans="1:9" x14ac:dyDescent="0.3">
      <c r="A766">
        <v>765</v>
      </c>
      <c r="B766">
        <v>765</v>
      </c>
      <c r="C766" t="s">
        <v>2856</v>
      </c>
      <c r="D766" t="s">
        <v>10</v>
      </c>
      <c r="E766" t="s">
        <v>345</v>
      </c>
      <c r="F766" t="s">
        <v>2038</v>
      </c>
      <c r="G766" t="s">
        <v>2285</v>
      </c>
      <c r="H766" t="s">
        <v>2857</v>
      </c>
      <c r="I766" t="s">
        <v>2858</v>
      </c>
    </row>
    <row r="767" spans="1:9" x14ac:dyDescent="0.3">
      <c r="A767">
        <v>766</v>
      </c>
      <c r="B767">
        <v>766</v>
      </c>
      <c r="C767" t="s">
        <v>2859</v>
      </c>
      <c r="D767" t="s">
        <v>35</v>
      </c>
      <c r="E767" t="s">
        <v>58</v>
      </c>
      <c r="F767" t="s">
        <v>2860</v>
      </c>
      <c r="G767" t="s">
        <v>1111</v>
      </c>
      <c r="H767" t="s">
        <v>2861</v>
      </c>
      <c r="I767" t="s">
        <v>2160</v>
      </c>
    </row>
    <row r="768" spans="1:9" x14ac:dyDescent="0.3">
      <c r="A768">
        <v>767</v>
      </c>
      <c r="B768">
        <v>767</v>
      </c>
      <c r="C768" t="s">
        <v>2862</v>
      </c>
      <c r="D768" t="s">
        <v>10</v>
      </c>
      <c r="E768" t="s">
        <v>11</v>
      </c>
      <c r="F768" t="s">
        <v>851</v>
      </c>
      <c r="G768" t="s">
        <v>1399</v>
      </c>
      <c r="H768" t="s">
        <v>31</v>
      </c>
      <c r="I768" t="s">
        <v>2510</v>
      </c>
    </row>
    <row r="769" spans="1:9" x14ac:dyDescent="0.3">
      <c r="A769">
        <v>768</v>
      </c>
      <c r="B769">
        <v>768</v>
      </c>
      <c r="C769" t="s">
        <v>2863</v>
      </c>
      <c r="D769" t="s">
        <v>1463</v>
      </c>
      <c r="E769" t="s">
        <v>706</v>
      </c>
      <c r="F769" t="s">
        <v>1143</v>
      </c>
      <c r="G769" t="s">
        <v>2864</v>
      </c>
      <c r="H769" t="s">
        <v>2865</v>
      </c>
      <c r="I769" t="s">
        <v>2866</v>
      </c>
    </row>
    <row r="770" spans="1:9" x14ac:dyDescent="0.3">
      <c r="A770">
        <v>769</v>
      </c>
      <c r="B770">
        <v>769</v>
      </c>
      <c r="C770" t="s">
        <v>2867</v>
      </c>
      <c r="D770" t="s">
        <v>10</v>
      </c>
      <c r="E770" t="s">
        <v>29</v>
      </c>
      <c r="F770" t="s">
        <v>1614</v>
      </c>
      <c r="G770" t="s">
        <v>2868</v>
      </c>
      <c r="H770" t="s">
        <v>2869</v>
      </c>
      <c r="I770" t="s">
        <v>1618</v>
      </c>
    </row>
    <row r="771" spans="1:9" x14ac:dyDescent="0.3">
      <c r="A771">
        <v>770</v>
      </c>
      <c r="B771">
        <v>770</v>
      </c>
      <c r="C771" t="s">
        <v>2870</v>
      </c>
      <c r="D771" t="s">
        <v>10</v>
      </c>
      <c r="E771" t="s">
        <v>243</v>
      </c>
      <c r="F771" t="s">
        <v>2871</v>
      </c>
      <c r="G771" t="s">
        <v>645</v>
      </c>
      <c r="H771" t="s">
        <v>2872</v>
      </c>
      <c r="I771" t="s">
        <v>2873</v>
      </c>
    </row>
    <row r="772" spans="1:9" x14ac:dyDescent="0.3">
      <c r="A772">
        <v>771</v>
      </c>
      <c r="B772">
        <v>771</v>
      </c>
      <c r="C772" t="s">
        <v>2874</v>
      </c>
      <c r="D772" t="s">
        <v>10</v>
      </c>
      <c r="E772" t="s">
        <v>345</v>
      </c>
      <c r="F772" t="s">
        <v>132</v>
      </c>
      <c r="G772" t="s">
        <v>2875</v>
      </c>
      <c r="H772" t="s">
        <v>1530</v>
      </c>
      <c r="I772" t="s">
        <v>2147</v>
      </c>
    </row>
    <row r="773" spans="1:9" x14ac:dyDescent="0.3">
      <c r="A773">
        <v>772</v>
      </c>
      <c r="B773">
        <v>772</v>
      </c>
      <c r="C773" t="s">
        <v>2876</v>
      </c>
      <c r="D773" t="s">
        <v>452</v>
      </c>
      <c r="E773" t="s">
        <v>23</v>
      </c>
      <c r="F773" t="s">
        <v>341</v>
      </c>
      <c r="G773">
        <v>0</v>
      </c>
      <c r="H773" t="s">
        <v>2877</v>
      </c>
      <c r="I773" t="s">
        <v>1522</v>
      </c>
    </row>
    <row r="774" spans="1:9" x14ac:dyDescent="0.3">
      <c r="A774">
        <v>773</v>
      </c>
      <c r="B774">
        <v>773</v>
      </c>
      <c r="C774" t="s">
        <v>2878</v>
      </c>
      <c r="D774" t="s">
        <v>297</v>
      </c>
      <c r="E774" t="s">
        <v>17</v>
      </c>
      <c r="F774" t="s">
        <v>2879</v>
      </c>
      <c r="G774" t="s">
        <v>645</v>
      </c>
      <c r="H774" t="s">
        <v>336</v>
      </c>
      <c r="I774" t="s">
        <v>2880</v>
      </c>
    </row>
    <row r="775" spans="1:9" x14ac:dyDescent="0.3">
      <c r="A775">
        <v>774</v>
      </c>
      <c r="B775">
        <v>774</v>
      </c>
      <c r="C775" t="s">
        <v>2881</v>
      </c>
      <c r="D775" t="s">
        <v>1441</v>
      </c>
      <c r="E775" t="s">
        <v>58</v>
      </c>
      <c r="F775" t="s">
        <v>2882</v>
      </c>
      <c r="G775" t="s">
        <v>1857</v>
      </c>
      <c r="H775" t="s">
        <v>2883</v>
      </c>
      <c r="I775" t="s">
        <v>2643</v>
      </c>
    </row>
    <row r="776" spans="1:9" x14ac:dyDescent="0.3">
      <c r="A776">
        <v>775</v>
      </c>
      <c r="B776">
        <v>775</v>
      </c>
      <c r="C776" t="s">
        <v>2884</v>
      </c>
      <c r="D776" t="s">
        <v>10</v>
      </c>
      <c r="E776" t="s">
        <v>743</v>
      </c>
      <c r="F776" t="s">
        <v>2069</v>
      </c>
      <c r="G776" t="s">
        <v>1335</v>
      </c>
      <c r="H776" t="s">
        <v>326</v>
      </c>
      <c r="I776" t="s">
        <v>1904</v>
      </c>
    </row>
    <row r="777" spans="1:9" x14ac:dyDescent="0.3">
      <c r="A777">
        <v>776</v>
      </c>
      <c r="B777">
        <v>776</v>
      </c>
      <c r="C777" t="s">
        <v>2885</v>
      </c>
      <c r="D777" t="s">
        <v>10</v>
      </c>
      <c r="E777" t="s">
        <v>29</v>
      </c>
      <c r="F777" t="s">
        <v>2228</v>
      </c>
      <c r="G777" t="s">
        <v>1572</v>
      </c>
      <c r="H777" t="s">
        <v>2753</v>
      </c>
      <c r="I777" t="s">
        <v>1996</v>
      </c>
    </row>
    <row r="778" spans="1:9" x14ac:dyDescent="0.3">
      <c r="A778">
        <v>777</v>
      </c>
      <c r="B778">
        <v>777</v>
      </c>
      <c r="C778" t="s">
        <v>2886</v>
      </c>
      <c r="D778" t="s">
        <v>51</v>
      </c>
      <c r="E778" t="s">
        <v>141</v>
      </c>
      <c r="F778" t="s">
        <v>2278</v>
      </c>
      <c r="G778" t="s">
        <v>1768</v>
      </c>
      <c r="H778" t="s">
        <v>2274</v>
      </c>
      <c r="I778" t="s">
        <v>2522</v>
      </c>
    </row>
    <row r="779" spans="1:9" x14ac:dyDescent="0.3">
      <c r="A779">
        <v>778</v>
      </c>
      <c r="B779">
        <v>778</v>
      </c>
      <c r="C779" t="s">
        <v>2887</v>
      </c>
      <c r="D779" t="s">
        <v>10</v>
      </c>
      <c r="E779" t="s">
        <v>130</v>
      </c>
      <c r="F779" t="s">
        <v>2871</v>
      </c>
      <c r="G779" t="s">
        <v>794</v>
      </c>
      <c r="H779" t="s">
        <v>2888</v>
      </c>
      <c r="I779" t="s">
        <v>1604</v>
      </c>
    </row>
    <row r="780" spans="1:9" x14ac:dyDescent="0.3">
      <c r="A780">
        <v>779</v>
      </c>
      <c r="B780">
        <v>779</v>
      </c>
      <c r="C780" t="s">
        <v>2889</v>
      </c>
      <c r="D780" t="s">
        <v>10</v>
      </c>
      <c r="E780" t="s">
        <v>58</v>
      </c>
      <c r="F780" t="s">
        <v>2890</v>
      </c>
      <c r="G780" t="s">
        <v>1340</v>
      </c>
      <c r="H780" t="s">
        <v>2891</v>
      </c>
      <c r="I780" t="s">
        <v>1791</v>
      </c>
    </row>
    <row r="781" spans="1:9" x14ac:dyDescent="0.3">
      <c r="A781">
        <v>780</v>
      </c>
      <c r="B781">
        <v>780</v>
      </c>
      <c r="C781" t="s">
        <v>2892</v>
      </c>
      <c r="D781" t="s">
        <v>51</v>
      </c>
      <c r="E781" t="s">
        <v>365</v>
      </c>
      <c r="F781" t="s">
        <v>2893</v>
      </c>
      <c r="G781" t="s">
        <v>2894</v>
      </c>
      <c r="H781" t="s">
        <v>2895</v>
      </c>
      <c r="I781" t="s">
        <v>1645</v>
      </c>
    </row>
    <row r="782" spans="1:9" x14ac:dyDescent="0.3">
      <c r="A782">
        <v>781</v>
      </c>
      <c r="B782">
        <v>781</v>
      </c>
      <c r="C782" t="s">
        <v>2896</v>
      </c>
      <c r="D782" t="s">
        <v>297</v>
      </c>
      <c r="E782" t="s">
        <v>345</v>
      </c>
      <c r="F782" t="s">
        <v>2897</v>
      </c>
      <c r="G782" t="s">
        <v>1068</v>
      </c>
      <c r="H782" t="s">
        <v>1155</v>
      </c>
      <c r="I782" t="s">
        <v>2700</v>
      </c>
    </row>
    <row r="783" spans="1:9" x14ac:dyDescent="0.3">
      <c r="A783">
        <v>782</v>
      </c>
      <c r="B783">
        <v>782</v>
      </c>
      <c r="C783" t="s">
        <v>2898</v>
      </c>
      <c r="D783" t="s">
        <v>10</v>
      </c>
      <c r="E783" t="s">
        <v>715</v>
      </c>
      <c r="F783" t="s">
        <v>1776</v>
      </c>
      <c r="G783" t="s">
        <v>1286</v>
      </c>
      <c r="H783" t="s">
        <v>2880</v>
      </c>
      <c r="I783" t="s">
        <v>2899</v>
      </c>
    </row>
    <row r="784" spans="1:9" x14ac:dyDescent="0.3">
      <c r="A784">
        <v>783</v>
      </c>
      <c r="B784">
        <v>783</v>
      </c>
      <c r="C784" t="s">
        <v>2900</v>
      </c>
      <c r="D784" t="s">
        <v>10</v>
      </c>
      <c r="E784" t="s">
        <v>743</v>
      </c>
      <c r="F784" t="s">
        <v>2901</v>
      </c>
      <c r="G784" t="s">
        <v>2140</v>
      </c>
      <c r="H784" t="s">
        <v>2500</v>
      </c>
      <c r="I784" t="s">
        <v>2902</v>
      </c>
    </row>
    <row r="785" spans="1:9" x14ac:dyDescent="0.3">
      <c r="A785">
        <v>784</v>
      </c>
      <c r="B785">
        <v>784</v>
      </c>
      <c r="C785" t="s">
        <v>2903</v>
      </c>
      <c r="D785" t="s">
        <v>10</v>
      </c>
      <c r="E785" t="s">
        <v>23</v>
      </c>
      <c r="F785" t="s">
        <v>2904</v>
      </c>
      <c r="G785" t="s">
        <v>933</v>
      </c>
      <c r="H785" t="s">
        <v>2090</v>
      </c>
      <c r="I785" t="s">
        <v>2844</v>
      </c>
    </row>
    <row r="786" spans="1:9" x14ac:dyDescent="0.3">
      <c r="A786">
        <v>785</v>
      </c>
      <c r="B786">
        <v>785</v>
      </c>
      <c r="C786" t="s">
        <v>2905</v>
      </c>
      <c r="D786" t="s">
        <v>10</v>
      </c>
      <c r="E786" t="s">
        <v>232</v>
      </c>
      <c r="F786" t="s">
        <v>2466</v>
      </c>
      <c r="G786" t="s">
        <v>2906</v>
      </c>
      <c r="H786" t="s">
        <v>2907</v>
      </c>
      <c r="I786" t="s">
        <v>2908</v>
      </c>
    </row>
    <row r="787" spans="1:9" x14ac:dyDescent="0.3">
      <c r="A787">
        <v>786</v>
      </c>
      <c r="B787">
        <v>786</v>
      </c>
      <c r="C787" t="s">
        <v>2909</v>
      </c>
      <c r="D787" t="s">
        <v>10</v>
      </c>
      <c r="E787" t="s">
        <v>743</v>
      </c>
      <c r="F787" t="s">
        <v>2910</v>
      </c>
      <c r="G787" t="s">
        <v>2348</v>
      </c>
      <c r="H787" t="s">
        <v>2911</v>
      </c>
      <c r="I787" t="s">
        <v>2261</v>
      </c>
    </row>
    <row r="788" spans="1:9" x14ac:dyDescent="0.3">
      <c r="A788">
        <v>787</v>
      </c>
      <c r="B788">
        <v>787</v>
      </c>
      <c r="C788" t="s">
        <v>2912</v>
      </c>
      <c r="D788" t="s">
        <v>51</v>
      </c>
      <c r="E788" t="s">
        <v>687</v>
      </c>
      <c r="F788" t="s">
        <v>966</v>
      </c>
      <c r="G788" t="s">
        <v>2555</v>
      </c>
      <c r="H788" t="s">
        <v>2913</v>
      </c>
      <c r="I788" t="s">
        <v>2914</v>
      </c>
    </row>
    <row r="789" spans="1:9" x14ac:dyDescent="0.3">
      <c r="A789">
        <v>788</v>
      </c>
      <c r="B789">
        <v>788</v>
      </c>
      <c r="C789" t="s">
        <v>2915</v>
      </c>
      <c r="D789" t="s">
        <v>216</v>
      </c>
      <c r="E789" t="s">
        <v>11</v>
      </c>
      <c r="F789" t="s">
        <v>2502</v>
      </c>
      <c r="G789" t="s">
        <v>1737</v>
      </c>
      <c r="H789" t="s">
        <v>2916</v>
      </c>
      <c r="I789" t="s">
        <v>2917</v>
      </c>
    </row>
    <row r="790" spans="1:9" x14ac:dyDescent="0.3">
      <c r="A790">
        <v>789</v>
      </c>
      <c r="B790">
        <v>789</v>
      </c>
      <c r="C790" t="s">
        <v>2918</v>
      </c>
      <c r="D790" t="s">
        <v>35</v>
      </c>
      <c r="E790" t="s">
        <v>560</v>
      </c>
      <c r="F790" t="s">
        <v>2919</v>
      </c>
      <c r="G790" t="s">
        <v>2092</v>
      </c>
      <c r="H790" t="s">
        <v>2145</v>
      </c>
      <c r="I790" t="s">
        <v>2468</v>
      </c>
    </row>
    <row r="791" spans="1:9" x14ac:dyDescent="0.3">
      <c r="A791">
        <v>790</v>
      </c>
      <c r="B791">
        <v>790</v>
      </c>
      <c r="C791" t="s">
        <v>2920</v>
      </c>
      <c r="D791" t="s">
        <v>124</v>
      </c>
      <c r="E791" t="s">
        <v>64</v>
      </c>
      <c r="F791" t="s">
        <v>2921</v>
      </c>
      <c r="G791" t="s">
        <v>1857</v>
      </c>
      <c r="H791" t="s">
        <v>2922</v>
      </c>
      <c r="I791" t="s">
        <v>1308</v>
      </c>
    </row>
    <row r="792" spans="1:9" x14ac:dyDescent="0.3">
      <c r="A792">
        <v>791</v>
      </c>
      <c r="B792">
        <v>791</v>
      </c>
      <c r="C792" t="s">
        <v>2923</v>
      </c>
      <c r="D792" t="s">
        <v>2672</v>
      </c>
      <c r="E792" t="s">
        <v>151</v>
      </c>
      <c r="F792" t="s">
        <v>828</v>
      </c>
      <c r="G792" t="s">
        <v>662</v>
      </c>
      <c r="H792" t="s">
        <v>2755</v>
      </c>
      <c r="I792" t="s">
        <v>2539</v>
      </c>
    </row>
    <row r="793" spans="1:9" x14ac:dyDescent="0.3">
      <c r="A793">
        <v>792</v>
      </c>
      <c r="B793">
        <v>792</v>
      </c>
      <c r="C793" t="s">
        <v>2924</v>
      </c>
      <c r="D793" t="s">
        <v>2925</v>
      </c>
      <c r="E793" t="s">
        <v>141</v>
      </c>
      <c r="F793" t="s">
        <v>2926</v>
      </c>
      <c r="G793" t="s">
        <v>1202</v>
      </c>
      <c r="H793" t="s">
        <v>2927</v>
      </c>
      <c r="I793" t="s">
        <v>949</v>
      </c>
    </row>
    <row r="794" spans="1:9" x14ac:dyDescent="0.3">
      <c r="A794">
        <v>793</v>
      </c>
      <c r="B794">
        <v>793</v>
      </c>
      <c r="C794" t="s">
        <v>2928</v>
      </c>
      <c r="D794" t="s">
        <v>1617</v>
      </c>
      <c r="E794" t="s">
        <v>151</v>
      </c>
      <c r="F794" t="s">
        <v>2929</v>
      </c>
      <c r="G794" t="s">
        <v>1118</v>
      </c>
      <c r="H794" t="s">
        <v>1401</v>
      </c>
      <c r="I794" t="s">
        <v>2930</v>
      </c>
    </row>
    <row r="795" spans="1:9" x14ac:dyDescent="0.3">
      <c r="A795">
        <v>794</v>
      </c>
      <c r="B795">
        <v>794</v>
      </c>
      <c r="C795" t="s">
        <v>2931</v>
      </c>
      <c r="D795" t="s">
        <v>401</v>
      </c>
      <c r="E795" t="s">
        <v>23</v>
      </c>
      <c r="F795" t="s">
        <v>2932</v>
      </c>
      <c r="G795" t="s">
        <v>1068</v>
      </c>
      <c r="H795" t="s">
        <v>2933</v>
      </c>
      <c r="I795" t="s">
        <v>2763</v>
      </c>
    </row>
    <row r="796" spans="1:9" x14ac:dyDescent="0.3">
      <c r="A796">
        <v>795</v>
      </c>
      <c r="B796">
        <v>795</v>
      </c>
      <c r="C796" t="s">
        <v>2934</v>
      </c>
      <c r="D796" t="s">
        <v>10</v>
      </c>
      <c r="E796" t="s">
        <v>11</v>
      </c>
      <c r="F796" t="s">
        <v>486</v>
      </c>
      <c r="G796" t="s">
        <v>1556</v>
      </c>
      <c r="H796" t="s">
        <v>2935</v>
      </c>
      <c r="I796" t="s">
        <v>2358</v>
      </c>
    </row>
    <row r="797" spans="1:9" x14ac:dyDescent="0.3">
      <c r="A797">
        <v>796</v>
      </c>
      <c r="B797">
        <v>796</v>
      </c>
      <c r="C797" t="s">
        <v>2936</v>
      </c>
      <c r="D797" t="s">
        <v>10</v>
      </c>
      <c r="E797" t="s">
        <v>743</v>
      </c>
      <c r="F797" t="s">
        <v>2937</v>
      </c>
      <c r="G797" t="s">
        <v>2667</v>
      </c>
      <c r="H797" t="s">
        <v>1321</v>
      </c>
      <c r="I797" t="s">
        <v>2858</v>
      </c>
    </row>
    <row r="798" spans="1:9" x14ac:dyDescent="0.3">
      <c r="A798">
        <v>797</v>
      </c>
      <c r="B798">
        <v>797</v>
      </c>
      <c r="C798" t="s">
        <v>2938</v>
      </c>
      <c r="D798" t="s">
        <v>51</v>
      </c>
      <c r="E798" t="s">
        <v>23</v>
      </c>
      <c r="F798" t="s">
        <v>2939</v>
      </c>
      <c r="G798" t="s">
        <v>2940</v>
      </c>
      <c r="H798" t="s">
        <v>2941</v>
      </c>
      <c r="I798" t="s">
        <v>2942</v>
      </c>
    </row>
    <row r="799" spans="1:9" x14ac:dyDescent="0.3">
      <c r="A799">
        <v>798</v>
      </c>
      <c r="B799">
        <v>798</v>
      </c>
      <c r="C799" t="s">
        <v>2943</v>
      </c>
      <c r="D799" t="s">
        <v>124</v>
      </c>
      <c r="E799" t="s">
        <v>250</v>
      </c>
      <c r="F799" t="s">
        <v>2185</v>
      </c>
      <c r="G799" t="s">
        <v>2944</v>
      </c>
      <c r="H799" t="s">
        <v>2945</v>
      </c>
      <c r="I799" t="s">
        <v>2946</v>
      </c>
    </row>
    <row r="800" spans="1:9" x14ac:dyDescent="0.3">
      <c r="A800">
        <v>799</v>
      </c>
      <c r="B800">
        <v>799</v>
      </c>
      <c r="C800" t="s">
        <v>2947</v>
      </c>
      <c r="D800" t="s">
        <v>51</v>
      </c>
      <c r="E800" t="s">
        <v>345</v>
      </c>
      <c r="F800" t="s">
        <v>2660</v>
      </c>
      <c r="G800" t="s">
        <v>1958</v>
      </c>
      <c r="H800" t="s">
        <v>2948</v>
      </c>
      <c r="I800" t="s">
        <v>2911</v>
      </c>
    </row>
    <row r="801" spans="1:9" x14ac:dyDescent="0.3">
      <c r="A801">
        <v>800</v>
      </c>
      <c r="B801">
        <v>800</v>
      </c>
      <c r="C801" t="s">
        <v>2949</v>
      </c>
      <c r="D801" t="s">
        <v>124</v>
      </c>
      <c r="E801" t="s">
        <v>715</v>
      </c>
      <c r="F801" t="s">
        <v>2950</v>
      </c>
      <c r="G801" t="s">
        <v>2801</v>
      </c>
      <c r="H801">
        <v>16</v>
      </c>
      <c r="I801" t="s">
        <v>2854</v>
      </c>
    </row>
    <row r="802" spans="1:9" x14ac:dyDescent="0.3">
      <c r="A802">
        <v>801</v>
      </c>
      <c r="B802">
        <v>801</v>
      </c>
      <c r="C802" t="s">
        <v>2951</v>
      </c>
      <c r="D802" t="s">
        <v>51</v>
      </c>
      <c r="E802" t="s">
        <v>365</v>
      </c>
      <c r="F802" t="s">
        <v>2203</v>
      </c>
      <c r="G802" t="s">
        <v>2471</v>
      </c>
      <c r="H802" t="s">
        <v>1544</v>
      </c>
      <c r="I802" t="s">
        <v>2952</v>
      </c>
    </row>
    <row r="803" spans="1:9" x14ac:dyDescent="0.3">
      <c r="A803">
        <v>802</v>
      </c>
      <c r="B803">
        <v>802</v>
      </c>
      <c r="C803" t="s">
        <v>2953</v>
      </c>
      <c r="D803" t="s">
        <v>10</v>
      </c>
      <c r="E803" t="s">
        <v>743</v>
      </c>
      <c r="F803" t="s">
        <v>978</v>
      </c>
      <c r="G803" t="s">
        <v>1741</v>
      </c>
      <c r="H803" t="s">
        <v>2228</v>
      </c>
      <c r="I803" t="s">
        <v>2439</v>
      </c>
    </row>
    <row r="804" spans="1:9" x14ac:dyDescent="0.3">
      <c r="A804">
        <v>803</v>
      </c>
      <c r="B804">
        <v>803</v>
      </c>
      <c r="C804" t="s">
        <v>2954</v>
      </c>
      <c r="D804" t="s">
        <v>1079</v>
      </c>
      <c r="E804" t="s">
        <v>11</v>
      </c>
      <c r="F804" t="s">
        <v>2820</v>
      </c>
      <c r="G804" t="s">
        <v>1737</v>
      </c>
      <c r="H804" t="s">
        <v>2955</v>
      </c>
      <c r="I804" t="s">
        <v>1998</v>
      </c>
    </row>
    <row r="805" spans="1:9" x14ac:dyDescent="0.3">
      <c r="A805">
        <v>804</v>
      </c>
      <c r="B805">
        <v>804</v>
      </c>
      <c r="C805" t="s">
        <v>2956</v>
      </c>
      <c r="D805" t="s">
        <v>1172</v>
      </c>
      <c r="E805" t="s">
        <v>29</v>
      </c>
      <c r="F805" t="s">
        <v>2957</v>
      </c>
      <c r="G805" t="s">
        <v>2096</v>
      </c>
      <c r="H805" t="s">
        <v>2050</v>
      </c>
      <c r="I805" t="s">
        <v>2958</v>
      </c>
    </row>
    <row r="806" spans="1:9" x14ac:dyDescent="0.3">
      <c r="A806">
        <v>805</v>
      </c>
      <c r="B806">
        <v>805</v>
      </c>
      <c r="C806" t="s">
        <v>2959</v>
      </c>
      <c r="D806" t="s">
        <v>452</v>
      </c>
      <c r="E806" t="s">
        <v>130</v>
      </c>
      <c r="F806" t="s">
        <v>2350</v>
      </c>
      <c r="G806" t="s">
        <v>1286</v>
      </c>
      <c r="H806" t="s">
        <v>1377</v>
      </c>
      <c r="I806" t="s">
        <v>2960</v>
      </c>
    </row>
    <row r="807" spans="1:9" x14ac:dyDescent="0.3">
      <c r="A807">
        <v>806</v>
      </c>
      <c r="B807">
        <v>806</v>
      </c>
      <c r="C807" t="s">
        <v>2961</v>
      </c>
      <c r="D807" t="s">
        <v>10</v>
      </c>
      <c r="E807" t="s">
        <v>11</v>
      </c>
      <c r="F807" t="s">
        <v>581</v>
      </c>
      <c r="G807" t="s">
        <v>1556</v>
      </c>
      <c r="H807" t="s">
        <v>2962</v>
      </c>
      <c r="I807" t="s">
        <v>2963</v>
      </c>
    </row>
    <row r="808" spans="1:9" x14ac:dyDescent="0.3">
      <c r="A808">
        <v>807</v>
      </c>
      <c r="B808">
        <v>807</v>
      </c>
      <c r="C808" t="s">
        <v>2964</v>
      </c>
      <c r="D808" t="s">
        <v>10</v>
      </c>
      <c r="E808" t="s">
        <v>17</v>
      </c>
      <c r="F808" t="s">
        <v>471</v>
      </c>
      <c r="G808" t="s">
        <v>1741</v>
      </c>
      <c r="H808" t="s">
        <v>1735</v>
      </c>
      <c r="I808" t="s">
        <v>2134</v>
      </c>
    </row>
    <row r="809" spans="1:9" x14ac:dyDescent="0.3">
      <c r="A809">
        <v>808</v>
      </c>
      <c r="B809">
        <v>808</v>
      </c>
      <c r="C809" t="s">
        <v>2965</v>
      </c>
      <c r="D809" t="s">
        <v>205</v>
      </c>
      <c r="E809" t="s">
        <v>345</v>
      </c>
      <c r="F809" t="s">
        <v>341</v>
      </c>
      <c r="G809" t="s">
        <v>1760</v>
      </c>
      <c r="H809" t="s">
        <v>2966</v>
      </c>
      <c r="I809" t="s">
        <v>2967</v>
      </c>
    </row>
    <row r="810" spans="1:9" x14ac:dyDescent="0.3">
      <c r="A810">
        <v>809</v>
      </c>
      <c r="B810">
        <v>809</v>
      </c>
      <c r="C810" t="s">
        <v>2968</v>
      </c>
      <c r="D810" t="s">
        <v>10</v>
      </c>
      <c r="E810" t="s">
        <v>560</v>
      </c>
      <c r="F810" t="s">
        <v>2399</v>
      </c>
      <c r="G810" t="s">
        <v>1967</v>
      </c>
      <c r="H810" t="s">
        <v>1464</v>
      </c>
      <c r="I810" t="s">
        <v>2552</v>
      </c>
    </row>
    <row r="811" spans="1:9" x14ac:dyDescent="0.3">
      <c r="A811">
        <v>810</v>
      </c>
      <c r="B811">
        <v>810</v>
      </c>
      <c r="C811" t="s">
        <v>2969</v>
      </c>
      <c r="D811" t="s">
        <v>10</v>
      </c>
      <c r="E811" t="s">
        <v>634</v>
      </c>
      <c r="F811" t="s">
        <v>2513</v>
      </c>
      <c r="G811" t="s">
        <v>1506</v>
      </c>
      <c r="H811" t="s">
        <v>2970</v>
      </c>
      <c r="I811" t="s">
        <v>2971</v>
      </c>
    </row>
    <row r="812" spans="1:9" x14ac:dyDescent="0.3">
      <c r="A812">
        <v>811</v>
      </c>
      <c r="B812">
        <v>811</v>
      </c>
      <c r="C812" t="s">
        <v>2972</v>
      </c>
      <c r="D812" t="s">
        <v>737</v>
      </c>
      <c r="E812" t="s">
        <v>345</v>
      </c>
      <c r="F812" t="s">
        <v>624</v>
      </c>
      <c r="G812" t="s">
        <v>1164</v>
      </c>
      <c r="H812" t="s">
        <v>2305</v>
      </c>
      <c r="I812" t="s">
        <v>2973</v>
      </c>
    </row>
    <row r="813" spans="1:9" x14ac:dyDescent="0.3">
      <c r="A813">
        <v>812</v>
      </c>
      <c r="B813">
        <v>812</v>
      </c>
      <c r="C813" t="s">
        <v>2974</v>
      </c>
      <c r="D813" t="s">
        <v>35</v>
      </c>
      <c r="E813" t="s">
        <v>23</v>
      </c>
      <c r="F813" t="s">
        <v>1942</v>
      </c>
      <c r="G813" t="s">
        <v>2975</v>
      </c>
      <c r="H813" t="s">
        <v>2976</v>
      </c>
      <c r="I813" t="s">
        <v>2716</v>
      </c>
    </row>
    <row r="814" spans="1:9" x14ac:dyDescent="0.3">
      <c r="A814">
        <v>813</v>
      </c>
      <c r="B814">
        <v>813</v>
      </c>
      <c r="C814" t="s">
        <v>2977</v>
      </c>
      <c r="D814" t="s">
        <v>10</v>
      </c>
      <c r="E814" t="s">
        <v>174</v>
      </c>
      <c r="F814" t="s">
        <v>2117</v>
      </c>
      <c r="G814" t="s">
        <v>1967</v>
      </c>
      <c r="H814" t="s">
        <v>2155</v>
      </c>
      <c r="I814" t="s">
        <v>2978</v>
      </c>
    </row>
    <row r="815" spans="1:9" x14ac:dyDescent="0.3">
      <c r="A815">
        <v>814</v>
      </c>
      <c r="B815">
        <v>814</v>
      </c>
      <c r="C815" t="s">
        <v>2979</v>
      </c>
      <c r="D815" t="s">
        <v>10</v>
      </c>
      <c r="E815" t="s">
        <v>11</v>
      </c>
      <c r="F815" t="s">
        <v>683</v>
      </c>
      <c r="G815" t="s">
        <v>1286</v>
      </c>
      <c r="H815" t="s">
        <v>2980</v>
      </c>
      <c r="I815" t="s">
        <v>252</v>
      </c>
    </row>
    <row r="816" spans="1:9" x14ac:dyDescent="0.3">
      <c r="A816">
        <v>815</v>
      </c>
      <c r="B816">
        <v>815</v>
      </c>
      <c r="C816" t="s">
        <v>2981</v>
      </c>
      <c r="D816" t="s">
        <v>51</v>
      </c>
      <c r="E816" t="s">
        <v>58</v>
      </c>
      <c r="F816" t="s">
        <v>218</v>
      </c>
      <c r="G816" t="s">
        <v>2982</v>
      </c>
      <c r="H816" t="s">
        <v>2983</v>
      </c>
      <c r="I816" t="s">
        <v>2984</v>
      </c>
    </row>
    <row r="817" spans="1:9" x14ac:dyDescent="0.3">
      <c r="A817">
        <v>816</v>
      </c>
      <c r="B817">
        <v>816</v>
      </c>
      <c r="C817" t="s">
        <v>2985</v>
      </c>
      <c r="D817" t="s">
        <v>417</v>
      </c>
      <c r="E817" t="s">
        <v>29</v>
      </c>
      <c r="F817" t="s">
        <v>2986</v>
      </c>
      <c r="G817" t="s">
        <v>2096</v>
      </c>
      <c r="H817" t="s">
        <v>1608</v>
      </c>
      <c r="I817" t="s">
        <v>2027</v>
      </c>
    </row>
    <row r="818" spans="1:9" x14ac:dyDescent="0.3">
      <c r="A818">
        <v>817</v>
      </c>
      <c r="B818">
        <v>817</v>
      </c>
      <c r="C818" t="s">
        <v>2987</v>
      </c>
      <c r="D818" t="s">
        <v>10</v>
      </c>
      <c r="E818" t="s">
        <v>250</v>
      </c>
      <c r="F818" t="s">
        <v>2815</v>
      </c>
      <c r="G818" t="s">
        <v>2988</v>
      </c>
      <c r="H818" t="s">
        <v>2989</v>
      </c>
      <c r="I818" t="s">
        <v>2990</v>
      </c>
    </row>
    <row r="819" spans="1:9" x14ac:dyDescent="0.3">
      <c r="A819">
        <v>818</v>
      </c>
      <c r="B819">
        <v>818</v>
      </c>
      <c r="C819" t="s">
        <v>2991</v>
      </c>
      <c r="D819" t="s">
        <v>10</v>
      </c>
      <c r="E819" t="s">
        <v>715</v>
      </c>
      <c r="F819" t="s">
        <v>471</v>
      </c>
      <c r="G819" t="s">
        <v>1737</v>
      </c>
      <c r="H819" t="s">
        <v>2392</v>
      </c>
      <c r="I819" t="s">
        <v>711</v>
      </c>
    </row>
    <row r="820" spans="1:9" x14ac:dyDescent="0.3">
      <c r="A820">
        <v>819</v>
      </c>
      <c r="B820">
        <v>819</v>
      </c>
      <c r="C820" t="s">
        <v>2992</v>
      </c>
      <c r="D820" t="s">
        <v>10</v>
      </c>
      <c r="E820" t="s">
        <v>64</v>
      </c>
      <c r="F820" t="s">
        <v>2330</v>
      </c>
      <c r="G820" t="s">
        <v>1111</v>
      </c>
      <c r="H820" t="s">
        <v>2986</v>
      </c>
      <c r="I820" t="s">
        <v>2993</v>
      </c>
    </row>
    <row r="821" spans="1:9" x14ac:dyDescent="0.3">
      <c r="A821">
        <v>820</v>
      </c>
      <c r="B821">
        <v>820</v>
      </c>
      <c r="C821" t="s">
        <v>2994</v>
      </c>
      <c r="D821" t="s">
        <v>1172</v>
      </c>
      <c r="E821" t="s">
        <v>11</v>
      </c>
      <c r="F821" t="s">
        <v>153</v>
      </c>
      <c r="G821" t="s">
        <v>1012</v>
      </c>
      <c r="H821" t="s">
        <v>1069</v>
      </c>
      <c r="I821" t="s">
        <v>2995</v>
      </c>
    </row>
    <row r="822" spans="1:9" x14ac:dyDescent="0.3">
      <c r="A822">
        <v>821</v>
      </c>
      <c r="B822">
        <v>821</v>
      </c>
      <c r="C822" t="s">
        <v>2996</v>
      </c>
      <c r="D822" t="s">
        <v>1079</v>
      </c>
      <c r="E822" t="s">
        <v>23</v>
      </c>
      <c r="F822" t="s">
        <v>2997</v>
      </c>
      <c r="G822" t="s">
        <v>1737</v>
      </c>
      <c r="H822" t="s">
        <v>2998</v>
      </c>
      <c r="I822" t="s">
        <v>1686</v>
      </c>
    </row>
    <row r="823" spans="1:9" x14ac:dyDescent="0.3">
      <c r="A823">
        <v>822</v>
      </c>
      <c r="B823">
        <v>822</v>
      </c>
      <c r="C823" t="s">
        <v>2999</v>
      </c>
      <c r="D823" t="s">
        <v>10</v>
      </c>
      <c r="E823" t="s">
        <v>29</v>
      </c>
      <c r="F823" t="s">
        <v>3000</v>
      </c>
      <c r="G823" t="s">
        <v>1737</v>
      </c>
      <c r="H823" t="s">
        <v>2383</v>
      </c>
      <c r="I823" t="s">
        <v>311</v>
      </c>
    </row>
    <row r="824" spans="1:9" x14ac:dyDescent="0.3">
      <c r="A824">
        <v>823</v>
      </c>
      <c r="B824">
        <v>823</v>
      </c>
      <c r="C824" t="s">
        <v>3001</v>
      </c>
      <c r="D824" t="s">
        <v>10</v>
      </c>
      <c r="E824" t="s">
        <v>141</v>
      </c>
      <c r="F824" t="s">
        <v>3002</v>
      </c>
      <c r="G824" t="s">
        <v>552</v>
      </c>
      <c r="H824" t="s">
        <v>3003</v>
      </c>
      <c r="I824" t="s">
        <v>2764</v>
      </c>
    </row>
    <row r="825" spans="1:9" x14ac:dyDescent="0.3">
      <c r="A825">
        <v>824</v>
      </c>
      <c r="B825">
        <v>824</v>
      </c>
      <c r="C825" t="s">
        <v>3004</v>
      </c>
      <c r="D825" t="s">
        <v>10</v>
      </c>
      <c r="E825" t="s">
        <v>174</v>
      </c>
      <c r="F825" t="s">
        <v>3005</v>
      </c>
      <c r="G825" t="s">
        <v>645</v>
      </c>
      <c r="H825" t="s">
        <v>3006</v>
      </c>
      <c r="I825" t="s">
        <v>2303</v>
      </c>
    </row>
    <row r="826" spans="1:9" x14ac:dyDescent="0.3">
      <c r="A826">
        <v>825</v>
      </c>
      <c r="B826">
        <v>825</v>
      </c>
      <c r="C826" t="s">
        <v>3007</v>
      </c>
      <c r="D826" t="s">
        <v>10</v>
      </c>
      <c r="E826" t="s">
        <v>174</v>
      </c>
      <c r="F826" t="s">
        <v>3008</v>
      </c>
      <c r="G826" t="s">
        <v>2096</v>
      </c>
      <c r="H826" t="s">
        <v>3009</v>
      </c>
      <c r="I826" t="s">
        <v>2779</v>
      </c>
    </row>
    <row r="827" spans="1:9" x14ac:dyDescent="0.3">
      <c r="A827">
        <v>826</v>
      </c>
      <c r="B827">
        <v>826</v>
      </c>
      <c r="C827" t="s">
        <v>3010</v>
      </c>
      <c r="D827" t="s">
        <v>10</v>
      </c>
      <c r="E827" t="s">
        <v>64</v>
      </c>
      <c r="F827" t="s">
        <v>2510</v>
      </c>
      <c r="G827" t="s">
        <v>1286</v>
      </c>
      <c r="H827" t="s">
        <v>3011</v>
      </c>
      <c r="I827" t="s">
        <v>1461</v>
      </c>
    </row>
    <row r="828" spans="1:9" x14ac:dyDescent="0.3">
      <c r="A828">
        <v>827</v>
      </c>
      <c r="B828">
        <v>827</v>
      </c>
      <c r="C828" t="s">
        <v>3012</v>
      </c>
      <c r="D828" t="s">
        <v>10</v>
      </c>
      <c r="E828" t="s">
        <v>11</v>
      </c>
      <c r="F828" t="s">
        <v>3013</v>
      </c>
      <c r="G828" t="s">
        <v>1556</v>
      </c>
      <c r="H828" t="s">
        <v>3014</v>
      </c>
      <c r="I828" t="s">
        <v>2942</v>
      </c>
    </row>
    <row r="829" spans="1:9" x14ac:dyDescent="0.3">
      <c r="A829">
        <v>828</v>
      </c>
      <c r="B829">
        <v>828</v>
      </c>
      <c r="C829" t="s">
        <v>3015</v>
      </c>
      <c r="D829" t="s">
        <v>51</v>
      </c>
      <c r="E829" t="s">
        <v>23</v>
      </c>
      <c r="F829" t="s">
        <v>3016</v>
      </c>
      <c r="G829" t="s">
        <v>2471</v>
      </c>
      <c r="H829" t="s">
        <v>2802</v>
      </c>
      <c r="I829" t="s">
        <v>3017</v>
      </c>
    </row>
    <row r="830" spans="1:9" x14ac:dyDescent="0.3">
      <c r="A830">
        <v>829</v>
      </c>
      <c r="B830">
        <v>829</v>
      </c>
      <c r="C830" t="s">
        <v>3018</v>
      </c>
      <c r="D830" t="s">
        <v>1679</v>
      </c>
      <c r="E830" t="s">
        <v>130</v>
      </c>
      <c r="F830" t="s">
        <v>3019</v>
      </c>
      <c r="G830" t="s">
        <v>1563</v>
      </c>
      <c r="H830" t="s">
        <v>2299</v>
      </c>
      <c r="I830" t="s">
        <v>1686</v>
      </c>
    </row>
    <row r="831" spans="1:9" x14ac:dyDescent="0.3">
      <c r="A831">
        <v>830</v>
      </c>
      <c r="B831">
        <v>830</v>
      </c>
      <c r="C831" t="s">
        <v>3020</v>
      </c>
      <c r="D831" t="s">
        <v>1441</v>
      </c>
      <c r="E831" t="s">
        <v>250</v>
      </c>
      <c r="F831" t="s">
        <v>3021</v>
      </c>
      <c r="G831" t="s">
        <v>2348</v>
      </c>
      <c r="H831" t="s">
        <v>1279</v>
      </c>
      <c r="I831" t="s">
        <v>3022</v>
      </c>
    </row>
    <row r="832" spans="1:9" x14ac:dyDescent="0.3">
      <c r="A832">
        <v>831</v>
      </c>
      <c r="B832">
        <v>831</v>
      </c>
      <c r="C832" t="s">
        <v>3023</v>
      </c>
      <c r="D832" t="s">
        <v>104</v>
      </c>
      <c r="E832" t="s">
        <v>560</v>
      </c>
      <c r="F832" t="s">
        <v>272</v>
      </c>
      <c r="G832" t="s">
        <v>2369</v>
      </c>
      <c r="H832" t="s">
        <v>1216</v>
      </c>
      <c r="I832" t="s">
        <v>2157</v>
      </c>
    </row>
    <row r="833" spans="1:9" x14ac:dyDescent="0.3">
      <c r="A833">
        <v>832</v>
      </c>
      <c r="B833">
        <v>832</v>
      </c>
      <c r="C833" t="s">
        <v>3024</v>
      </c>
      <c r="D833" t="s">
        <v>10</v>
      </c>
      <c r="E833" t="s">
        <v>743</v>
      </c>
      <c r="F833" t="s">
        <v>1542</v>
      </c>
      <c r="G833" t="s">
        <v>1012</v>
      </c>
      <c r="H833" t="s">
        <v>619</v>
      </c>
      <c r="I833" t="s">
        <v>2840</v>
      </c>
    </row>
    <row r="834" spans="1:9" x14ac:dyDescent="0.3">
      <c r="A834">
        <v>833</v>
      </c>
      <c r="B834">
        <v>833</v>
      </c>
      <c r="C834" t="s">
        <v>3025</v>
      </c>
      <c r="D834" t="s">
        <v>51</v>
      </c>
      <c r="E834" t="s">
        <v>726</v>
      </c>
      <c r="F834" t="s">
        <v>3026</v>
      </c>
      <c r="G834" t="s">
        <v>2092</v>
      </c>
      <c r="H834" t="s">
        <v>1008</v>
      </c>
      <c r="I834" t="s">
        <v>285</v>
      </c>
    </row>
    <row r="835" spans="1:9" x14ac:dyDescent="0.3">
      <c r="A835">
        <v>834</v>
      </c>
      <c r="B835">
        <v>834</v>
      </c>
      <c r="C835" t="s">
        <v>3027</v>
      </c>
      <c r="D835" t="s">
        <v>35</v>
      </c>
      <c r="E835" t="s">
        <v>464</v>
      </c>
      <c r="F835" t="s">
        <v>924</v>
      </c>
      <c r="G835" t="s">
        <v>1737</v>
      </c>
      <c r="H835" t="s">
        <v>218</v>
      </c>
      <c r="I835" t="s">
        <v>2303</v>
      </c>
    </row>
    <row r="836" spans="1:9" x14ac:dyDescent="0.3">
      <c r="A836">
        <v>835</v>
      </c>
      <c r="B836">
        <v>835</v>
      </c>
      <c r="C836" t="s">
        <v>3028</v>
      </c>
      <c r="D836" t="s">
        <v>10</v>
      </c>
      <c r="E836" t="s">
        <v>345</v>
      </c>
      <c r="F836" t="s">
        <v>1839</v>
      </c>
      <c r="G836" t="s">
        <v>2471</v>
      </c>
      <c r="H836" t="s">
        <v>3029</v>
      </c>
      <c r="I836" t="s">
        <v>3030</v>
      </c>
    </row>
    <row r="837" spans="1:9" x14ac:dyDescent="0.3">
      <c r="A837">
        <v>836</v>
      </c>
      <c r="B837">
        <v>836</v>
      </c>
      <c r="C837" t="s">
        <v>3031</v>
      </c>
      <c r="D837" t="s">
        <v>10</v>
      </c>
      <c r="E837" t="s">
        <v>345</v>
      </c>
      <c r="F837" t="s">
        <v>3005</v>
      </c>
      <c r="G837" t="s">
        <v>1967</v>
      </c>
      <c r="H837" t="s">
        <v>1839</v>
      </c>
      <c r="I837" t="s">
        <v>2795</v>
      </c>
    </row>
    <row r="838" spans="1:9" x14ac:dyDescent="0.3">
      <c r="A838">
        <v>837</v>
      </c>
      <c r="B838">
        <v>837</v>
      </c>
      <c r="C838" t="s">
        <v>3032</v>
      </c>
      <c r="D838" t="s">
        <v>51</v>
      </c>
      <c r="E838" t="s">
        <v>130</v>
      </c>
      <c r="F838" t="s">
        <v>1522</v>
      </c>
      <c r="G838" t="s">
        <v>2471</v>
      </c>
      <c r="H838" t="s">
        <v>3033</v>
      </c>
      <c r="I838" t="s">
        <v>3034</v>
      </c>
    </row>
    <row r="839" spans="1:9" x14ac:dyDescent="0.3">
      <c r="A839">
        <v>838</v>
      </c>
      <c r="B839">
        <v>838</v>
      </c>
      <c r="C839" t="s">
        <v>3035</v>
      </c>
      <c r="D839" t="s">
        <v>51</v>
      </c>
      <c r="E839" t="s">
        <v>11</v>
      </c>
      <c r="F839" t="s">
        <v>3036</v>
      </c>
      <c r="G839" t="s">
        <v>2376</v>
      </c>
      <c r="H839" t="s">
        <v>3037</v>
      </c>
      <c r="I839" t="s">
        <v>2421</v>
      </c>
    </row>
    <row r="840" spans="1:9" x14ac:dyDescent="0.3">
      <c r="A840">
        <v>839</v>
      </c>
      <c r="B840">
        <v>839</v>
      </c>
      <c r="C840" t="s">
        <v>3038</v>
      </c>
      <c r="D840" t="s">
        <v>10</v>
      </c>
      <c r="E840" t="s">
        <v>365</v>
      </c>
      <c r="F840" t="s">
        <v>3039</v>
      </c>
      <c r="G840" t="s">
        <v>1577</v>
      </c>
      <c r="H840" t="s">
        <v>3040</v>
      </c>
      <c r="I840" t="s">
        <v>3041</v>
      </c>
    </row>
    <row r="841" spans="1:9" x14ac:dyDescent="0.3">
      <c r="A841">
        <v>840</v>
      </c>
      <c r="B841">
        <v>840</v>
      </c>
      <c r="C841" t="s">
        <v>3042</v>
      </c>
      <c r="D841" t="s">
        <v>3043</v>
      </c>
      <c r="E841" t="s">
        <v>232</v>
      </c>
      <c r="F841" t="s">
        <v>2779</v>
      </c>
      <c r="G841" t="s">
        <v>2376</v>
      </c>
      <c r="H841" t="s">
        <v>2173</v>
      </c>
      <c r="I841" t="s">
        <v>618</v>
      </c>
    </row>
    <row r="842" spans="1:9" x14ac:dyDescent="0.3">
      <c r="A842">
        <v>841</v>
      </c>
      <c r="B842">
        <v>841</v>
      </c>
      <c r="C842" t="s">
        <v>3044</v>
      </c>
      <c r="D842" t="s">
        <v>696</v>
      </c>
      <c r="E842" t="s">
        <v>687</v>
      </c>
      <c r="F842" t="s">
        <v>2676</v>
      </c>
      <c r="G842" t="s">
        <v>1098</v>
      </c>
      <c r="H842" t="s">
        <v>3045</v>
      </c>
      <c r="I842" t="s">
        <v>2345</v>
      </c>
    </row>
    <row r="843" spans="1:9" x14ac:dyDescent="0.3">
      <c r="A843">
        <v>842</v>
      </c>
      <c r="B843">
        <v>842</v>
      </c>
      <c r="C843" t="s">
        <v>3046</v>
      </c>
      <c r="D843" t="s">
        <v>2172</v>
      </c>
      <c r="E843" t="s">
        <v>151</v>
      </c>
      <c r="F843" t="s">
        <v>3011</v>
      </c>
      <c r="G843" t="s">
        <v>1098</v>
      </c>
      <c r="H843" t="s">
        <v>3047</v>
      </c>
      <c r="I843" t="s">
        <v>2038</v>
      </c>
    </row>
    <row r="844" spans="1:9" x14ac:dyDescent="0.3">
      <c r="A844">
        <v>843</v>
      </c>
      <c r="B844">
        <v>843</v>
      </c>
      <c r="C844" t="s">
        <v>3048</v>
      </c>
      <c r="D844" t="s">
        <v>10</v>
      </c>
      <c r="E844" t="s">
        <v>243</v>
      </c>
      <c r="F844" t="s">
        <v>3049</v>
      </c>
      <c r="G844" t="s">
        <v>1330</v>
      </c>
      <c r="H844" t="s">
        <v>2854</v>
      </c>
      <c r="I844" t="s">
        <v>212</v>
      </c>
    </row>
    <row r="845" spans="1:9" x14ac:dyDescent="0.3">
      <c r="A845">
        <v>844</v>
      </c>
      <c r="B845">
        <v>844</v>
      </c>
      <c r="C845" t="s">
        <v>3050</v>
      </c>
      <c r="D845" t="s">
        <v>205</v>
      </c>
      <c r="E845" t="s">
        <v>23</v>
      </c>
      <c r="F845" t="s">
        <v>2468</v>
      </c>
      <c r="G845" t="s">
        <v>1995</v>
      </c>
      <c r="H845" t="s">
        <v>3051</v>
      </c>
      <c r="I845" t="s">
        <v>223</v>
      </c>
    </row>
    <row r="846" spans="1:9" x14ac:dyDescent="0.3">
      <c r="A846">
        <v>845</v>
      </c>
      <c r="B846">
        <v>845</v>
      </c>
      <c r="C846" t="s">
        <v>3052</v>
      </c>
      <c r="D846" t="s">
        <v>35</v>
      </c>
      <c r="E846" t="s">
        <v>232</v>
      </c>
      <c r="F846" t="s">
        <v>3053</v>
      </c>
      <c r="G846" t="s">
        <v>3054</v>
      </c>
      <c r="H846" t="s">
        <v>3055</v>
      </c>
      <c r="I846" t="s">
        <v>907</v>
      </c>
    </row>
    <row r="847" spans="1:9" x14ac:dyDescent="0.3">
      <c r="A847">
        <v>846</v>
      </c>
      <c r="B847">
        <v>846</v>
      </c>
      <c r="C847" t="s">
        <v>3056</v>
      </c>
      <c r="D847" t="s">
        <v>10</v>
      </c>
      <c r="E847" t="s">
        <v>345</v>
      </c>
      <c r="F847" t="s">
        <v>2777</v>
      </c>
      <c r="G847" t="s">
        <v>1118</v>
      </c>
      <c r="H847" t="s">
        <v>1318</v>
      </c>
      <c r="I847" t="s">
        <v>3057</v>
      </c>
    </row>
    <row r="848" spans="1:9" x14ac:dyDescent="0.3">
      <c r="A848">
        <v>847</v>
      </c>
      <c r="B848">
        <v>847</v>
      </c>
      <c r="C848" t="s">
        <v>3058</v>
      </c>
      <c r="D848" t="s">
        <v>104</v>
      </c>
      <c r="E848" t="s">
        <v>232</v>
      </c>
      <c r="F848" t="s">
        <v>3059</v>
      </c>
      <c r="G848" t="s">
        <v>3060</v>
      </c>
      <c r="H848" t="s">
        <v>1145</v>
      </c>
      <c r="I848" t="s">
        <v>1455</v>
      </c>
    </row>
    <row r="849" spans="1:9" x14ac:dyDescent="0.3">
      <c r="A849">
        <v>848</v>
      </c>
      <c r="B849">
        <v>848</v>
      </c>
      <c r="C849" t="s">
        <v>3061</v>
      </c>
      <c r="D849" t="s">
        <v>10</v>
      </c>
      <c r="E849" t="s">
        <v>52</v>
      </c>
      <c r="F849" t="s">
        <v>3062</v>
      </c>
      <c r="G849" t="s">
        <v>1286</v>
      </c>
      <c r="H849" t="s">
        <v>2832</v>
      </c>
      <c r="I849" t="s">
        <v>181</v>
      </c>
    </row>
    <row r="850" spans="1:9" x14ac:dyDescent="0.3">
      <c r="A850">
        <v>849</v>
      </c>
      <c r="B850">
        <v>849</v>
      </c>
      <c r="C850" t="s">
        <v>3063</v>
      </c>
      <c r="D850" t="s">
        <v>205</v>
      </c>
      <c r="E850" t="s">
        <v>23</v>
      </c>
      <c r="F850" t="s">
        <v>3064</v>
      </c>
      <c r="G850" t="s">
        <v>3065</v>
      </c>
      <c r="H850" t="s">
        <v>3066</v>
      </c>
      <c r="I850" t="s">
        <v>2058</v>
      </c>
    </row>
    <row r="851" spans="1:9" x14ac:dyDescent="0.3">
      <c r="A851">
        <v>850</v>
      </c>
      <c r="B851">
        <v>850</v>
      </c>
      <c r="C851" t="s">
        <v>3067</v>
      </c>
      <c r="D851" t="s">
        <v>2364</v>
      </c>
      <c r="E851" t="s">
        <v>11</v>
      </c>
      <c r="F851" t="s">
        <v>3068</v>
      </c>
      <c r="G851" t="s">
        <v>1716</v>
      </c>
      <c r="H851" t="s">
        <v>3069</v>
      </c>
      <c r="I851" t="s">
        <v>1977</v>
      </c>
    </row>
    <row r="852" spans="1:9" x14ac:dyDescent="0.3">
      <c r="A852">
        <v>851</v>
      </c>
      <c r="B852">
        <v>851</v>
      </c>
      <c r="C852" t="s">
        <v>3070</v>
      </c>
      <c r="D852" t="s">
        <v>10</v>
      </c>
      <c r="E852" t="s">
        <v>17</v>
      </c>
      <c r="F852">
        <v>5</v>
      </c>
      <c r="G852" t="s">
        <v>1118</v>
      </c>
      <c r="H852" t="s">
        <v>1824</v>
      </c>
      <c r="I852" t="s">
        <v>228</v>
      </c>
    </row>
    <row r="853" spans="1:9" x14ac:dyDescent="0.3">
      <c r="A853">
        <v>852</v>
      </c>
      <c r="B853">
        <v>852</v>
      </c>
      <c r="C853" t="s">
        <v>3071</v>
      </c>
      <c r="D853" t="s">
        <v>51</v>
      </c>
      <c r="E853" t="s">
        <v>510</v>
      </c>
      <c r="F853" t="s">
        <v>3072</v>
      </c>
      <c r="G853" t="s">
        <v>3073</v>
      </c>
      <c r="H853" t="s">
        <v>1390</v>
      </c>
      <c r="I853" t="s">
        <v>2659</v>
      </c>
    </row>
    <row r="854" spans="1:9" x14ac:dyDescent="0.3">
      <c r="A854">
        <v>853</v>
      </c>
      <c r="B854">
        <v>853</v>
      </c>
      <c r="C854" t="s">
        <v>3074</v>
      </c>
      <c r="D854" t="s">
        <v>417</v>
      </c>
      <c r="E854" t="s">
        <v>29</v>
      </c>
      <c r="F854" t="s">
        <v>3075</v>
      </c>
      <c r="G854" t="s">
        <v>1330</v>
      </c>
      <c r="H854" t="s">
        <v>2548</v>
      </c>
      <c r="I854" t="s">
        <v>1080</v>
      </c>
    </row>
    <row r="855" spans="1:9" x14ac:dyDescent="0.3">
      <c r="A855">
        <v>854</v>
      </c>
      <c r="B855">
        <v>854</v>
      </c>
      <c r="C855" t="s">
        <v>3076</v>
      </c>
      <c r="D855" t="s">
        <v>10</v>
      </c>
      <c r="E855" t="s">
        <v>52</v>
      </c>
      <c r="F855" t="s">
        <v>3077</v>
      </c>
      <c r="G855" t="s">
        <v>3060</v>
      </c>
      <c r="H855" t="s">
        <v>2035</v>
      </c>
      <c r="I855" t="s">
        <v>3078</v>
      </c>
    </row>
    <row r="856" spans="1:9" x14ac:dyDescent="0.3">
      <c r="A856">
        <v>855</v>
      </c>
      <c r="B856">
        <v>855</v>
      </c>
      <c r="C856" t="s">
        <v>3079</v>
      </c>
      <c r="D856" t="s">
        <v>2364</v>
      </c>
      <c r="E856" t="s">
        <v>11</v>
      </c>
      <c r="F856" t="s">
        <v>528</v>
      </c>
      <c r="G856" t="s">
        <v>1671</v>
      </c>
      <c r="H856" t="s">
        <v>3080</v>
      </c>
      <c r="I856" t="s">
        <v>2818</v>
      </c>
    </row>
    <row r="857" spans="1:9" x14ac:dyDescent="0.3">
      <c r="A857">
        <v>856</v>
      </c>
      <c r="B857">
        <v>856</v>
      </c>
      <c r="C857" t="s">
        <v>3081</v>
      </c>
      <c r="D857" t="s">
        <v>1172</v>
      </c>
      <c r="E857" t="s">
        <v>29</v>
      </c>
      <c r="F857" t="s">
        <v>1531</v>
      </c>
      <c r="G857" t="s">
        <v>1286</v>
      </c>
      <c r="H857" t="s">
        <v>1407</v>
      </c>
      <c r="I857" t="s">
        <v>272</v>
      </c>
    </row>
    <row r="858" spans="1:9" x14ac:dyDescent="0.3">
      <c r="A858">
        <v>857</v>
      </c>
      <c r="B858">
        <v>857</v>
      </c>
      <c r="C858" t="s">
        <v>3082</v>
      </c>
      <c r="D858" t="s">
        <v>51</v>
      </c>
      <c r="E858" t="s">
        <v>345</v>
      </c>
      <c r="F858" t="s">
        <v>1776</v>
      </c>
      <c r="G858" t="s">
        <v>1671</v>
      </c>
      <c r="H858" t="s">
        <v>556</v>
      </c>
      <c r="I858" t="s">
        <v>3083</v>
      </c>
    </row>
    <row r="859" spans="1:9" x14ac:dyDescent="0.3">
      <c r="A859">
        <v>858</v>
      </c>
      <c r="B859">
        <v>858</v>
      </c>
      <c r="C859" t="s">
        <v>3084</v>
      </c>
      <c r="D859" t="s">
        <v>205</v>
      </c>
      <c r="E859" t="s">
        <v>232</v>
      </c>
      <c r="F859" t="s">
        <v>3085</v>
      </c>
      <c r="G859" t="s">
        <v>1254</v>
      </c>
      <c r="H859" t="s">
        <v>3086</v>
      </c>
      <c r="I859" t="s">
        <v>3087</v>
      </c>
    </row>
    <row r="860" spans="1:9" x14ac:dyDescent="0.3">
      <c r="A860">
        <v>859</v>
      </c>
      <c r="B860">
        <v>859</v>
      </c>
      <c r="C860" t="s">
        <v>3088</v>
      </c>
      <c r="D860" t="s">
        <v>10</v>
      </c>
      <c r="E860" t="s">
        <v>715</v>
      </c>
      <c r="F860" t="s">
        <v>3089</v>
      </c>
      <c r="G860" t="s">
        <v>809</v>
      </c>
      <c r="H860" t="s">
        <v>3086</v>
      </c>
      <c r="I860" t="s">
        <v>3090</v>
      </c>
    </row>
    <row r="861" spans="1:9" x14ac:dyDescent="0.3">
      <c r="A861">
        <v>860</v>
      </c>
      <c r="B861">
        <v>860</v>
      </c>
      <c r="C861" t="s">
        <v>3091</v>
      </c>
      <c r="D861" t="s">
        <v>737</v>
      </c>
      <c r="E861" t="s">
        <v>58</v>
      </c>
      <c r="F861" t="s">
        <v>433</v>
      </c>
      <c r="G861" t="s">
        <v>1335</v>
      </c>
      <c r="H861" t="s">
        <v>3092</v>
      </c>
      <c r="I861" t="s">
        <v>3093</v>
      </c>
    </row>
    <row r="862" spans="1:9" x14ac:dyDescent="0.3">
      <c r="A862">
        <v>861</v>
      </c>
      <c r="B862">
        <v>861</v>
      </c>
      <c r="C862" t="s">
        <v>3094</v>
      </c>
      <c r="D862" t="s">
        <v>124</v>
      </c>
      <c r="E862" t="s">
        <v>743</v>
      </c>
      <c r="F862" t="s">
        <v>2123</v>
      </c>
      <c r="G862" t="s">
        <v>3060</v>
      </c>
      <c r="H862" t="s">
        <v>3095</v>
      </c>
      <c r="I862" t="s">
        <v>1693</v>
      </c>
    </row>
    <row r="863" spans="1:9" x14ac:dyDescent="0.3">
      <c r="A863">
        <v>862</v>
      </c>
      <c r="B863">
        <v>862</v>
      </c>
      <c r="C863" t="s">
        <v>3096</v>
      </c>
      <c r="D863" t="s">
        <v>51</v>
      </c>
      <c r="E863" t="s">
        <v>634</v>
      </c>
      <c r="F863" t="s">
        <v>1283</v>
      </c>
      <c r="G863" t="s">
        <v>3065</v>
      </c>
      <c r="H863" t="s">
        <v>3097</v>
      </c>
      <c r="I863" t="s">
        <v>2549</v>
      </c>
    </row>
    <row r="864" spans="1:9" x14ac:dyDescent="0.3">
      <c r="A864">
        <v>863</v>
      </c>
      <c r="B864">
        <v>863</v>
      </c>
      <c r="C864" t="s">
        <v>3098</v>
      </c>
      <c r="D864" t="s">
        <v>35</v>
      </c>
      <c r="E864" t="s">
        <v>23</v>
      </c>
      <c r="F864" t="s">
        <v>3068</v>
      </c>
      <c r="G864" t="s">
        <v>1202</v>
      </c>
      <c r="H864" t="s">
        <v>1590</v>
      </c>
      <c r="I864" t="s">
        <v>299</v>
      </c>
    </row>
    <row r="865" spans="1:9" x14ac:dyDescent="0.3">
      <c r="A865">
        <v>864</v>
      </c>
      <c r="B865">
        <v>864</v>
      </c>
      <c r="C865" t="s">
        <v>3099</v>
      </c>
      <c r="D865" t="s">
        <v>10</v>
      </c>
      <c r="E865" t="s">
        <v>174</v>
      </c>
      <c r="F865" t="s">
        <v>2725</v>
      </c>
      <c r="G865" t="s">
        <v>645</v>
      </c>
      <c r="H865" t="s">
        <v>2698</v>
      </c>
      <c r="I865" t="s">
        <v>3100</v>
      </c>
    </row>
    <row r="866" spans="1:9" x14ac:dyDescent="0.3">
      <c r="A866">
        <v>865</v>
      </c>
      <c r="B866">
        <v>865</v>
      </c>
      <c r="C866" t="s">
        <v>3101</v>
      </c>
      <c r="D866" t="s">
        <v>51</v>
      </c>
      <c r="E866" t="s">
        <v>792</v>
      </c>
      <c r="F866" t="s">
        <v>3102</v>
      </c>
      <c r="G866" t="s">
        <v>1506</v>
      </c>
      <c r="H866" t="s">
        <v>2182</v>
      </c>
      <c r="I866" t="s">
        <v>2589</v>
      </c>
    </row>
    <row r="867" spans="1:9" x14ac:dyDescent="0.3">
      <c r="A867">
        <v>866</v>
      </c>
      <c r="B867">
        <v>866</v>
      </c>
      <c r="C867" t="s">
        <v>3103</v>
      </c>
      <c r="D867" t="s">
        <v>10</v>
      </c>
      <c r="E867" t="s">
        <v>345</v>
      </c>
      <c r="F867" t="s">
        <v>1270</v>
      </c>
      <c r="G867" t="s">
        <v>3065</v>
      </c>
      <c r="H867" t="s">
        <v>1403</v>
      </c>
      <c r="I867" t="s">
        <v>1700</v>
      </c>
    </row>
    <row r="868" spans="1:9" x14ac:dyDescent="0.3">
      <c r="A868">
        <v>867</v>
      </c>
      <c r="B868">
        <v>867</v>
      </c>
      <c r="C868" t="s">
        <v>3104</v>
      </c>
      <c r="D868" t="s">
        <v>10</v>
      </c>
      <c r="E868" t="s">
        <v>345</v>
      </c>
      <c r="F868" t="s">
        <v>481</v>
      </c>
      <c r="G868" t="s">
        <v>1254</v>
      </c>
      <c r="H868" t="s">
        <v>2560</v>
      </c>
      <c r="I868" t="s">
        <v>137</v>
      </c>
    </row>
    <row r="869" spans="1:9" x14ac:dyDescent="0.3">
      <c r="A869">
        <v>868</v>
      </c>
      <c r="B869">
        <v>868</v>
      </c>
      <c r="C869" t="s">
        <v>3105</v>
      </c>
      <c r="D869" t="s">
        <v>10</v>
      </c>
      <c r="E869" t="s">
        <v>58</v>
      </c>
      <c r="F869" t="s">
        <v>3106</v>
      </c>
      <c r="G869" t="s">
        <v>2348</v>
      </c>
      <c r="H869" t="s">
        <v>3029</v>
      </c>
      <c r="I869" t="s">
        <v>341</v>
      </c>
    </row>
    <row r="870" spans="1:9" x14ac:dyDescent="0.3">
      <c r="A870">
        <v>869</v>
      </c>
      <c r="B870">
        <v>869</v>
      </c>
      <c r="C870" t="s">
        <v>3107</v>
      </c>
      <c r="D870" t="s">
        <v>124</v>
      </c>
      <c r="E870" t="s">
        <v>58</v>
      </c>
      <c r="F870" t="s">
        <v>3108</v>
      </c>
      <c r="G870" t="s">
        <v>3109</v>
      </c>
      <c r="H870" t="s">
        <v>3110</v>
      </c>
      <c r="I870" t="s">
        <v>3111</v>
      </c>
    </row>
    <row r="871" spans="1:9" x14ac:dyDescent="0.3">
      <c r="A871">
        <v>870</v>
      </c>
      <c r="B871">
        <v>870</v>
      </c>
      <c r="C871" t="s">
        <v>3112</v>
      </c>
      <c r="D871" t="s">
        <v>35</v>
      </c>
      <c r="E871" t="s">
        <v>17</v>
      </c>
      <c r="F871" t="s">
        <v>2384</v>
      </c>
      <c r="G871" t="s">
        <v>1671</v>
      </c>
      <c r="H871" t="s">
        <v>3113</v>
      </c>
      <c r="I871" t="s">
        <v>2229</v>
      </c>
    </row>
    <row r="872" spans="1:9" x14ac:dyDescent="0.3">
      <c r="A872">
        <v>871</v>
      </c>
      <c r="B872">
        <v>871</v>
      </c>
      <c r="C872" t="s">
        <v>3114</v>
      </c>
      <c r="D872" t="s">
        <v>10</v>
      </c>
      <c r="E872" t="s">
        <v>130</v>
      </c>
      <c r="F872" t="s">
        <v>3059</v>
      </c>
      <c r="G872" t="s">
        <v>2140</v>
      </c>
      <c r="H872" t="s">
        <v>2926</v>
      </c>
      <c r="I872" t="s">
        <v>3115</v>
      </c>
    </row>
    <row r="873" spans="1:9" x14ac:dyDescent="0.3">
      <c r="A873">
        <v>872</v>
      </c>
      <c r="B873">
        <v>872</v>
      </c>
      <c r="C873" t="s">
        <v>3116</v>
      </c>
      <c r="D873" t="s">
        <v>104</v>
      </c>
      <c r="E873" t="s">
        <v>687</v>
      </c>
      <c r="F873" t="s">
        <v>1291</v>
      </c>
      <c r="G873" t="s">
        <v>3117</v>
      </c>
      <c r="H873" t="s">
        <v>3118</v>
      </c>
      <c r="I873" t="s">
        <v>3008</v>
      </c>
    </row>
    <row r="874" spans="1:9" x14ac:dyDescent="0.3">
      <c r="A874">
        <v>873</v>
      </c>
      <c r="B874">
        <v>873</v>
      </c>
      <c r="C874" t="s">
        <v>3119</v>
      </c>
      <c r="D874" t="s">
        <v>10</v>
      </c>
      <c r="E874" t="s">
        <v>706</v>
      </c>
      <c r="F874" t="s">
        <v>2929</v>
      </c>
      <c r="G874" t="s">
        <v>1563</v>
      </c>
      <c r="H874" t="s">
        <v>2648</v>
      </c>
      <c r="I874" t="s">
        <v>3120</v>
      </c>
    </row>
    <row r="875" spans="1:9" x14ac:dyDescent="0.3">
      <c r="A875">
        <v>874</v>
      </c>
      <c r="B875">
        <v>874</v>
      </c>
      <c r="C875" t="s">
        <v>3121</v>
      </c>
      <c r="D875" t="s">
        <v>10</v>
      </c>
      <c r="E875" t="s">
        <v>250</v>
      </c>
      <c r="F875" t="s">
        <v>2608</v>
      </c>
      <c r="G875" t="s">
        <v>1111</v>
      </c>
      <c r="H875" t="s">
        <v>1940</v>
      </c>
      <c r="I875" t="s">
        <v>3122</v>
      </c>
    </row>
    <row r="876" spans="1:9" x14ac:dyDescent="0.3">
      <c r="A876">
        <v>875</v>
      </c>
      <c r="B876">
        <v>875</v>
      </c>
      <c r="C876" t="s">
        <v>3123</v>
      </c>
      <c r="D876" t="s">
        <v>10</v>
      </c>
      <c r="E876" t="s">
        <v>11</v>
      </c>
      <c r="F876" t="s">
        <v>1607</v>
      </c>
      <c r="G876" t="s">
        <v>1118</v>
      </c>
      <c r="H876" t="s">
        <v>3124</v>
      </c>
      <c r="I876" t="s">
        <v>137</v>
      </c>
    </row>
    <row r="877" spans="1:9" x14ac:dyDescent="0.3">
      <c r="A877">
        <v>876</v>
      </c>
      <c r="B877">
        <v>876</v>
      </c>
      <c r="C877" t="s">
        <v>3125</v>
      </c>
      <c r="D877" t="s">
        <v>249</v>
      </c>
      <c r="E877" t="s">
        <v>58</v>
      </c>
      <c r="F877" t="s">
        <v>2716</v>
      </c>
      <c r="G877" t="s">
        <v>1737</v>
      </c>
      <c r="H877" t="s">
        <v>821</v>
      </c>
      <c r="I877" t="s">
        <v>1118</v>
      </c>
    </row>
    <row r="878" spans="1:9" x14ac:dyDescent="0.3">
      <c r="A878">
        <v>877</v>
      </c>
      <c r="B878">
        <v>877</v>
      </c>
      <c r="C878" t="s">
        <v>3126</v>
      </c>
      <c r="D878" t="s">
        <v>216</v>
      </c>
      <c r="E878" t="s">
        <v>726</v>
      </c>
      <c r="F878" t="s">
        <v>2513</v>
      </c>
      <c r="G878" t="s">
        <v>1716</v>
      </c>
      <c r="H878" t="s">
        <v>2748</v>
      </c>
      <c r="I878" t="s">
        <v>1041</v>
      </c>
    </row>
    <row r="879" spans="1:9" x14ac:dyDescent="0.3">
      <c r="A879">
        <v>878</v>
      </c>
      <c r="B879">
        <v>878</v>
      </c>
      <c r="C879" t="s">
        <v>3127</v>
      </c>
      <c r="D879" t="s">
        <v>51</v>
      </c>
      <c r="E879" t="s">
        <v>243</v>
      </c>
      <c r="F879" t="s">
        <v>2711</v>
      </c>
      <c r="G879" t="s">
        <v>1118</v>
      </c>
      <c r="H879" t="s">
        <v>3128</v>
      </c>
      <c r="I879" t="s">
        <v>115</v>
      </c>
    </row>
    <row r="880" spans="1:9" x14ac:dyDescent="0.3">
      <c r="A880">
        <v>879</v>
      </c>
      <c r="B880">
        <v>879</v>
      </c>
      <c r="C880" t="s">
        <v>3129</v>
      </c>
      <c r="D880" t="s">
        <v>452</v>
      </c>
      <c r="E880" t="s">
        <v>58</v>
      </c>
      <c r="F880" t="s">
        <v>3130</v>
      </c>
      <c r="G880" t="s">
        <v>2140</v>
      </c>
      <c r="H880">
        <v>11</v>
      </c>
      <c r="I880" t="s">
        <v>2603</v>
      </c>
    </row>
    <row r="881" spans="1:9" x14ac:dyDescent="0.3">
      <c r="A881">
        <v>880</v>
      </c>
      <c r="B881">
        <v>880</v>
      </c>
      <c r="C881" t="s">
        <v>3131</v>
      </c>
      <c r="D881" t="s">
        <v>10</v>
      </c>
      <c r="E881" t="s">
        <v>64</v>
      </c>
      <c r="F881" t="s">
        <v>2029</v>
      </c>
      <c r="G881" t="s">
        <v>2348</v>
      </c>
      <c r="H881" t="s">
        <v>3132</v>
      </c>
      <c r="I881" t="s">
        <v>1846</v>
      </c>
    </row>
    <row r="882" spans="1:9" x14ac:dyDescent="0.3">
      <c r="A882">
        <v>881</v>
      </c>
      <c r="B882">
        <v>881</v>
      </c>
      <c r="C882" t="s">
        <v>3133</v>
      </c>
      <c r="D882" t="s">
        <v>104</v>
      </c>
      <c r="E882" t="s">
        <v>52</v>
      </c>
      <c r="F882" t="s">
        <v>2723</v>
      </c>
      <c r="G882" t="s">
        <v>2801</v>
      </c>
      <c r="H882" t="s">
        <v>3134</v>
      </c>
      <c r="I882" t="s">
        <v>2662</v>
      </c>
    </row>
    <row r="883" spans="1:9" x14ac:dyDescent="0.3">
      <c r="A883">
        <v>882</v>
      </c>
      <c r="B883">
        <v>882</v>
      </c>
      <c r="C883" t="s">
        <v>3135</v>
      </c>
      <c r="D883" t="s">
        <v>696</v>
      </c>
      <c r="E883" t="s">
        <v>706</v>
      </c>
      <c r="F883" t="s">
        <v>3136</v>
      </c>
      <c r="G883" t="s">
        <v>1857</v>
      </c>
      <c r="H883" t="s">
        <v>1891</v>
      </c>
      <c r="I883" t="s">
        <v>3137</v>
      </c>
    </row>
    <row r="884" spans="1:9" x14ac:dyDescent="0.3">
      <c r="A884">
        <v>883</v>
      </c>
      <c r="B884">
        <v>883</v>
      </c>
      <c r="C884" t="s">
        <v>3138</v>
      </c>
      <c r="D884" t="s">
        <v>2329</v>
      </c>
      <c r="E884" t="s">
        <v>58</v>
      </c>
      <c r="F884" t="s">
        <v>2400</v>
      </c>
      <c r="G884" t="s">
        <v>3065</v>
      </c>
      <c r="H884" t="s">
        <v>1684</v>
      </c>
      <c r="I884" t="s">
        <v>1724</v>
      </c>
    </row>
    <row r="885" spans="1:9" x14ac:dyDescent="0.3">
      <c r="A885">
        <v>884</v>
      </c>
      <c r="B885">
        <v>884</v>
      </c>
      <c r="C885" t="s">
        <v>3139</v>
      </c>
      <c r="D885" t="s">
        <v>458</v>
      </c>
      <c r="E885" t="s">
        <v>29</v>
      </c>
      <c r="F885" t="s">
        <v>1526</v>
      </c>
      <c r="G885" t="s">
        <v>1038</v>
      </c>
      <c r="H885" t="s">
        <v>1824</v>
      </c>
      <c r="I885" t="s">
        <v>3140</v>
      </c>
    </row>
    <row r="886" spans="1:9" x14ac:dyDescent="0.3">
      <c r="A886">
        <v>885</v>
      </c>
      <c r="B886">
        <v>885</v>
      </c>
      <c r="C886" t="s">
        <v>3141</v>
      </c>
      <c r="D886" t="s">
        <v>584</v>
      </c>
      <c r="E886" t="s">
        <v>58</v>
      </c>
      <c r="F886" t="s">
        <v>466</v>
      </c>
      <c r="G886" t="s">
        <v>1737</v>
      </c>
      <c r="H886" t="s">
        <v>1053</v>
      </c>
      <c r="I886" t="s">
        <v>2613</v>
      </c>
    </row>
    <row r="887" spans="1:9" x14ac:dyDescent="0.3">
      <c r="A887">
        <v>886</v>
      </c>
      <c r="B887">
        <v>886</v>
      </c>
      <c r="C887" t="s">
        <v>3142</v>
      </c>
      <c r="D887" t="s">
        <v>608</v>
      </c>
      <c r="E887" t="s">
        <v>130</v>
      </c>
      <c r="F887" t="s">
        <v>2476</v>
      </c>
      <c r="G887" t="s">
        <v>1741</v>
      </c>
      <c r="H887" t="s">
        <v>3143</v>
      </c>
      <c r="I887" t="s">
        <v>207</v>
      </c>
    </row>
    <row r="888" spans="1:9" x14ac:dyDescent="0.3">
      <c r="A888">
        <v>887</v>
      </c>
      <c r="B888">
        <v>887</v>
      </c>
      <c r="C888" t="s">
        <v>3144</v>
      </c>
      <c r="D888" t="s">
        <v>35</v>
      </c>
      <c r="E888" t="s">
        <v>743</v>
      </c>
      <c r="F888" t="s">
        <v>1542</v>
      </c>
      <c r="G888" t="s">
        <v>1671</v>
      </c>
      <c r="H888" t="s">
        <v>126</v>
      </c>
      <c r="I888" t="s">
        <v>619</v>
      </c>
    </row>
    <row r="889" spans="1:9" x14ac:dyDescent="0.3">
      <c r="A889">
        <v>888</v>
      </c>
      <c r="B889">
        <v>888</v>
      </c>
      <c r="C889" t="s">
        <v>3145</v>
      </c>
      <c r="D889" t="s">
        <v>452</v>
      </c>
      <c r="E889" t="s">
        <v>23</v>
      </c>
      <c r="F889" t="s">
        <v>1493</v>
      </c>
      <c r="G889" t="s">
        <v>1506</v>
      </c>
      <c r="H889" t="s">
        <v>3146</v>
      </c>
      <c r="I889" t="s">
        <v>1618</v>
      </c>
    </row>
    <row r="890" spans="1:9" x14ac:dyDescent="0.3">
      <c r="A890">
        <v>889</v>
      </c>
      <c r="B890">
        <v>889</v>
      </c>
      <c r="C890" t="s">
        <v>3147</v>
      </c>
      <c r="D890" t="s">
        <v>1992</v>
      </c>
      <c r="E890" t="s">
        <v>726</v>
      </c>
      <c r="F890" t="s">
        <v>2746</v>
      </c>
      <c r="G890" t="s">
        <v>1967</v>
      </c>
      <c r="H890" t="s">
        <v>3148</v>
      </c>
      <c r="I890" t="s">
        <v>2613</v>
      </c>
    </row>
    <row r="891" spans="1:9" x14ac:dyDescent="0.3">
      <c r="A891">
        <v>890</v>
      </c>
      <c r="B891">
        <v>890</v>
      </c>
      <c r="C891" t="s">
        <v>3149</v>
      </c>
      <c r="D891" t="s">
        <v>205</v>
      </c>
      <c r="E891" t="s">
        <v>243</v>
      </c>
      <c r="F891" t="s">
        <v>2565</v>
      </c>
      <c r="G891" t="s">
        <v>1556</v>
      </c>
      <c r="H891" t="s">
        <v>3150</v>
      </c>
      <c r="I891" t="s">
        <v>2301</v>
      </c>
    </row>
    <row r="892" spans="1:9" x14ac:dyDescent="0.3">
      <c r="A892">
        <v>891</v>
      </c>
      <c r="B892">
        <v>891</v>
      </c>
      <c r="C892" t="s">
        <v>3151</v>
      </c>
      <c r="D892" t="s">
        <v>2925</v>
      </c>
      <c r="E892" t="s">
        <v>11</v>
      </c>
      <c r="F892" t="s">
        <v>3005</v>
      </c>
      <c r="G892" t="s">
        <v>2455</v>
      </c>
      <c r="H892" t="s">
        <v>3152</v>
      </c>
      <c r="I892" t="s">
        <v>218</v>
      </c>
    </row>
    <row r="893" spans="1:9" x14ac:dyDescent="0.3">
      <c r="A893">
        <v>892</v>
      </c>
      <c r="B893">
        <v>892</v>
      </c>
      <c r="C893" t="s">
        <v>3153</v>
      </c>
      <c r="D893" t="s">
        <v>10</v>
      </c>
      <c r="E893" t="s">
        <v>23</v>
      </c>
      <c r="F893" t="s">
        <v>2526</v>
      </c>
      <c r="G893" t="s">
        <v>2096</v>
      </c>
      <c r="H893" t="s">
        <v>176</v>
      </c>
      <c r="I893" t="s">
        <v>2698</v>
      </c>
    </row>
    <row r="894" spans="1:9" x14ac:dyDescent="0.3">
      <c r="A894">
        <v>893</v>
      </c>
      <c r="B894">
        <v>893</v>
      </c>
      <c r="C894" t="s">
        <v>3154</v>
      </c>
      <c r="D894" t="s">
        <v>10</v>
      </c>
      <c r="E894" t="s">
        <v>687</v>
      </c>
      <c r="F894" t="s">
        <v>3155</v>
      </c>
      <c r="G894" t="s">
        <v>1286</v>
      </c>
      <c r="H894" t="s">
        <v>321</v>
      </c>
      <c r="I894" t="s">
        <v>2379</v>
      </c>
    </row>
    <row r="895" spans="1:9" x14ac:dyDescent="0.3">
      <c r="A895">
        <v>894</v>
      </c>
      <c r="B895">
        <v>894</v>
      </c>
      <c r="C895" t="s">
        <v>3156</v>
      </c>
      <c r="D895" t="s">
        <v>51</v>
      </c>
      <c r="E895" t="s">
        <v>687</v>
      </c>
      <c r="F895" t="s">
        <v>1971</v>
      </c>
      <c r="G895" t="s">
        <v>2801</v>
      </c>
      <c r="H895" t="s">
        <v>3033</v>
      </c>
      <c r="I895" t="s">
        <v>2102</v>
      </c>
    </row>
    <row r="896" spans="1:9" x14ac:dyDescent="0.3">
      <c r="A896">
        <v>895</v>
      </c>
      <c r="B896">
        <v>895</v>
      </c>
      <c r="C896" t="s">
        <v>3157</v>
      </c>
      <c r="D896" t="s">
        <v>35</v>
      </c>
      <c r="E896" t="s">
        <v>151</v>
      </c>
      <c r="F896" t="s">
        <v>1953</v>
      </c>
      <c r="G896" t="s">
        <v>3158</v>
      </c>
      <c r="H896" t="s">
        <v>3159</v>
      </c>
      <c r="I896" t="s">
        <v>257</v>
      </c>
    </row>
    <row r="897" spans="1:9" x14ac:dyDescent="0.3">
      <c r="A897">
        <v>896</v>
      </c>
      <c r="B897">
        <v>896</v>
      </c>
      <c r="C897" t="s">
        <v>3160</v>
      </c>
      <c r="D897" t="s">
        <v>3161</v>
      </c>
      <c r="E897" t="s">
        <v>151</v>
      </c>
      <c r="F897" t="s">
        <v>3162</v>
      </c>
      <c r="G897" t="s">
        <v>1128</v>
      </c>
      <c r="H897" t="s">
        <v>1526</v>
      </c>
      <c r="I897" t="s">
        <v>1534</v>
      </c>
    </row>
    <row r="898" spans="1:9" x14ac:dyDescent="0.3">
      <c r="A898">
        <v>897</v>
      </c>
      <c r="B898">
        <v>897</v>
      </c>
      <c r="C898" t="s">
        <v>3163</v>
      </c>
      <c r="D898" t="s">
        <v>737</v>
      </c>
      <c r="E898" t="s">
        <v>11</v>
      </c>
      <c r="F898" t="s">
        <v>1094</v>
      </c>
      <c r="G898" t="s">
        <v>1577</v>
      </c>
      <c r="H898" t="s">
        <v>3164</v>
      </c>
      <c r="I898" t="s">
        <v>3165</v>
      </c>
    </row>
    <row r="899" spans="1:9" x14ac:dyDescent="0.3">
      <c r="A899">
        <v>898</v>
      </c>
      <c r="B899">
        <v>898</v>
      </c>
      <c r="C899" t="s">
        <v>3166</v>
      </c>
      <c r="D899" t="s">
        <v>51</v>
      </c>
      <c r="E899" t="s">
        <v>52</v>
      </c>
      <c r="F899" t="s">
        <v>1194</v>
      </c>
      <c r="G899" t="s">
        <v>1958</v>
      </c>
      <c r="H899" t="s">
        <v>2899</v>
      </c>
      <c r="I899" t="s">
        <v>3167</v>
      </c>
    </row>
    <row r="900" spans="1:9" x14ac:dyDescent="0.3">
      <c r="A900">
        <v>899</v>
      </c>
      <c r="B900">
        <v>899</v>
      </c>
      <c r="C900" t="s">
        <v>3168</v>
      </c>
      <c r="D900" t="s">
        <v>10</v>
      </c>
      <c r="E900" t="s">
        <v>98</v>
      </c>
      <c r="F900" t="s">
        <v>3169</v>
      </c>
      <c r="G900" t="s">
        <v>3170</v>
      </c>
      <c r="H900" t="s">
        <v>2753</v>
      </c>
      <c r="I900" t="s">
        <v>2454</v>
      </c>
    </row>
    <row r="901" spans="1:9" x14ac:dyDescent="0.3">
      <c r="A901">
        <v>900</v>
      </c>
      <c r="B901">
        <v>900</v>
      </c>
      <c r="C901" t="s">
        <v>3171</v>
      </c>
      <c r="D901" t="s">
        <v>70</v>
      </c>
      <c r="E901" t="s">
        <v>141</v>
      </c>
      <c r="F901" t="s">
        <v>171</v>
      </c>
      <c r="G901" t="s">
        <v>1128</v>
      </c>
      <c r="H901" t="s">
        <v>3172</v>
      </c>
      <c r="I901" t="s">
        <v>3173</v>
      </c>
    </row>
    <row r="902" spans="1:9" x14ac:dyDescent="0.3">
      <c r="A902">
        <v>901</v>
      </c>
      <c r="B902">
        <v>901</v>
      </c>
      <c r="C902" t="s">
        <v>3174</v>
      </c>
      <c r="D902" t="s">
        <v>10</v>
      </c>
      <c r="E902" t="s">
        <v>98</v>
      </c>
      <c r="F902" t="s">
        <v>2610</v>
      </c>
      <c r="G902" t="s">
        <v>2975</v>
      </c>
      <c r="H902" t="s">
        <v>1468</v>
      </c>
      <c r="I902" t="s">
        <v>1080</v>
      </c>
    </row>
    <row r="903" spans="1:9" x14ac:dyDescent="0.3">
      <c r="A903">
        <v>902</v>
      </c>
      <c r="B903">
        <v>902</v>
      </c>
      <c r="C903" t="s">
        <v>3175</v>
      </c>
      <c r="D903" t="s">
        <v>401</v>
      </c>
      <c r="E903" t="s">
        <v>687</v>
      </c>
      <c r="F903" t="s">
        <v>3176</v>
      </c>
      <c r="G903" t="s">
        <v>1563</v>
      </c>
      <c r="H903" t="s">
        <v>158</v>
      </c>
      <c r="I903" t="s">
        <v>3177</v>
      </c>
    </row>
    <row r="904" spans="1:9" x14ac:dyDescent="0.3">
      <c r="A904">
        <v>903</v>
      </c>
      <c r="B904">
        <v>903</v>
      </c>
      <c r="C904" t="s">
        <v>3178</v>
      </c>
      <c r="D904" t="s">
        <v>2172</v>
      </c>
      <c r="E904" t="s">
        <v>11</v>
      </c>
      <c r="F904" t="s">
        <v>3179</v>
      </c>
      <c r="G904" t="s">
        <v>1967</v>
      </c>
      <c r="H904" t="s">
        <v>1517</v>
      </c>
      <c r="I904" t="s">
        <v>2474</v>
      </c>
    </row>
    <row r="905" spans="1:9" x14ac:dyDescent="0.3">
      <c r="A905">
        <v>904</v>
      </c>
      <c r="B905">
        <v>904</v>
      </c>
      <c r="C905" t="s">
        <v>3180</v>
      </c>
      <c r="D905" t="s">
        <v>51</v>
      </c>
      <c r="E905" t="s">
        <v>687</v>
      </c>
      <c r="F905" t="s">
        <v>3013</v>
      </c>
      <c r="G905" t="s">
        <v>2369</v>
      </c>
      <c r="H905" t="s">
        <v>3181</v>
      </c>
      <c r="I905" t="s">
        <v>2913</v>
      </c>
    </row>
    <row r="906" spans="1:9" x14ac:dyDescent="0.3">
      <c r="A906">
        <v>905</v>
      </c>
      <c r="B906">
        <v>905</v>
      </c>
      <c r="C906" t="s">
        <v>3182</v>
      </c>
      <c r="D906" t="s">
        <v>51</v>
      </c>
      <c r="E906" t="s">
        <v>743</v>
      </c>
      <c r="F906" t="s">
        <v>2917</v>
      </c>
      <c r="G906" t="s">
        <v>1118</v>
      </c>
      <c r="H906" t="s">
        <v>2942</v>
      </c>
      <c r="I906" t="s">
        <v>3177</v>
      </c>
    </row>
    <row r="907" spans="1:9" x14ac:dyDescent="0.3">
      <c r="A907">
        <v>906</v>
      </c>
      <c r="B907">
        <v>906</v>
      </c>
      <c r="C907" t="s">
        <v>3183</v>
      </c>
      <c r="D907" t="s">
        <v>10</v>
      </c>
      <c r="E907" t="s">
        <v>232</v>
      </c>
      <c r="F907" t="s">
        <v>1212</v>
      </c>
      <c r="G907" t="s">
        <v>2759</v>
      </c>
      <c r="H907" t="s">
        <v>2142</v>
      </c>
      <c r="I907" t="s">
        <v>3184</v>
      </c>
    </row>
    <row r="908" spans="1:9" x14ac:dyDescent="0.3">
      <c r="A908">
        <v>907</v>
      </c>
      <c r="B908">
        <v>907</v>
      </c>
      <c r="C908" t="s">
        <v>3185</v>
      </c>
      <c r="D908" t="s">
        <v>10</v>
      </c>
      <c r="E908" t="s">
        <v>345</v>
      </c>
      <c r="F908" t="s">
        <v>2698</v>
      </c>
      <c r="G908" t="s">
        <v>1335</v>
      </c>
      <c r="H908" t="s">
        <v>2301</v>
      </c>
      <c r="I908" t="s">
        <v>1354</v>
      </c>
    </row>
    <row r="909" spans="1:9" x14ac:dyDescent="0.3">
      <c r="A909">
        <v>908</v>
      </c>
      <c r="B909">
        <v>908</v>
      </c>
      <c r="C909" t="s">
        <v>3186</v>
      </c>
      <c r="D909" t="s">
        <v>10</v>
      </c>
      <c r="E909" t="s">
        <v>64</v>
      </c>
      <c r="F909" t="s">
        <v>3187</v>
      </c>
      <c r="G909" t="s">
        <v>2096</v>
      </c>
      <c r="H909" t="s">
        <v>162</v>
      </c>
      <c r="I909" t="s">
        <v>72</v>
      </c>
    </row>
    <row r="910" spans="1:9" x14ac:dyDescent="0.3">
      <c r="A910">
        <v>909</v>
      </c>
      <c r="B910">
        <v>909</v>
      </c>
      <c r="C910" t="s">
        <v>3188</v>
      </c>
      <c r="D910" t="s">
        <v>10</v>
      </c>
      <c r="E910" t="s">
        <v>706</v>
      </c>
      <c r="F910" t="s">
        <v>341</v>
      </c>
      <c r="G910" t="s">
        <v>1506</v>
      </c>
      <c r="H910" t="s">
        <v>3189</v>
      </c>
      <c r="I910" t="s">
        <v>3190</v>
      </c>
    </row>
    <row r="911" spans="1:9" x14ac:dyDescent="0.3">
      <c r="A911">
        <v>910</v>
      </c>
      <c r="B911">
        <v>910</v>
      </c>
      <c r="C911" t="s">
        <v>3191</v>
      </c>
      <c r="D911" t="s">
        <v>124</v>
      </c>
      <c r="E911" t="s">
        <v>130</v>
      </c>
      <c r="F911" t="s">
        <v>78</v>
      </c>
      <c r="G911" t="s">
        <v>1098</v>
      </c>
      <c r="H911" t="s">
        <v>2184</v>
      </c>
      <c r="I911" t="s">
        <v>285</v>
      </c>
    </row>
    <row r="912" spans="1:9" x14ac:dyDescent="0.3">
      <c r="A912">
        <v>911</v>
      </c>
      <c r="B912">
        <v>911</v>
      </c>
      <c r="C912" t="s">
        <v>3192</v>
      </c>
      <c r="D912" t="s">
        <v>10</v>
      </c>
      <c r="E912" t="s">
        <v>174</v>
      </c>
      <c r="F912" t="s">
        <v>517</v>
      </c>
      <c r="G912" t="s">
        <v>1012</v>
      </c>
      <c r="H912" t="s">
        <v>1235</v>
      </c>
      <c r="I912" t="s">
        <v>3193</v>
      </c>
    </row>
    <row r="913" spans="1:9" x14ac:dyDescent="0.3">
      <c r="A913">
        <v>912</v>
      </c>
      <c r="B913">
        <v>912</v>
      </c>
      <c r="C913" t="s">
        <v>3194</v>
      </c>
      <c r="D913" t="s">
        <v>10</v>
      </c>
      <c r="E913" t="s">
        <v>743</v>
      </c>
      <c r="F913" t="s">
        <v>1745</v>
      </c>
      <c r="G913" t="s">
        <v>1012</v>
      </c>
      <c r="H913" t="s">
        <v>2383</v>
      </c>
      <c r="I913" t="s">
        <v>3111</v>
      </c>
    </row>
    <row r="914" spans="1:9" x14ac:dyDescent="0.3">
      <c r="A914">
        <v>913</v>
      </c>
      <c r="B914">
        <v>913</v>
      </c>
      <c r="C914" t="s">
        <v>3195</v>
      </c>
      <c r="D914" t="s">
        <v>452</v>
      </c>
      <c r="E914" t="s">
        <v>58</v>
      </c>
      <c r="F914" t="s">
        <v>982</v>
      </c>
      <c r="G914" t="s">
        <v>1128</v>
      </c>
      <c r="H914" t="s">
        <v>3196</v>
      </c>
      <c r="I914" t="s">
        <v>2226</v>
      </c>
    </row>
    <row r="915" spans="1:9" x14ac:dyDescent="0.3">
      <c r="A915">
        <v>914</v>
      </c>
      <c r="B915">
        <v>914</v>
      </c>
      <c r="C915" t="s">
        <v>3197</v>
      </c>
      <c r="D915" t="s">
        <v>10</v>
      </c>
      <c r="E915" t="s">
        <v>174</v>
      </c>
      <c r="F915" t="s">
        <v>262</v>
      </c>
      <c r="G915" t="s">
        <v>1330</v>
      </c>
      <c r="H915">
        <v>4</v>
      </c>
      <c r="I915" t="s">
        <v>1342</v>
      </c>
    </row>
    <row r="916" spans="1:9" x14ac:dyDescent="0.3">
      <c r="A916">
        <v>915</v>
      </c>
      <c r="B916">
        <v>915</v>
      </c>
      <c r="C916" t="s">
        <v>3198</v>
      </c>
      <c r="D916" t="s">
        <v>417</v>
      </c>
      <c r="E916" t="s">
        <v>634</v>
      </c>
      <c r="F916" t="s">
        <v>3199</v>
      </c>
      <c r="G916" t="s">
        <v>1741</v>
      </c>
      <c r="H916" t="s">
        <v>2615</v>
      </c>
      <c r="I916" t="s">
        <v>3200</v>
      </c>
    </row>
    <row r="917" spans="1:9" x14ac:dyDescent="0.3">
      <c r="A917">
        <v>916</v>
      </c>
      <c r="B917">
        <v>916</v>
      </c>
      <c r="C917" t="s">
        <v>3201</v>
      </c>
      <c r="D917" t="s">
        <v>51</v>
      </c>
      <c r="E917" t="s">
        <v>726</v>
      </c>
      <c r="F917" t="s">
        <v>2741</v>
      </c>
      <c r="G917" t="s">
        <v>2842</v>
      </c>
      <c r="H917" t="s">
        <v>3202</v>
      </c>
      <c r="I917" t="s">
        <v>2476</v>
      </c>
    </row>
    <row r="918" spans="1:9" x14ac:dyDescent="0.3">
      <c r="A918">
        <v>917</v>
      </c>
      <c r="B918">
        <v>917</v>
      </c>
      <c r="C918" t="s">
        <v>3203</v>
      </c>
      <c r="D918" t="s">
        <v>10</v>
      </c>
      <c r="E918" t="s">
        <v>634</v>
      </c>
      <c r="F918" t="s">
        <v>2051</v>
      </c>
      <c r="G918">
        <v>0</v>
      </c>
      <c r="H918" t="s">
        <v>1305</v>
      </c>
      <c r="I918" t="s">
        <v>2952</v>
      </c>
    </row>
    <row r="919" spans="1:9" x14ac:dyDescent="0.3">
      <c r="A919">
        <v>918</v>
      </c>
      <c r="B919">
        <v>918</v>
      </c>
      <c r="C919" t="s">
        <v>3204</v>
      </c>
      <c r="D919" t="s">
        <v>51</v>
      </c>
      <c r="E919" t="s">
        <v>706</v>
      </c>
      <c r="F919" t="s">
        <v>72</v>
      </c>
      <c r="G919" t="s">
        <v>2455</v>
      </c>
      <c r="H919" t="s">
        <v>252</v>
      </c>
      <c r="I919" t="s">
        <v>3016</v>
      </c>
    </row>
    <row r="920" spans="1:9" x14ac:dyDescent="0.3">
      <c r="A920">
        <v>919</v>
      </c>
      <c r="B920">
        <v>919</v>
      </c>
      <c r="C920" t="s">
        <v>3205</v>
      </c>
      <c r="D920" t="s">
        <v>51</v>
      </c>
      <c r="E920" t="s">
        <v>726</v>
      </c>
      <c r="F920" t="s">
        <v>3206</v>
      </c>
      <c r="G920" t="s">
        <v>2801</v>
      </c>
      <c r="H920" t="s">
        <v>3207</v>
      </c>
      <c r="I920" t="s">
        <v>223</v>
      </c>
    </row>
    <row r="921" spans="1:9" x14ac:dyDescent="0.3">
      <c r="A921">
        <v>920</v>
      </c>
      <c r="B921">
        <v>920</v>
      </c>
      <c r="C921" t="s">
        <v>3208</v>
      </c>
      <c r="D921" t="s">
        <v>249</v>
      </c>
      <c r="E921" t="s">
        <v>23</v>
      </c>
      <c r="F921" t="s">
        <v>3209</v>
      </c>
      <c r="G921" t="s">
        <v>1118</v>
      </c>
      <c r="H921" t="s">
        <v>2939</v>
      </c>
      <c r="I921" t="s">
        <v>2500</v>
      </c>
    </row>
    <row r="922" spans="1:9" x14ac:dyDescent="0.3">
      <c r="A922">
        <v>921</v>
      </c>
      <c r="B922">
        <v>921</v>
      </c>
      <c r="C922" t="s">
        <v>3210</v>
      </c>
      <c r="D922" t="s">
        <v>1441</v>
      </c>
      <c r="E922" t="s">
        <v>510</v>
      </c>
      <c r="F922" t="s">
        <v>2173</v>
      </c>
      <c r="G922" t="s">
        <v>2096</v>
      </c>
      <c r="H922" t="s">
        <v>2826</v>
      </c>
      <c r="I922" t="s">
        <v>1565</v>
      </c>
    </row>
    <row r="923" spans="1:9" x14ac:dyDescent="0.3">
      <c r="A923">
        <v>922</v>
      </c>
      <c r="B923">
        <v>922</v>
      </c>
      <c r="C923" t="s">
        <v>3211</v>
      </c>
      <c r="D923" t="s">
        <v>51</v>
      </c>
      <c r="E923" t="s">
        <v>365</v>
      </c>
      <c r="F923" t="s">
        <v>3212</v>
      </c>
      <c r="G923" t="s">
        <v>3213</v>
      </c>
      <c r="H923" t="s">
        <v>951</v>
      </c>
      <c r="I923" t="s">
        <v>2578</v>
      </c>
    </row>
    <row r="924" spans="1:9" x14ac:dyDescent="0.3">
      <c r="A924">
        <v>923</v>
      </c>
      <c r="B924">
        <v>923</v>
      </c>
      <c r="C924" t="s">
        <v>3214</v>
      </c>
      <c r="D924" t="s">
        <v>51</v>
      </c>
      <c r="E924" t="s">
        <v>58</v>
      </c>
      <c r="F924" t="s">
        <v>2636</v>
      </c>
      <c r="G924" t="s">
        <v>3054</v>
      </c>
      <c r="H924" t="s">
        <v>3215</v>
      </c>
      <c r="I924" t="s">
        <v>3216</v>
      </c>
    </row>
    <row r="925" spans="1:9" x14ac:dyDescent="0.3">
      <c r="A925">
        <v>924</v>
      </c>
      <c r="B925">
        <v>924</v>
      </c>
      <c r="C925" t="s">
        <v>3217</v>
      </c>
      <c r="D925" t="s">
        <v>10</v>
      </c>
      <c r="E925" t="s">
        <v>58</v>
      </c>
      <c r="F925" t="s">
        <v>2986</v>
      </c>
      <c r="G925" t="s">
        <v>2348</v>
      </c>
      <c r="H925" t="s">
        <v>3218</v>
      </c>
      <c r="I925" t="s">
        <v>2795</v>
      </c>
    </row>
    <row r="926" spans="1:9" x14ac:dyDescent="0.3">
      <c r="A926">
        <v>925</v>
      </c>
      <c r="B926">
        <v>925</v>
      </c>
      <c r="C926" t="s">
        <v>3219</v>
      </c>
      <c r="D926" t="s">
        <v>51</v>
      </c>
      <c r="E926" t="s">
        <v>232</v>
      </c>
      <c r="F926" t="s">
        <v>3220</v>
      </c>
      <c r="G926" t="s">
        <v>1716</v>
      </c>
      <c r="H926" t="s">
        <v>1151</v>
      </c>
      <c r="I926" t="s">
        <v>2510</v>
      </c>
    </row>
    <row r="927" spans="1:9" x14ac:dyDescent="0.3">
      <c r="A927">
        <v>926</v>
      </c>
      <c r="B927">
        <v>926</v>
      </c>
      <c r="C927" t="s">
        <v>3221</v>
      </c>
      <c r="D927" t="s">
        <v>124</v>
      </c>
      <c r="E927" t="s">
        <v>11</v>
      </c>
      <c r="F927" t="s">
        <v>2544</v>
      </c>
      <c r="G927" t="s">
        <v>3222</v>
      </c>
      <c r="H927" t="s">
        <v>3223</v>
      </c>
      <c r="I927" t="s">
        <v>1102</v>
      </c>
    </row>
    <row r="928" spans="1:9" x14ac:dyDescent="0.3">
      <c r="A928">
        <v>927</v>
      </c>
      <c r="B928">
        <v>927</v>
      </c>
      <c r="C928" t="s">
        <v>3224</v>
      </c>
      <c r="D928" t="s">
        <v>10</v>
      </c>
      <c r="E928" t="s">
        <v>365</v>
      </c>
      <c r="F928" t="s">
        <v>3225</v>
      </c>
      <c r="G928" t="s">
        <v>3226</v>
      </c>
      <c r="H928" t="s">
        <v>3227</v>
      </c>
      <c r="I928" t="s">
        <v>3220</v>
      </c>
    </row>
    <row r="929" spans="1:9" x14ac:dyDescent="0.3">
      <c r="A929">
        <v>928</v>
      </c>
      <c r="B929">
        <v>928</v>
      </c>
      <c r="C929" t="s">
        <v>3228</v>
      </c>
      <c r="D929" t="s">
        <v>35</v>
      </c>
      <c r="E929" t="s">
        <v>706</v>
      </c>
      <c r="F929" t="s">
        <v>2872</v>
      </c>
      <c r="G929" t="s">
        <v>794</v>
      </c>
      <c r="H929" t="s">
        <v>3229</v>
      </c>
      <c r="I929" t="s">
        <v>1115</v>
      </c>
    </row>
    <row r="930" spans="1:9" x14ac:dyDescent="0.3">
      <c r="A930">
        <v>929</v>
      </c>
      <c r="B930">
        <v>929</v>
      </c>
      <c r="C930" t="s">
        <v>3230</v>
      </c>
      <c r="D930" t="s">
        <v>249</v>
      </c>
      <c r="E930" t="s">
        <v>11</v>
      </c>
      <c r="F930" t="s">
        <v>2601</v>
      </c>
      <c r="G930" t="s">
        <v>3065</v>
      </c>
      <c r="H930" t="s">
        <v>3231</v>
      </c>
      <c r="I930" t="s">
        <v>218</v>
      </c>
    </row>
    <row r="931" spans="1:9" x14ac:dyDescent="0.3">
      <c r="A931">
        <v>930</v>
      </c>
      <c r="B931">
        <v>930</v>
      </c>
      <c r="C931" t="s">
        <v>3232</v>
      </c>
      <c r="D931" t="s">
        <v>10</v>
      </c>
      <c r="E931" t="s">
        <v>232</v>
      </c>
      <c r="F931" t="s">
        <v>2664</v>
      </c>
      <c r="G931" t="s">
        <v>3233</v>
      </c>
      <c r="H931" t="s">
        <v>890</v>
      </c>
      <c r="I931" t="s">
        <v>1401</v>
      </c>
    </row>
    <row r="932" spans="1:9" x14ac:dyDescent="0.3">
      <c r="A932">
        <v>931</v>
      </c>
      <c r="B932">
        <v>931</v>
      </c>
      <c r="C932" t="s">
        <v>3234</v>
      </c>
      <c r="D932" t="s">
        <v>10</v>
      </c>
      <c r="E932" t="s">
        <v>243</v>
      </c>
      <c r="F932" t="s">
        <v>2844</v>
      </c>
      <c r="G932" t="s">
        <v>1556</v>
      </c>
      <c r="H932" t="s">
        <v>3176</v>
      </c>
      <c r="I932" t="s">
        <v>2188</v>
      </c>
    </row>
    <row r="933" spans="1:9" x14ac:dyDescent="0.3">
      <c r="A933">
        <v>932</v>
      </c>
      <c r="B933">
        <v>932</v>
      </c>
      <c r="C933" t="s">
        <v>3235</v>
      </c>
      <c r="D933" t="s">
        <v>452</v>
      </c>
      <c r="E933" t="s">
        <v>58</v>
      </c>
      <c r="F933" t="s">
        <v>3236</v>
      </c>
      <c r="G933" t="s">
        <v>2348</v>
      </c>
      <c r="H933" t="s">
        <v>745</v>
      </c>
      <c r="I933" t="s">
        <v>1244</v>
      </c>
    </row>
    <row r="934" spans="1:9" x14ac:dyDescent="0.3">
      <c r="A934">
        <v>933</v>
      </c>
      <c r="B934">
        <v>933</v>
      </c>
      <c r="C934" t="s">
        <v>3237</v>
      </c>
      <c r="D934" t="s">
        <v>70</v>
      </c>
      <c r="E934" t="s">
        <v>243</v>
      </c>
      <c r="F934" t="s">
        <v>2242</v>
      </c>
      <c r="G934" t="s">
        <v>1111</v>
      </c>
      <c r="H934" t="s">
        <v>1493</v>
      </c>
      <c r="I934" t="s">
        <v>1327</v>
      </c>
    </row>
    <row r="935" spans="1:9" x14ac:dyDescent="0.3">
      <c r="A935">
        <v>934</v>
      </c>
      <c r="B935">
        <v>934</v>
      </c>
      <c r="C935" t="s">
        <v>3238</v>
      </c>
      <c r="D935" t="s">
        <v>51</v>
      </c>
      <c r="E935" t="s">
        <v>243</v>
      </c>
      <c r="F935" t="s">
        <v>3239</v>
      </c>
      <c r="G935" t="s">
        <v>2850</v>
      </c>
      <c r="H935" t="s">
        <v>3240</v>
      </c>
      <c r="I935" t="s">
        <v>2654</v>
      </c>
    </row>
    <row r="936" spans="1:9" x14ac:dyDescent="0.3">
      <c r="A936">
        <v>935</v>
      </c>
      <c r="B936">
        <v>935</v>
      </c>
      <c r="C936" t="s">
        <v>3241</v>
      </c>
      <c r="D936" t="s">
        <v>51</v>
      </c>
      <c r="E936" t="s">
        <v>792</v>
      </c>
      <c r="F936" t="s">
        <v>3242</v>
      </c>
      <c r="G936">
        <v>-1</v>
      </c>
      <c r="H936" t="s">
        <v>3243</v>
      </c>
      <c r="I936" t="s">
        <v>1164</v>
      </c>
    </row>
    <row r="937" spans="1:9" x14ac:dyDescent="0.3">
      <c r="A937">
        <v>936</v>
      </c>
      <c r="B937">
        <v>936</v>
      </c>
      <c r="C937" t="s">
        <v>3244</v>
      </c>
      <c r="D937" t="s">
        <v>51</v>
      </c>
      <c r="E937" t="s">
        <v>634</v>
      </c>
      <c r="F937" t="s">
        <v>2246</v>
      </c>
      <c r="G937" t="s">
        <v>3245</v>
      </c>
      <c r="H937" t="s">
        <v>3246</v>
      </c>
      <c r="I937" t="s">
        <v>547</v>
      </c>
    </row>
    <row r="938" spans="1:9" x14ac:dyDescent="0.3">
      <c r="A938">
        <v>937</v>
      </c>
      <c r="B938">
        <v>937</v>
      </c>
      <c r="C938" t="s">
        <v>3247</v>
      </c>
      <c r="D938" t="s">
        <v>1679</v>
      </c>
      <c r="E938" t="s">
        <v>17</v>
      </c>
      <c r="F938">
        <v>5</v>
      </c>
      <c r="G938" t="s">
        <v>2348</v>
      </c>
      <c r="H938" t="s">
        <v>3169</v>
      </c>
      <c r="I938" t="s">
        <v>2088</v>
      </c>
    </row>
    <row r="939" spans="1:9" x14ac:dyDescent="0.3">
      <c r="A939">
        <v>938</v>
      </c>
      <c r="B939">
        <v>938</v>
      </c>
      <c r="C939" t="s">
        <v>3248</v>
      </c>
      <c r="D939" t="s">
        <v>417</v>
      </c>
      <c r="E939" t="s">
        <v>365</v>
      </c>
      <c r="F939" t="s">
        <v>2725</v>
      </c>
      <c r="G939" t="s">
        <v>1286</v>
      </c>
      <c r="H939" t="s">
        <v>1461</v>
      </c>
      <c r="I939" t="s">
        <v>2805</v>
      </c>
    </row>
    <row r="940" spans="1:9" x14ac:dyDescent="0.3">
      <c r="A940">
        <v>939</v>
      </c>
      <c r="B940">
        <v>939</v>
      </c>
      <c r="C940" t="s">
        <v>3249</v>
      </c>
      <c r="D940" t="s">
        <v>10</v>
      </c>
      <c r="E940" t="s">
        <v>52</v>
      </c>
      <c r="F940">
        <v>5</v>
      </c>
      <c r="G940" t="s">
        <v>1958</v>
      </c>
      <c r="H940" t="s">
        <v>78</v>
      </c>
      <c r="I940" t="s">
        <v>3250</v>
      </c>
    </row>
    <row r="941" spans="1:9" x14ac:dyDescent="0.3">
      <c r="A941">
        <v>940</v>
      </c>
      <c r="B941">
        <v>940</v>
      </c>
      <c r="C941" t="s">
        <v>3251</v>
      </c>
      <c r="D941" t="s">
        <v>10</v>
      </c>
      <c r="E941" t="s">
        <v>715</v>
      </c>
      <c r="F941" t="s">
        <v>2848</v>
      </c>
      <c r="G941" t="s">
        <v>2376</v>
      </c>
      <c r="H941" t="s">
        <v>3252</v>
      </c>
      <c r="I941" t="s">
        <v>3169</v>
      </c>
    </row>
    <row r="942" spans="1:9" x14ac:dyDescent="0.3">
      <c r="A942">
        <v>941</v>
      </c>
      <c r="B942">
        <v>941</v>
      </c>
      <c r="C942" t="s">
        <v>3253</v>
      </c>
      <c r="D942" t="s">
        <v>297</v>
      </c>
      <c r="E942" t="s">
        <v>11</v>
      </c>
      <c r="F942" t="s">
        <v>387</v>
      </c>
      <c r="G942" t="s">
        <v>3060</v>
      </c>
      <c r="H942" t="s">
        <v>3254</v>
      </c>
      <c r="I942" t="s">
        <v>1212</v>
      </c>
    </row>
    <row r="943" spans="1:9" x14ac:dyDescent="0.3">
      <c r="A943">
        <v>942</v>
      </c>
      <c r="B943">
        <v>942</v>
      </c>
      <c r="C943" t="s">
        <v>3255</v>
      </c>
      <c r="D943" t="s">
        <v>51</v>
      </c>
      <c r="E943" t="s">
        <v>23</v>
      </c>
      <c r="F943" t="s">
        <v>2035</v>
      </c>
      <c r="G943" t="s">
        <v>3245</v>
      </c>
      <c r="H943" t="s">
        <v>3256</v>
      </c>
      <c r="I943" t="s">
        <v>3085</v>
      </c>
    </row>
    <row r="944" spans="1:9" x14ac:dyDescent="0.3">
      <c r="A944">
        <v>943</v>
      </c>
      <c r="B944">
        <v>943</v>
      </c>
      <c r="C944" t="s">
        <v>3257</v>
      </c>
      <c r="D944" t="s">
        <v>51</v>
      </c>
      <c r="E944" t="s">
        <v>726</v>
      </c>
      <c r="F944" t="s">
        <v>3258</v>
      </c>
      <c r="G944" t="s">
        <v>3259</v>
      </c>
      <c r="H944" t="s">
        <v>1904</v>
      </c>
      <c r="I944" t="s">
        <v>311</v>
      </c>
    </row>
    <row r="945" spans="1:9" x14ac:dyDescent="0.3">
      <c r="A945">
        <v>944</v>
      </c>
      <c r="B945">
        <v>944</v>
      </c>
      <c r="C945" t="s">
        <v>3260</v>
      </c>
      <c r="D945" t="s">
        <v>10</v>
      </c>
      <c r="E945" t="s">
        <v>58</v>
      </c>
      <c r="F945" t="s">
        <v>851</v>
      </c>
      <c r="G945" t="s">
        <v>1286</v>
      </c>
      <c r="H945" t="s">
        <v>1946</v>
      </c>
      <c r="I945" t="s">
        <v>2142</v>
      </c>
    </row>
    <row r="946" spans="1:9" x14ac:dyDescent="0.3">
      <c r="A946">
        <v>945</v>
      </c>
      <c r="B946">
        <v>945</v>
      </c>
      <c r="C946" t="s">
        <v>3261</v>
      </c>
      <c r="D946" t="s">
        <v>35</v>
      </c>
      <c r="E946" t="s">
        <v>58</v>
      </c>
      <c r="F946" t="s">
        <v>3262</v>
      </c>
      <c r="G946" t="s">
        <v>1330</v>
      </c>
      <c r="H946" t="s">
        <v>1464</v>
      </c>
      <c r="I946" t="s">
        <v>2013</v>
      </c>
    </row>
    <row r="947" spans="1:9" x14ac:dyDescent="0.3">
      <c r="A947">
        <v>946</v>
      </c>
      <c r="B947">
        <v>946</v>
      </c>
      <c r="C947" t="s">
        <v>3263</v>
      </c>
      <c r="D947" t="s">
        <v>51</v>
      </c>
      <c r="E947" t="s">
        <v>52</v>
      </c>
      <c r="F947" t="s">
        <v>3264</v>
      </c>
      <c r="G947" t="s">
        <v>2376</v>
      </c>
      <c r="H947" t="s">
        <v>3265</v>
      </c>
      <c r="I947" t="s">
        <v>2826</v>
      </c>
    </row>
    <row r="948" spans="1:9" x14ac:dyDescent="0.3">
      <c r="A948">
        <v>947</v>
      </c>
      <c r="B948">
        <v>947</v>
      </c>
      <c r="C948" t="s">
        <v>3266</v>
      </c>
      <c r="D948" t="s">
        <v>35</v>
      </c>
      <c r="E948" t="s">
        <v>58</v>
      </c>
      <c r="F948" t="s">
        <v>552</v>
      </c>
      <c r="G948" t="s">
        <v>1958</v>
      </c>
      <c r="H948" t="s">
        <v>3267</v>
      </c>
      <c r="I948" t="s">
        <v>245</v>
      </c>
    </row>
    <row r="949" spans="1:9" x14ac:dyDescent="0.3">
      <c r="A949">
        <v>948</v>
      </c>
      <c r="B949">
        <v>948</v>
      </c>
      <c r="C949" t="s">
        <v>3268</v>
      </c>
      <c r="D949" t="s">
        <v>10</v>
      </c>
      <c r="E949" t="s">
        <v>64</v>
      </c>
      <c r="F949" t="s">
        <v>2399</v>
      </c>
      <c r="G949" t="s">
        <v>1577</v>
      </c>
      <c r="H949" t="s">
        <v>1000</v>
      </c>
      <c r="I949" t="s">
        <v>3269</v>
      </c>
    </row>
    <row r="950" spans="1:9" x14ac:dyDescent="0.3">
      <c r="A950">
        <v>949</v>
      </c>
      <c r="B950">
        <v>949</v>
      </c>
      <c r="C950" t="s">
        <v>3270</v>
      </c>
      <c r="D950" t="s">
        <v>10</v>
      </c>
      <c r="E950" t="s">
        <v>58</v>
      </c>
      <c r="F950" t="s">
        <v>2282</v>
      </c>
      <c r="G950" t="s">
        <v>1716</v>
      </c>
      <c r="H950" t="s">
        <v>1047</v>
      </c>
      <c r="I950" t="s">
        <v>3271</v>
      </c>
    </row>
    <row r="951" spans="1:9" x14ac:dyDescent="0.3">
      <c r="A951">
        <v>950</v>
      </c>
      <c r="B951">
        <v>950</v>
      </c>
      <c r="C951" t="s">
        <v>3272</v>
      </c>
      <c r="D951" t="s">
        <v>3273</v>
      </c>
      <c r="E951" t="s">
        <v>23</v>
      </c>
      <c r="F951" t="s">
        <v>2128</v>
      </c>
      <c r="G951" t="s">
        <v>1910</v>
      </c>
      <c r="H951" t="s">
        <v>3274</v>
      </c>
      <c r="I951" t="s">
        <v>2112</v>
      </c>
    </row>
    <row r="952" spans="1:9" x14ac:dyDescent="0.3">
      <c r="A952">
        <v>951</v>
      </c>
      <c r="B952">
        <v>951</v>
      </c>
      <c r="C952" t="s">
        <v>3275</v>
      </c>
      <c r="D952" t="s">
        <v>3276</v>
      </c>
      <c r="E952" t="s">
        <v>58</v>
      </c>
      <c r="F952" t="s">
        <v>3277</v>
      </c>
      <c r="G952" t="s">
        <v>1012</v>
      </c>
      <c r="H952" t="s">
        <v>2880</v>
      </c>
      <c r="I952" t="s">
        <v>3086</v>
      </c>
    </row>
    <row r="953" spans="1:9" x14ac:dyDescent="0.3">
      <c r="A953">
        <v>952</v>
      </c>
      <c r="B953">
        <v>952</v>
      </c>
      <c r="C953" t="s">
        <v>3278</v>
      </c>
      <c r="D953" t="s">
        <v>216</v>
      </c>
      <c r="E953" t="s">
        <v>23</v>
      </c>
      <c r="F953" t="s">
        <v>1926</v>
      </c>
      <c r="G953" t="s">
        <v>2471</v>
      </c>
      <c r="H953" t="s">
        <v>3279</v>
      </c>
      <c r="I953" t="s">
        <v>331</v>
      </c>
    </row>
    <row r="954" spans="1:9" x14ac:dyDescent="0.3">
      <c r="A954">
        <v>953</v>
      </c>
      <c r="B954">
        <v>953</v>
      </c>
      <c r="C954" t="s">
        <v>3280</v>
      </c>
      <c r="D954" t="s">
        <v>35</v>
      </c>
      <c r="E954" t="s">
        <v>64</v>
      </c>
      <c r="F954" t="s">
        <v>2901</v>
      </c>
      <c r="G954" t="s">
        <v>1768</v>
      </c>
      <c r="H954" t="s">
        <v>670</v>
      </c>
      <c r="I954" t="s">
        <v>3281</v>
      </c>
    </row>
    <row r="955" spans="1:9" x14ac:dyDescent="0.3">
      <c r="A955">
        <v>954</v>
      </c>
      <c r="B955">
        <v>954</v>
      </c>
      <c r="C955" t="s">
        <v>3282</v>
      </c>
      <c r="D955" t="s">
        <v>51</v>
      </c>
      <c r="E955" t="s">
        <v>141</v>
      </c>
      <c r="F955" t="s">
        <v>3003</v>
      </c>
      <c r="G955" t="s">
        <v>1012</v>
      </c>
      <c r="H955" t="s">
        <v>2871</v>
      </c>
      <c r="I955" t="s">
        <v>1558</v>
      </c>
    </row>
    <row r="956" spans="1:9" x14ac:dyDescent="0.3">
      <c r="A956">
        <v>955</v>
      </c>
      <c r="B956">
        <v>955</v>
      </c>
      <c r="C956" t="s">
        <v>3283</v>
      </c>
      <c r="D956" t="s">
        <v>104</v>
      </c>
      <c r="E956" t="s">
        <v>11</v>
      </c>
      <c r="F956" t="s">
        <v>3229</v>
      </c>
      <c r="G956" t="s">
        <v>2376</v>
      </c>
      <c r="H956" t="s">
        <v>3284</v>
      </c>
      <c r="I956" t="s">
        <v>3285</v>
      </c>
    </row>
    <row r="957" spans="1:9" x14ac:dyDescent="0.3">
      <c r="A957">
        <v>956</v>
      </c>
      <c r="B957">
        <v>956</v>
      </c>
      <c r="C957" t="s">
        <v>3286</v>
      </c>
      <c r="D957" t="s">
        <v>10</v>
      </c>
      <c r="E957" t="s">
        <v>58</v>
      </c>
      <c r="F957" t="s">
        <v>865</v>
      </c>
      <c r="G957" t="s">
        <v>933</v>
      </c>
      <c r="H957" t="s">
        <v>1327</v>
      </c>
      <c r="I957" t="s">
        <v>2711</v>
      </c>
    </row>
    <row r="958" spans="1:9" x14ac:dyDescent="0.3">
      <c r="A958">
        <v>957</v>
      </c>
      <c r="B958">
        <v>957</v>
      </c>
      <c r="C958" t="s">
        <v>3287</v>
      </c>
      <c r="D958" t="s">
        <v>10</v>
      </c>
      <c r="E958" t="s">
        <v>174</v>
      </c>
      <c r="F958" t="s">
        <v>900</v>
      </c>
      <c r="G958" t="s">
        <v>1098</v>
      </c>
      <c r="H958" t="s">
        <v>341</v>
      </c>
      <c r="I958" t="s">
        <v>1239</v>
      </c>
    </row>
    <row r="959" spans="1:9" x14ac:dyDescent="0.3">
      <c r="A959">
        <v>958</v>
      </c>
      <c r="B959">
        <v>958</v>
      </c>
      <c r="C959" t="s">
        <v>3288</v>
      </c>
      <c r="D959" t="s">
        <v>10</v>
      </c>
      <c r="E959" t="s">
        <v>243</v>
      </c>
      <c r="F959" t="s">
        <v>2784</v>
      </c>
      <c r="G959" t="s">
        <v>2982</v>
      </c>
      <c r="H959" t="s">
        <v>1534</v>
      </c>
      <c r="I959" t="s">
        <v>3289</v>
      </c>
    </row>
    <row r="960" spans="1:9" x14ac:dyDescent="0.3">
      <c r="A960">
        <v>959</v>
      </c>
      <c r="B960">
        <v>959</v>
      </c>
      <c r="C960" t="s">
        <v>3290</v>
      </c>
      <c r="D960" t="s">
        <v>205</v>
      </c>
      <c r="E960" t="s">
        <v>58</v>
      </c>
      <c r="F960" t="s">
        <v>833</v>
      </c>
      <c r="G960" t="s">
        <v>2842</v>
      </c>
      <c r="H960" t="s">
        <v>3291</v>
      </c>
      <c r="I960" t="s">
        <v>3292</v>
      </c>
    </row>
    <row r="961" spans="1:9" x14ac:dyDescent="0.3">
      <c r="A961">
        <v>960</v>
      </c>
      <c r="B961">
        <v>960</v>
      </c>
      <c r="C961" t="s">
        <v>3293</v>
      </c>
      <c r="D961" t="s">
        <v>10</v>
      </c>
      <c r="E961" t="s">
        <v>52</v>
      </c>
      <c r="F961" t="s">
        <v>2815</v>
      </c>
      <c r="G961" t="s">
        <v>1335</v>
      </c>
      <c r="H961" t="s">
        <v>2995</v>
      </c>
      <c r="I961" t="s">
        <v>2648</v>
      </c>
    </row>
    <row r="962" spans="1:9" x14ac:dyDescent="0.3">
      <c r="A962">
        <v>961</v>
      </c>
      <c r="B962">
        <v>961</v>
      </c>
      <c r="C962" t="s">
        <v>3294</v>
      </c>
      <c r="D962" t="s">
        <v>1441</v>
      </c>
      <c r="E962" t="s">
        <v>98</v>
      </c>
      <c r="F962" t="s">
        <v>1891</v>
      </c>
      <c r="G962" t="s">
        <v>1286</v>
      </c>
      <c r="H962" t="s">
        <v>2739</v>
      </c>
      <c r="I962" t="s">
        <v>899</v>
      </c>
    </row>
    <row r="963" spans="1:9" x14ac:dyDescent="0.3">
      <c r="A963">
        <v>962</v>
      </c>
      <c r="B963">
        <v>962</v>
      </c>
      <c r="C963" t="s">
        <v>3295</v>
      </c>
      <c r="D963" t="s">
        <v>3296</v>
      </c>
      <c r="E963" t="s">
        <v>11</v>
      </c>
      <c r="F963" t="s">
        <v>886</v>
      </c>
      <c r="G963" t="s">
        <v>1741</v>
      </c>
      <c r="H963" t="s">
        <v>3297</v>
      </c>
      <c r="I963" t="s">
        <v>280</v>
      </c>
    </row>
    <row r="964" spans="1:9" x14ac:dyDescent="0.3">
      <c r="A964">
        <v>963</v>
      </c>
      <c r="B964">
        <v>963</v>
      </c>
      <c r="C964" t="s">
        <v>3298</v>
      </c>
      <c r="D964" t="s">
        <v>51</v>
      </c>
      <c r="E964" t="s">
        <v>64</v>
      </c>
      <c r="F964" t="s">
        <v>3034</v>
      </c>
      <c r="G964" t="s">
        <v>3060</v>
      </c>
      <c r="H964" t="s">
        <v>3181</v>
      </c>
      <c r="I964" t="s">
        <v>115</v>
      </c>
    </row>
    <row r="965" spans="1:9" x14ac:dyDescent="0.3">
      <c r="A965">
        <v>964</v>
      </c>
      <c r="B965">
        <v>964</v>
      </c>
      <c r="C965" t="s">
        <v>3299</v>
      </c>
      <c r="D965" t="s">
        <v>1463</v>
      </c>
      <c r="E965" t="s">
        <v>23</v>
      </c>
      <c r="F965" t="s">
        <v>2888</v>
      </c>
      <c r="G965" t="s">
        <v>1572</v>
      </c>
      <c r="H965" t="s">
        <v>986</v>
      </c>
      <c r="I965" t="s">
        <v>1493</v>
      </c>
    </row>
    <row r="966" spans="1:9" x14ac:dyDescent="0.3">
      <c r="A966">
        <v>965</v>
      </c>
      <c r="B966">
        <v>965</v>
      </c>
      <c r="C966" t="s">
        <v>3300</v>
      </c>
      <c r="D966" t="s">
        <v>51</v>
      </c>
      <c r="E966" t="s">
        <v>11</v>
      </c>
      <c r="F966" t="s">
        <v>3301</v>
      </c>
      <c r="G966" t="s">
        <v>3302</v>
      </c>
      <c r="H966" t="s">
        <v>3303</v>
      </c>
      <c r="I966" t="s">
        <v>2805</v>
      </c>
    </row>
    <row r="967" spans="1:9" x14ac:dyDescent="0.3">
      <c r="A967">
        <v>966</v>
      </c>
      <c r="B967">
        <v>966</v>
      </c>
      <c r="C967" t="s">
        <v>3304</v>
      </c>
      <c r="D967" t="s">
        <v>417</v>
      </c>
      <c r="E967" t="s">
        <v>634</v>
      </c>
      <c r="F967" t="s">
        <v>234</v>
      </c>
      <c r="G967" t="s">
        <v>3060</v>
      </c>
      <c r="H967" t="s">
        <v>2013</v>
      </c>
      <c r="I967" t="s">
        <v>2229</v>
      </c>
    </row>
    <row r="968" spans="1:9" x14ac:dyDescent="0.3">
      <c r="A968">
        <v>967</v>
      </c>
      <c r="B968">
        <v>967</v>
      </c>
      <c r="C968" t="s">
        <v>3305</v>
      </c>
      <c r="D968" t="s">
        <v>35</v>
      </c>
      <c r="E968" t="s">
        <v>715</v>
      </c>
      <c r="F968" t="s">
        <v>3306</v>
      </c>
      <c r="G968" t="s">
        <v>2850</v>
      </c>
      <c r="H968" t="s">
        <v>3307</v>
      </c>
      <c r="I968" t="s">
        <v>3093</v>
      </c>
    </row>
    <row r="969" spans="1:9" x14ac:dyDescent="0.3">
      <c r="A969">
        <v>968</v>
      </c>
      <c r="B969">
        <v>968</v>
      </c>
      <c r="C969" t="s">
        <v>3308</v>
      </c>
      <c r="D969" t="s">
        <v>10</v>
      </c>
      <c r="E969" t="s">
        <v>98</v>
      </c>
      <c r="F969" t="s">
        <v>201</v>
      </c>
      <c r="G969" t="s">
        <v>2940</v>
      </c>
      <c r="H969" t="s">
        <v>653</v>
      </c>
      <c r="I969" t="s">
        <v>3309</v>
      </c>
    </row>
    <row r="970" spans="1:9" x14ac:dyDescent="0.3">
      <c r="A970">
        <v>969</v>
      </c>
      <c r="B970">
        <v>969</v>
      </c>
      <c r="C970" t="s">
        <v>3310</v>
      </c>
      <c r="D970" t="s">
        <v>10</v>
      </c>
      <c r="E970" t="s">
        <v>174</v>
      </c>
      <c r="F970" t="s">
        <v>372</v>
      </c>
      <c r="G970" t="s">
        <v>1830</v>
      </c>
      <c r="H970" t="s">
        <v>3134</v>
      </c>
      <c r="I970" t="s">
        <v>1623</v>
      </c>
    </row>
    <row r="971" spans="1:9" x14ac:dyDescent="0.3">
      <c r="A971">
        <v>970</v>
      </c>
      <c r="B971">
        <v>970</v>
      </c>
      <c r="C971" t="s">
        <v>3311</v>
      </c>
      <c r="D971" t="s">
        <v>696</v>
      </c>
      <c r="E971" t="s">
        <v>726</v>
      </c>
      <c r="F971" t="s">
        <v>1288</v>
      </c>
      <c r="G971" t="s">
        <v>2388</v>
      </c>
      <c r="H971" t="s">
        <v>106</v>
      </c>
      <c r="I971" t="s">
        <v>2783</v>
      </c>
    </row>
    <row r="972" spans="1:9" x14ac:dyDescent="0.3">
      <c r="A972">
        <v>971</v>
      </c>
      <c r="B972">
        <v>971</v>
      </c>
      <c r="C972" t="s">
        <v>3312</v>
      </c>
      <c r="D972" t="s">
        <v>51</v>
      </c>
      <c r="E972" t="s">
        <v>687</v>
      </c>
      <c r="F972" t="s">
        <v>3313</v>
      </c>
      <c r="G972" t="s">
        <v>1671</v>
      </c>
      <c r="H972" t="s">
        <v>267</v>
      </c>
      <c r="I972">
        <v>6</v>
      </c>
    </row>
    <row r="973" spans="1:9" x14ac:dyDescent="0.3">
      <c r="A973">
        <v>972</v>
      </c>
      <c r="B973">
        <v>972</v>
      </c>
      <c r="C973" t="s">
        <v>3314</v>
      </c>
      <c r="D973" t="s">
        <v>51</v>
      </c>
      <c r="E973" t="s">
        <v>687</v>
      </c>
      <c r="F973" t="s">
        <v>3315</v>
      </c>
      <c r="G973" t="s">
        <v>1910</v>
      </c>
      <c r="H973" t="s">
        <v>2013</v>
      </c>
      <c r="I973" t="s">
        <v>2474</v>
      </c>
    </row>
    <row r="974" spans="1:9" x14ac:dyDescent="0.3">
      <c r="A974">
        <v>973</v>
      </c>
      <c r="B974">
        <v>973</v>
      </c>
      <c r="C974" t="s">
        <v>3316</v>
      </c>
      <c r="D974" t="s">
        <v>35</v>
      </c>
      <c r="E974" t="s">
        <v>365</v>
      </c>
      <c r="F974" t="s">
        <v>2178</v>
      </c>
      <c r="G974" t="s">
        <v>1716</v>
      </c>
      <c r="H974" t="s">
        <v>2534</v>
      </c>
      <c r="I974" t="s">
        <v>1940</v>
      </c>
    </row>
    <row r="975" spans="1:9" x14ac:dyDescent="0.3">
      <c r="A975">
        <v>974</v>
      </c>
      <c r="B975">
        <v>974</v>
      </c>
      <c r="C975" t="s">
        <v>3317</v>
      </c>
      <c r="D975" t="s">
        <v>10</v>
      </c>
      <c r="E975" t="s">
        <v>23</v>
      </c>
      <c r="F975" t="s">
        <v>3318</v>
      </c>
      <c r="G975" t="s">
        <v>1038</v>
      </c>
      <c r="H975" t="s">
        <v>3319</v>
      </c>
      <c r="I975" t="s">
        <v>2595</v>
      </c>
    </row>
    <row r="976" spans="1:9" x14ac:dyDescent="0.3">
      <c r="A976">
        <v>975</v>
      </c>
      <c r="B976">
        <v>975</v>
      </c>
      <c r="C976" t="s">
        <v>3320</v>
      </c>
      <c r="D976" t="s">
        <v>10</v>
      </c>
      <c r="E976" t="s">
        <v>151</v>
      </c>
      <c r="F976" t="s">
        <v>3321</v>
      </c>
      <c r="G976" t="s">
        <v>1556</v>
      </c>
      <c r="H976" t="s">
        <v>2613</v>
      </c>
      <c r="I976" t="s">
        <v>2278</v>
      </c>
    </row>
    <row r="977" spans="1:9" x14ac:dyDescent="0.3">
      <c r="A977">
        <v>976</v>
      </c>
      <c r="B977">
        <v>976</v>
      </c>
      <c r="C977" t="s">
        <v>3322</v>
      </c>
      <c r="D977" t="s">
        <v>10</v>
      </c>
      <c r="E977" t="s">
        <v>11</v>
      </c>
      <c r="F977" t="s">
        <v>1540</v>
      </c>
      <c r="G977" t="s">
        <v>1716</v>
      </c>
      <c r="H977" t="s">
        <v>3323</v>
      </c>
      <c r="I977" t="s">
        <v>2458</v>
      </c>
    </row>
    <row r="978" spans="1:9" x14ac:dyDescent="0.3">
      <c r="A978">
        <v>977</v>
      </c>
      <c r="B978">
        <v>977</v>
      </c>
      <c r="C978" t="s">
        <v>3324</v>
      </c>
      <c r="D978" t="s">
        <v>35</v>
      </c>
      <c r="E978" t="s">
        <v>726</v>
      </c>
      <c r="F978" t="s">
        <v>3325</v>
      </c>
      <c r="G978" t="s">
        <v>1995</v>
      </c>
      <c r="H978" t="s">
        <v>2177</v>
      </c>
      <c r="I978" t="s">
        <v>2058</v>
      </c>
    </row>
    <row r="979" spans="1:9" x14ac:dyDescent="0.3">
      <c r="A979">
        <v>978</v>
      </c>
      <c r="B979">
        <v>978</v>
      </c>
      <c r="C979" t="s">
        <v>3326</v>
      </c>
      <c r="D979" t="s">
        <v>452</v>
      </c>
      <c r="E979" t="s">
        <v>23</v>
      </c>
      <c r="F979" t="s">
        <v>547</v>
      </c>
      <c r="G979" t="s">
        <v>2455</v>
      </c>
      <c r="H979" t="s">
        <v>3327</v>
      </c>
      <c r="I979" t="s">
        <v>3181</v>
      </c>
    </row>
    <row r="980" spans="1:9" x14ac:dyDescent="0.3">
      <c r="A980">
        <v>979</v>
      </c>
      <c r="B980">
        <v>979</v>
      </c>
      <c r="C980" t="s">
        <v>3328</v>
      </c>
      <c r="D980" t="s">
        <v>205</v>
      </c>
      <c r="E980" t="s">
        <v>11</v>
      </c>
      <c r="F980" t="s">
        <v>392</v>
      </c>
      <c r="G980" t="s">
        <v>2376</v>
      </c>
      <c r="H980" t="s">
        <v>3329</v>
      </c>
      <c r="I980" t="s">
        <v>471</v>
      </c>
    </row>
    <row r="981" spans="1:9" x14ac:dyDescent="0.3">
      <c r="A981">
        <v>980</v>
      </c>
      <c r="B981">
        <v>980</v>
      </c>
      <c r="C981" t="s">
        <v>3330</v>
      </c>
      <c r="D981" t="s">
        <v>1441</v>
      </c>
      <c r="E981" t="s">
        <v>510</v>
      </c>
      <c r="F981" t="s">
        <v>1290</v>
      </c>
      <c r="G981" t="s">
        <v>1335</v>
      </c>
      <c r="H981" t="s">
        <v>3331</v>
      </c>
      <c r="I981" t="s">
        <v>1801</v>
      </c>
    </row>
    <row r="982" spans="1:9" x14ac:dyDescent="0.3">
      <c r="A982">
        <v>981</v>
      </c>
      <c r="B982">
        <v>981</v>
      </c>
      <c r="C982" t="s">
        <v>3332</v>
      </c>
      <c r="D982" t="s">
        <v>10</v>
      </c>
      <c r="E982" t="s">
        <v>98</v>
      </c>
      <c r="F982" t="s">
        <v>1482</v>
      </c>
      <c r="G982" t="s">
        <v>3333</v>
      </c>
      <c r="H982" t="s">
        <v>1522</v>
      </c>
      <c r="I982" t="s">
        <v>2515</v>
      </c>
    </row>
    <row r="983" spans="1:9" x14ac:dyDescent="0.3">
      <c r="A983">
        <v>982</v>
      </c>
      <c r="B983">
        <v>982</v>
      </c>
      <c r="C983" t="s">
        <v>3334</v>
      </c>
      <c r="D983" t="s">
        <v>10</v>
      </c>
      <c r="E983" t="s">
        <v>706</v>
      </c>
      <c r="F983" t="s">
        <v>2430</v>
      </c>
      <c r="G983" t="s">
        <v>2376</v>
      </c>
      <c r="H983" t="s">
        <v>3335</v>
      </c>
      <c r="I983" t="s">
        <v>2848</v>
      </c>
    </row>
    <row r="984" spans="1:9" x14ac:dyDescent="0.3">
      <c r="A984">
        <v>983</v>
      </c>
      <c r="B984">
        <v>983</v>
      </c>
      <c r="C984" t="s">
        <v>3336</v>
      </c>
      <c r="D984" t="s">
        <v>35</v>
      </c>
      <c r="E984" t="s">
        <v>634</v>
      </c>
      <c r="F984" t="s">
        <v>1221</v>
      </c>
      <c r="G984" t="s">
        <v>3222</v>
      </c>
      <c r="H984" t="s">
        <v>1625</v>
      </c>
      <c r="I984" t="s">
        <v>3337</v>
      </c>
    </row>
    <row r="985" spans="1:9" x14ac:dyDescent="0.3">
      <c r="A985">
        <v>984</v>
      </c>
      <c r="B985">
        <v>984</v>
      </c>
      <c r="C985" t="s">
        <v>3338</v>
      </c>
      <c r="D985" t="s">
        <v>417</v>
      </c>
      <c r="E985" t="s">
        <v>151</v>
      </c>
      <c r="F985" t="s">
        <v>2199</v>
      </c>
      <c r="G985" t="s">
        <v>2988</v>
      </c>
      <c r="H985" t="s">
        <v>1106</v>
      </c>
      <c r="I985" t="s">
        <v>89</v>
      </c>
    </row>
    <row r="986" spans="1:9" x14ac:dyDescent="0.3">
      <c r="A986">
        <v>985</v>
      </c>
      <c r="B986">
        <v>985</v>
      </c>
      <c r="C986" t="s">
        <v>3339</v>
      </c>
      <c r="D986" t="s">
        <v>10</v>
      </c>
      <c r="E986" t="s">
        <v>510</v>
      </c>
      <c r="F986" t="s">
        <v>2911</v>
      </c>
      <c r="G986" t="s">
        <v>1098</v>
      </c>
      <c r="H986" t="s">
        <v>3003</v>
      </c>
      <c r="I986" t="s">
        <v>3340</v>
      </c>
    </row>
    <row r="987" spans="1:9" x14ac:dyDescent="0.3">
      <c r="A987">
        <v>986</v>
      </c>
      <c r="B987">
        <v>986</v>
      </c>
      <c r="C987" t="s">
        <v>3341</v>
      </c>
      <c r="D987" t="s">
        <v>70</v>
      </c>
      <c r="E987" t="s">
        <v>23</v>
      </c>
      <c r="F987" t="s">
        <v>3342</v>
      </c>
      <c r="G987" t="s">
        <v>3343</v>
      </c>
      <c r="H987" t="s">
        <v>1883</v>
      </c>
      <c r="I987" t="s">
        <v>3344</v>
      </c>
    </row>
    <row r="988" spans="1:9" x14ac:dyDescent="0.3">
      <c r="A988">
        <v>987</v>
      </c>
      <c r="B988">
        <v>987</v>
      </c>
      <c r="C988" t="s">
        <v>3345</v>
      </c>
      <c r="D988" t="s">
        <v>10</v>
      </c>
      <c r="E988" t="s">
        <v>510</v>
      </c>
      <c r="F988" t="s">
        <v>3172</v>
      </c>
      <c r="G988" t="s">
        <v>2975</v>
      </c>
      <c r="H988" t="s">
        <v>2539</v>
      </c>
      <c r="I988" t="s">
        <v>1726</v>
      </c>
    </row>
    <row r="989" spans="1:9" x14ac:dyDescent="0.3">
      <c r="A989">
        <v>988</v>
      </c>
      <c r="B989">
        <v>988</v>
      </c>
      <c r="C989" t="s">
        <v>3346</v>
      </c>
      <c r="D989" t="s">
        <v>10</v>
      </c>
      <c r="E989" t="s">
        <v>64</v>
      </c>
      <c r="F989" t="s">
        <v>3034</v>
      </c>
      <c r="G989" t="s">
        <v>1098</v>
      </c>
      <c r="H989" t="s">
        <v>3075</v>
      </c>
      <c r="I989" t="s">
        <v>2830</v>
      </c>
    </row>
    <row r="990" spans="1:9" x14ac:dyDescent="0.3">
      <c r="A990">
        <v>989</v>
      </c>
      <c r="B990">
        <v>989</v>
      </c>
      <c r="C990" t="s">
        <v>3347</v>
      </c>
      <c r="D990" t="s">
        <v>10</v>
      </c>
      <c r="E990" t="s">
        <v>232</v>
      </c>
      <c r="F990" t="s">
        <v>2746</v>
      </c>
      <c r="G990" t="s">
        <v>1737</v>
      </c>
      <c r="H990" t="s">
        <v>2327</v>
      </c>
      <c r="I990" t="s">
        <v>1824</v>
      </c>
    </row>
    <row r="991" spans="1:9" x14ac:dyDescent="0.3">
      <c r="A991">
        <v>990</v>
      </c>
      <c r="B991">
        <v>990</v>
      </c>
      <c r="C991" t="s">
        <v>3348</v>
      </c>
      <c r="D991" t="s">
        <v>35</v>
      </c>
      <c r="E991" t="s">
        <v>345</v>
      </c>
      <c r="F991" t="s">
        <v>3285</v>
      </c>
      <c r="G991" t="s">
        <v>1506</v>
      </c>
      <c r="H991" t="s">
        <v>1411</v>
      </c>
      <c r="I991" t="s">
        <v>3034</v>
      </c>
    </row>
    <row r="992" spans="1:9" x14ac:dyDescent="0.3">
      <c r="A992">
        <v>991</v>
      </c>
      <c r="B992">
        <v>991</v>
      </c>
      <c r="C992" t="s">
        <v>3349</v>
      </c>
      <c r="D992" t="s">
        <v>10</v>
      </c>
      <c r="E992" t="s">
        <v>58</v>
      </c>
      <c r="F992" t="s">
        <v>956</v>
      </c>
      <c r="G992" t="s">
        <v>1330</v>
      </c>
      <c r="H992" t="s">
        <v>3307</v>
      </c>
      <c r="I992" t="s">
        <v>2520</v>
      </c>
    </row>
    <row r="993" spans="1:9" x14ac:dyDescent="0.3">
      <c r="A993">
        <v>992</v>
      </c>
      <c r="B993">
        <v>992</v>
      </c>
      <c r="C993" t="s">
        <v>3350</v>
      </c>
      <c r="D993" t="s">
        <v>51</v>
      </c>
      <c r="E993" t="s">
        <v>11</v>
      </c>
      <c r="F993" t="s">
        <v>624</v>
      </c>
      <c r="G993" t="s">
        <v>1995</v>
      </c>
      <c r="H993" t="s">
        <v>3351</v>
      </c>
      <c r="I993" t="s">
        <v>2711</v>
      </c>
    </row>
    <row r="994" spans="1:9" x14ac:dyDescent="0.3">
      <c r="A994">
        <v>993</v>
      </c>
      <c r="B994">
        <v>993</v>
      </c>
      <c r="C994" t="s">
        <v>3352</v>
      </c>
      <c r="D994" t="s">
        <v>10</v>
      </c>
      <c r="E994" t="s">
        <v>743</v>
      </c>
      <c r="F994" t="s">
        <v>2546</v>
      </c>
      <c r="G994" t="s">
        <v>1768</v>
      </c>
      <c r="H994" t="s">
        <v>2882</v>
      </c>
      <c r="I994" t="s">
        <v>1407</v>
      </c>
    </row>
    <row r="995" spans="1:9" x14ac:dyDescent="0.3">
      <c r="A995">
        <v>994</v>
      </c>
      <c r="B995">
        <v>994</v>
      </c>
      <c r="C995" t="s">
        <v>3353</v>
      </c>
      <c r="D995" t="s">
        <v>3354</v>
      </c>
      <c r="E995" t="s">
        <v>11</v>
      </c>
      <c r="F995" t="s">
        <v>581</v>
      </c>
      <c r="G995" t="s">
        <v>1967</v>
      </c>
      <c r="H995" t="s">
        <v>724</v>
      </c>
      <c r="I995" t="s">
        <v>2327</v>
      </c>
    </row>
    <row r="996" spans="1:9" x14ac:dyDescent="0.3">
      <c r="A996">
        <v>995</v>
      </c>
      <c r="B996">
        <v>995</v>
      </c>
      <c r="C996" t="s">
        <v>3355</v>
      </c>
      <c r="D996" t="s">
        <v>10</v>
      </c>
      <c r="E996" t="s">
        <v>634</v>
      </c>
      <c r="F996" t="s">
        <v>2177</v>
      </c>
      <c r="G996" t="s">
        <v>2388</v>
      </c>
      <c r="H996" t="s">
        <v>2989</v>
      </c>
      <c r="I996" t="s">
        <v>471</v>
      </c>
    </row>
    <row r="997" spans="1:9" x14ac:dyDescent="0.3">
      <c r="A997">
        <v>996</v>
      </c>
      <c r="B997">
        <v>996</v>
      </c>
      <c r="C997" t="s">
        <v>3356</v>
      </c>
      <c r="D997" t="s">
        <v>35</v>
      </c>
      <c r="E997" t="s">
        <v>52</v>
      </c>
      <c r="F997" t="s">
        <v>1816</v>
      </c>
      <c r="G997" t="s">
        <v>1506</v>
      </c>
      <c r="H997" t="s">
        <v>2762</v>
      </c>
      <c r="I997" t="s">
        <v>2911</v>
      </c>
    </row>
    <row r="998" spans="1:9" x14ac:dyDescent="0.3">
      <c r="A998">
        <v>997</v>
      </c>
      <c r="B998">
        <v>997</v>
      </c>
      <c r="C998" t="s">
        <v>3357</v>
      </c>
      <c r="D998" t="s">
        <v>51</v>
      </c>
      <c r="E998" t="s">
        <v>243</v>
      </c>
      <c r="F998" t="s">
        <v>78</v>
      </c>
      <c r="G998" t="s">
        <v>2376</v>
      </c>
      <c r="H998" t="s">
        <v>491</v>
      </c>
      <c r="I998" t="s">
        <v>2587</v>
      </c>
    </row>
    <row r="999" spans="1:9" x14ac:dyDescent="0.3">
      <c r="A999">
        <v>998</v>
      </c>
      <c r="B999">
        <v>998</v>
      </c>
      <c r="C999" t="s">
        <v>3358</v>
      </c>
      <c r="D999" t="s">
        <v>3359</v>
      </c>
      <c r="E999" t="s">
        <v>29</v>
      </c>
      <c r="F999" t="s">
        <v>3360</v>
      </c>
      <c r="G999" t="s">
        <v>1506</v>
      </c>
      <c r="H999" t="s">
        <v>228</v>
      </c>
      <c r="I999" t="s">
        <v>2660</v>
      </c>
    </row>
    <row r="1000" spans="1:9" x14ac:dyDescent="0.3">
      <c r="A1000">
        <v>999</v>
      </c>
      <c r="B1000">
        <v>999</v>
      </c>
      <c r="C1000" t="s">
        <v>3361</v>
      </c>
      <c r="D1000" t="s">
        <v>10</v>
      </c>
      <c r="E1000" t="s">
        <v>58</v>
      </c>
      <c r="F1000" t="s">
        <v>968</v>
      </c>
      <c r="G1000" t="s">
        <v>1577</v>
      </c>
      <c r="H1000" t="s">
        <v>3093</v>
      </c>
      <c r="I1000" t="s">
        <v>2809</v>
      </c>
    </row>
    <row r="1001" spans="1:9" x14ac:dyDescent="0.3">
      <c r="A1001">
        <v>1000</v>
      </c>
      <c r="B1001">
        <v>1000</v>
      </c>
      <c r="C1001" t="s">
        <v>3362</v>
      </c>
      <c r="D1001" t="s">
        <v>10</v>
      </c>
      <c r="E1001" t="s">
        <v>345</v>
      </c>
      <c r="F1001" t="s">
        <v>1579</v>
      </c>
      <c r="G1001" t="s">
        <v>1572</v>
      </c>
      <c r="H1001" t="s">
        <v>3055</v>
      </c>
      <c r="I1001" t="s">
        <v>413</v>
      </c>
    </row>
    <row r="1002" spans="1:9" x14ac:dyDescent="0.3">
      <c r="A1002">
        <v>1001</v>
      </c>
      <c r="B1002">
        <v>1001</v>
      </c>
      <c r="C1002" t="s">
        <v>3363</v>
      </c>
      <c r="D1002" t="s">
        <v>249</v>
      </c>
      <c r="E1002" t="s">
        <v>345</v>
      </c>
      <c r="F1002" t="s">
        <v>1747</v>
      </c>
      <c r="G1002" t="s">
        <v>1577</v>
      </c>
      <c r="H1002" t="s">
        <v>3364</v>
      </c>
      <c r="I1002" t="s">
        <v>3365</v>
      </c>
    </row>
    <row r="1003" spans="1:9" x14ac:dyDescent="0.3">
      <c r="A1003">
        <v>1002</v>
      </c>
      <c r="B1003">
        <v>1002</v>
      </c>
      <c r="C1003" t="s">
        <v>3366</v>
      </c>
      <c r="D1003" t="s">
        <v>3354</v>
      </c>
      <c r="E1003" t="s">
        <v>29</v>
      </c>
      <c r="F1003" t="s">
        <v>2748</v>
      </c>
      <c r="G1003" t="s">
        <v>1335</v>
      </c>
      <c r="H1003" t="s">
        <v>1921</v>
      </c>
      <c r="I1003" t="s">
        <v>3367</v>
      </c>
    </row>
    <row r="1004" spans="1:9" x14ac:dyDescent="0.3">
      <c r="A1004">
        <v>1003</v>
      </c>
      <c r="B1004">
        <v>1003</v>
      </c>
      <c r="C1004" t="s">
        <v>3368</v>
      </c>
      <c r="D1004" t="s">
        <v>10</v>
      </c>
      <c r="E1004" t="s">
        <v>23</v>
      </c>
      <c r="F1004" t="s">
        <v>3369</v>
      </c>
      <c r="G1004" t="s">
        <v>933</v>
      </c>
      <c r="H1004" t="s">
        <v>2854</v>
      </c>
      <c r="I1004" t="s">
        <v>501</v>
      </c>
    </row>
    <row r="1005" spans="1:9" x14ac:dyDescent="0.3">
      <c r="A1005">
        <v>1004</v>
      </c>
      <c r="B1005">
        <v>1004</v>
      </c>
      <c r="C1005" t="s">
        <v>3370</v>
      </c>
      <c r="D1005" t="s">
        <v>51</v>
      </c>
      <c r="E1005" t="s">
        <v>58</v>
      </c>
      <c r="F1005" t="s">
        <v>438</v>
      </c>
      <c r="G1005" t="s">
        <v>3065</v>
      </c>
      <c r="H1005" t="s">
        <v>3371</v>
      </c>
      <c r="I1005" t="s">
        <v>2355</v>
      </c>
    </row>
    <row r="1006" spans="1:9" x14ac:dyDescent="0.3">
      <c r="A1006">
        <v>1005</v>
      </c>
      <c r="B1006">
        <v>1005</v>
      </c>
      <c r="C1006" t="s">
        <v>3372</v>
      </c>
      <c r="D1006" t="s">
        <v>10</v>
      </c>
      <c r="E1006" t="s">
        <v>11</v>
      </c>
      <c r="F1006" t="s">
        <v>886</v>
      </c>
      <c r="G1006" t="s">
        <v>1577</v>
      </c>
      <c r="H1006" t="s">
        <v>3373</v>
      </c>
      <c r="I1006" t="s">
        <v>2888</v>
      </c>
    </row>
    <row r="1007" spans="1:9" x14ac:dyDescent="0.3">
      <c r="A1007">
        <v>1006</v>
      </c>
      <c r="B1007">
        <v>1006</v>
      </c>
      <c r="C1007" t="s">
        <v>3374</v>
      </c>
      <c r="D1007" t="s">
        <v>104</v>
      </c>
      <c r="E1007" t="s">
        <v>64</v>
      </c>
      <c r="F1007" t="s">
        <v>3375</v>
      </c>
      <c r="G1007" t="s">
        <v>3376</v>
      </c>
      <c r="H1007" t="s">
        <v>1975</v>
      </c>
      <c r="I1007" t="s">
        <v>3068</v>
      </c>
    </row>
    <row r="1008" spans="1:9" x14ac:dyDescent="0.3">
      <c r="A1008">
        <v>1007</v>
      </c>
      <c r="B1008">
        <v>1007</v>
      </c>
      <c r="C1008" t="s">
        <v>3377</v>
      </c>
      <c r="D1008" t="s">
        <v>51</v>
      </c>
      <c r="E1008" t="s">
        <v>365</v>
      </c>
      <c r="F1008" t="s">
        <v>2810</v>
      </c>
      <c r="G1008" t="s">
        <v>2092</v>
      </c>
      <c r="H1008" t="s">
        <v>1944</v>
      </c>
      <c r="I1008" t="s">
        <v>3378</v>
      </c>
    </row>
    <row r="1009" spans="1:9" x14ac:dyDescent="0.3">
      <c r="A1009">
        <v>1008</v>
      </c>
      <c r="B1009">
        <v>1008</v>
      </c>
      <c r="C1009" t="s">
        <v>3379</v>
      </c>
      <c r="D1009" t="s">
        <v>10</v>
      </c>
      <c r="E1009" t="s">
        <v>174</v>
      </c>
      <c r="F1009" t="s">
        <v>533</v>
      </c>
      <c r="G1009" t="s">
        <v>2096</v>
      </c>
      <c r="H1009" t="s">
        <v>3250</v>
      </c>
      <c r="I1009" t="s">
        <v>3380</v>
      </c>
    </row>
    <row r="1010" spans="1:9" x14ac:dyDescent="0.3">
      <c r="A1010">
        <v>1009</v>
      </c>
      <c r="B1010">
        <v>1009</v>
      </c>
      <c r="C1010" t="s">
        <v>3381</v>
      </c>
      <c r="D1010" t="s">
        <v>10</v>
      </c>
      <c r="E1010" t="s">
        <v>232</v>
      </c>
      <c r="F1010" t="s">
        <v>454</v>
      </c>
      <c r="G1010" t="s">
        <v>1577</v>
      </c>
      <c r="H1010" t="s">
        <v>460</v>
      </c>
      <c r="I1010" t="s">
        <v>1324</v>
      </c>
    </row>
    <row r="1011" spans="1:9" x14ac:dyDescent="0.3">
      <c r="A1011">
        <v>1010</v>
      </c>
      <c r="B1011">
        <v>1010</v>
      </c>
      <c r="C1011" t="s">
        <v>3382</v>
      </c>
      <c r="D1011" t="s">
        <v>436</v>
      </c>
      <c r="E1011" t="s">
        <v>634</v>
      </c>
      <c r="F1011" t="s">
        <v>2659</v>
      </c>
      <c r="G1011" t="s">
        <v>1958</v>
      </c>
      <c r="H1011" t="s">
        <v>1451</v>
      </c>
      <c r="I1011" t="s">
        <v>814</v>
      </c>
    </row>
    <row r="1012" spans="1:9" x14ac:dyDescent="0.3">
      <c r="A1012">
        <v>1011</v>
      </c>
      <c r="B1012">
        <v>1011</v>
      </c>
      <c r="C1012" t="s">
        <v>3383</v>
      </c>
      <c r="D1012" t="s">
        <v>521</v>
      </c>
      <c r="E1012" t="s">
        <v>243</v>
      </c>
      <c r="F1012" t="s">
        <v>2384</v>
      </c>
      <c r="G1012" t="s">
        <v>2348</v>
      </c>
      <c r="H1012" t="s">
        <v>3384</v>
      </c>
      <c r="I1012" t="s">
        <v>3250</v>
      </c>
    </row>
    <row r="1013" spans="1:9" x14ac:dyDescent="0.3">
      <c r="A1013">
        <v>1012</v>
      </c>
      <c r="B1013">
        <v>1012</v>
      </c>
      <c r="C1013" t="s">
        <v>3385</v>
      </c>
      <c r="D1013" t="s">
        <v>35</v>
      </c>
      <c r="E1013" t="s">
        <v>17</v>
      </c>
      <c r="F1013" t="s">
        <v>2260</v>
      </c>
      <c r="G1013" t="s">
        <v>1098</v>
      </c>
      <c r="H1013" t="s">
        <v>408</v>
      </c>
      <c r="I1013" t="s">
        <v>272</v>
      </c>
    </row>
    <row r="1014" spans="1:9" x14ac:dyDescent="0.3">
      <c r="A1014">
        <v>1013</v>
      </c>
      <c r="B1014">
        <v>1013</v>
      </c>
      <c r="C1014" t="s">
        <v>3386</v>
      </c>
      <c r="D1014" t="s">
        <v>10</v>
      </c>
      <c r="E1014" t="s">
        <v>726</v>
      </c>
      <c r="F1014" t="s">
        <v>2695</v>
      </c>
      <c r="G1014" t="s">
        <v>1111</v>
      </c>
      <c r="H1014" t="s">
        <v>1891</v>
      </c>
      <c r="I1014" t="s">
        <v>1914</v>
      </c>
    </row>
    <row r="1015" spans="1:9" x14ac:dyDescent="0.3">
      <c r="A1015">
        <v>1014</v>
      </c>
      <c r="B1015">
        <v>1014</v>
      </c>
      <c r="C1015" t="s">
        <v>3387</v>
      </c>
      <c r="D1015" t="s">
        <v>124</v>
      </c>
      <c r="E1015" t="s">
        <v>141</v>
      </c>
      <c r="F1015" t="s">
        <v>3190</v>
      </c>
      <c r="G1015" t="s">
        <v>1556</v>
      </c>
      <c r="H1015" t="s">
        <v>833</v>
      </c>
      <c r="I1015" t="s">
        <v>2210</v>
      </c>
    </row>
    <row r="1016" spans="1:9" x14ac:dyDescent="0.3">
      <c r="A1016">
        <v>1015</v>
      </c>
      <c r="B1016">
        <v>1015</v>
      </c>
      <c r="C1016" t="s">
        <v>3388</v>
      </c>
      <c r="D1016" t="s">
        <v>35</v>
      </c>
      <c r="E1016" t="s">
        <v>743</v>
      </c>
      <c r="F1016" t="s">
        <v>413</v>
      </c>
      <c r="G1016" t="s">
        <v>1335</v>
      </c>
      <c r="H1016" t="s">
        <v>2971</v>
      </c>
      <c r="I1016" t="s">
        <v>1199</v>
      </c>
    </row>
    <row r="1017" spans="1:9" x14ac:dyDescent="0.3">
      <c r="A1017">
        <v>1016</v>
      </c>
      <c r="B1017">
        <v>1016</v>
      </c>
      <c r="C1017" t="s">
        <v>3389</v>
      </c>
      <c r="D1017" t="s">
        <v>249</v>
      </c>
      <c r="E1017" t="s">
        <v>11</v>
      </c>
      <c r="F1017" t="s">
        <v>2882</v>
      </c>
      <c r="G1017" t="s">
        <v>1958</v>
      </c>
      <c r="H1017" t="s">
        <v>729</v>
      </c>
      <c r="I1017" t="s">
        <v>153</v>
      </c>
    </row>
    <row r="1018" spans="1:9" x14ac:dyDescent="0.3">
      <c r="A1018">
        <v>1017</v>
      </c>
      <c r="B1018">
        <v>1017</v>
      </c>
      <c r="C1018" t="s">
        <v>3390</v>
      </c>
      <c r="D1018" t="s">
        <v>1617</v>
      </c>
      <c r="E1018" t="s">
        <v>634</v>
      </c>
      <c r="F1018" t="s">
        <v>2748</v>
      </c>
      <c r="G1018" t="s">
        <v>1671</v>
      </c>
      <c r="H1018" t="s">
        <v>1235</v>
      </c>
      <c r="I1018" t="s">
        <v>3391</v>
      </c>
    </row>
    <row r="1019" spans="1:9" x14ac:dyDescent="0.3">
      <c r="A1019">
        <v>1018</v>
      </c>
      <c r="B1019">
        <v>1018</v>
      </c>
      <c r="C1019" t="s">
        <v>3392</v>
      </c>
      <c r="D1019" t="s">
        <v>696</v>
      </c>
      <c r="E1019" t="s">
        <v>58</v>
      </c>
      <c r="F1019" t="s">
        <v>2140</v>
      </c>
      <c r="G1019" t="s">
        <v>1716</v>
      </c>
      <c r="H1019" t="s">
        <v>3307</v>
      </c>
      <c r="I1019" t="s">
        <v>3393</v>
      </c>
    </row>
    <row r="1020" spans="1:9" x14ac:dyDescent="0.3">
      <c r="A1020">
        <v>1019</v>
      </c>
      <c r="B1020">
        <v>1019</v>
      </c>
      <c r="C1020" t="s">
        <v>3394</v>
      </c>
      <c r="D1020" t="s">
        <v>35</v>
      </c>
      <c r="E1020" t="s">
        <v>232</v>
      </c>
      <c r="F1020" t="s">
        <v>3395</v>
      </c>
      <c r="G1020" t="s">
        <v>3396</v>
      </c>
      <c r="H1020" t="s">
        <v>2552</v>
      </c>
      <c r="I1020" t="s">
        <v>3397</v>
      </c>
    </row>
    <row r="1021" spans="1:9" x14ac:dyDescent="0.3">
      <c r="A1021">
        <v>1020</v>
      </c>
      <c r="B1021">
        <v>1020</v>
      </c>
      <c r="C1021" t="s">
        <v>3398</v>
      </c>
      <c r="D1021" t="s">
        <v>10</v>
      </c>
      <c r="E1021" t="s">
        <v>715</v>
      </c>
      <c r="F1021" t="s">
        <v>3034</v>
      </c>
      <c r="G1021" t="s">
        <v>1995</v>
      </c>
      <c r="H1021" t="s">
        <v>3399</v>
      </c>
      <c r="I1021" t="s">
        <v>3337</v>
      </c>
    </row>
    <row r="1022" spans="1:9" x14ac:dyDescent="0.3">
      <c r="A1022">
        <v>1021</v>
      </c>
      <c r="B1022">
        <v>1021</v>
      </c>
      <c r="C1022" t="s">
        <v>3400</v>
      </c>
      <c r="D1022" t="s">
        <v>10</v>
      </c>
      <c r="E1022" t="s">
        <v>634</v>
      </c>
      <c r="F1022" t="s">
        <v>2942</v>
      </c>
      <c r="G1022" t="s">
        <v>1741</v>
      </c>
      <c r="H1022" t="s">
        <v>2004</v>
      </c>
      <c r="I1022" t="s">
        <v>272</v>
      </c>
    </row>
    <row r="1023" spans="1:9" x14ac:dyDescent="0.3">
      <c r="A1023">
        <v>1022</v>
      </c>
      <c r="B1023">
        <v>1022</v>
      </c>
      <c r="C1023" t="s">
        <v>3401</v>
      </c>
      <c r="D1023" t="s">
        <v>10</v>
      </c>
      <c r="E1023" t="s">
        <v>232</v>
      </c>
      <c r="F1023" t="s">
        <v>1914</v>
      </c>
      <c r="G1023" t="s">
        <v>1335</v>
      </c>
      <c r="H1023" t="s">
        <v>3384</v>
      </c>
      <c r="I1023" t="s">
        <v>3402</v>
      </c>
    </row>
    <row r="1024" spans="1:9" x14ac:dyDescent="0.3">
      <c r="A1024">
        <v>1023</v>
      </c>
      <c r="B1024">
        <v>1023</v>
      </c>
      <c r="C1024" t="s">
        <v>3403</v>
      </c>
      <c r="D1024" t="s">
        <v>51</v>
      </c>
      <c r="E1024" t="s">
        <v>58</v>
      </c>
      <c r="F1024" t="s">
        <v>3404</v>
      </c>
      <c r="G1024" t="s">
        <v>3405</v>
      </c>
      <c r="H1024" t="s">
        <v>2880</v>
      </c>
      <c r="I1024" t="s">
        <v>1111</v>
      </c>
    </row>
    <row r="1025" spans="1:9" x14ac:dyDescent="0.3">
      <c r="A1025">
        <v>1024</v>
      </c>
      <c r="B1025">
        <v>1024</v>
      </c>
      <c r="C1025" t="s">
        <v>3406</v>
      </c>
      <c r="D1025" t="s">
        <v>51</v>
      </c>
      <c r="E1025" t="s">
        <v>174</v>
      </c>
      <c r="F1025" t="s">
        <v>2526</v>
      </c>
      <c r="G1025" t="s">
        <v>3407</v>
      </c>
      <c r="H1025" t="s">
        <v>2177</v>
      </c>
      <c r="I1025" t="s">
        <v>3408</v>
      </c>
    </row>
    <row r="1026" spans="1:9" x14ac:dyDescent="0.3">
      <c r="A1026">
        <v>1025</v>
      </c>
      <c r="B1026">
        <v>1025</v>
      </c>
      <c r="C1026" t="s">
        <v>3409</v>
      </c>
      <c r="D1026" t="s">
        <v>10</v>
      </c>
      <c r="E1026" t="s">
        <v>365</v>
      </c>
      <c r="F1026" t="s">
        <v>1503</v>
      </c>
      <c r="G1026" t="s">
        <v>1820</v>
      </c>
      <c r="H1026" t="s">
        <v>3410</v>
      </c>
      <c r="I1026" t="s">
        <v>905</v>
      </c>
    </row>
    <row r="1027" spans="1:9" x14ac:dyDescent="0.3">
      <c r="A1027">
        <v>1026</v>
      </c>
      <c r="B1027">
        <v>1026</v>
      </c>
      <c r="C1027" t="s">
        <v>3411</v>
      </c>
      <c r="D1027" t="s">
        <v>51</v>
      </c>
      <c r="E1027" t="s">
        <v>232</v>
      </c>
      <c r="F1027" t="s">
        <v>196</v>
      </c>
      <c r="G1027" t="s">
        <v>1506</v>
      </c>
      <c r="H1027" t="s">
        <v>1464</v>
      </c>
      <c r="I1027" t="s">
        <v>2809</v>
      </c>
    </row>
    <row r="1028" spans="1:9" x14ac:dyDescent="0.3">
      <c r="A1028">
        <v>1027</v>
      </c>
      <c r="B1028">
        <v>1027</v>
      </c>
      <c r="C1028" t="s">
        <v>3412</v>
      </c>
      <c r="D1028" t="s">
        <v>10</v>
      </c>
      <c r="E1028" t="s">
        <v>52</v>
      </c>
      <c r="F1028" t="s">
        <v>2660</v>
      </c>
      <c r="G1028" t="s">
        <v>1118</v>
      </c>
      <c r="H1028" t="s">
        <v>2332</v>
      </c>
      <c r="I1028" t="s">
        <v>3034</v>
      </c>
    </row>
    <row r="1029" spans="1:9" x14ac:dyDescent="0.3">
      <c r="A1029">
        <v>1028</v>
      </c>
      <c r="B1029">
        <v>1028</v>
      </c>
      <c r="C1029" t="s">
        <v>3413</v>
      </c>
      <c r="D1029" t="s">
        <v>51</v>
      </c>
      <c r="E1029" t="s">
        <v>141</v>
      </c>
      <c r="F1029" t="s">
        <v>3036</v>
      </c>
      <c r="G1029" t="s">
        <v>1737</v>
      </c>
      <c r="H1029" t="s">
        <v>3414</v>
      </c>
      <c r="I1029" t="s">
        <v>2483</v>
      </c>
    </row>
    <row r="1030" spans="1:9" x14ac:dyDescent="0.3">
      <c r="A1030">
        <v>1029</v>
      </c>
      <c r="B1030">
        <v>1029</v>
      </c>
      <c r="C1030" t="s">
        <v>3415</v>
      </c>
      <c r="D1030" t="s">
        <v>124</v>
      </c>
      <c r="E1030" t="s">
        <v>58</v>
      </c>
      <c r="F1030" t="s">
        <v>3416</v>
      </c>
      <c r="G1030" t="s">
        <v>1577</v>
      </c>
      <c r="H1030" t="s">
        <v>3417</v>
      </c>
      <c r="I1030" t="s">
        <v>2643</v>
      </c>
    </row>
    <row r="1031" spans="1:9" x14ac:dyDescent="0.3">
      <c r="A1031">
        <v>1030</v>
      </c>
      <c r="B1031">
        <v>1030</v>
      </c>
      <c r="C1031" t="s">
        <v>3418</v>
      </c>
      <c r="D1031" t="s">
        <v>10</v>
      </c>
      <c r="E1031" t="s">
        <v>634</v>
      </c>
      <c r="F1031" t="s">
        <v>3419</v>
      </c>
      <c r="G1031" t="s">
        <v>1012</v>
      </c>
      <c r="H1031" t="s">
        <v>2050</v>
      </c>
      <c r="I1031" t="s">
        <v>3005</v>
      </c>
    </row>
    <row r="1032" spans="1:9" x14ac:dyDescent="0.3">
      <c r="A1032">
        <v>1031</v>
      </c>
      <c r="B1032">
        <v>1031</v>
      </c>
      <c r="C1032" t="s">
        <v>3420</v>
      </c>
      <c r="D1032" t="s">
        <v>2925</v>
      </c>
      <c r="E1032" t="s">
        <v>11</v>
      </c>
      <c r="F1032" t="s">
        <v>2971</v>
      </c>
      <c r="G1032" t="s">
        <v>2092</v>
      </c>
      <c r="H1032" t="s">
        <v>3421</v>
      </c>
      <c r="I1032" t="s">
        <v>3422</v>
      </c>
    </row>
    <row r="1033" spans="1:9" x14ac:dyDescent="0.3">
      <c r="A1033">
        <v>1032</v>
      </c>
      <c r="B1033">
        <v>1032</v>
      </c>
      <c r="C1033" t="s">
        <v>3423</v>
      </c>
      <c r="D1033" t="s">
        <v>10</v>
      </c>
      <c r="E1033" t="s">
        <v>743</v>
      </c>
      <c r="F1033" t="s">
        <v>1301</v>
      </c>
      <c r="G1033" t="s">
        <v>1716</v>
      </c>
      <c r="H1033" t="s">
        <v>2848</v>
      </c>
      <c r="I1033" t="s">
        <v>3003</v>
      </c>
    </row>
    <row r="1034" spans="1:9" x14ac:dyDescent="0.3">
      <c r="A1034">
        <v>1033</v>
      </c>
      <c r="B1034">
        <v>1033</v>
      </c>
      <c r="C1034" t="s">
        <v>3424</v>
      </c>
      <c r="D1034" t="s">
        <v>205</v>
      </c>
      <c r="E1034" t="s">
        <v>11</v>
      </c>
      <c r="F1034" t="s">
        <v>629</v>
      </c>
      <c r="G1034" t="s">
        <v>1572</v>
      </c>
      <c r="H1034" t="s">
        <v>3425</v>
      </c>
      <c r="I1034" t="s">
        <v>1878</v>
      </c>
    </row>
    <row r="1035" spans="1:9" x14ac:dyDescent="0.3">
      <c r="A1035">
        <v>1034</v>
      </c>
      <c r="B1035">
        <v>1034</v>
      </c>
      <c r="C1035" t="s">
        <v>3426</v>
      </c>
      <c r="D1035" t="s">
        <v>124</v>
      </c>
      <c r="E1035" t="s">
        <v>58</v>
      </c>
      <c r="F1035" t="s">
        <v>3136</v>
      </c>
      <c r="G1035" t="s">
        <v>3427</v>
      </c>
      <c r="H1035" t="s">
        <v>3428</v>
      </c>
      <c r="I1035" t="s">
        <v>486</v>
      </c>
    </row>
    <row r="1036" spans="1:9" x14ac:dyDescent="0.3">
      <c r="A1036">
        <v>1035</v>
      </c>
      <c r="B1036">
        <v>1035</v>
      </c>
      <c r="C1036" t="s">
        <v>3429</v>
      </c>
      <c r="D1036" t="s">
        <v>51</v>
      </c>
      <c r="E1036" t="s">
        <v>29</v>
      </c>
      <c r="F1036" t="s">
        <v>3430</v>
      </c>
      <c r="G1036" t="s">
        <v>2801</v>
      </c>
      <c r="H1036" t="s">
        <v>3431</v>
      </c>
      <c r="I1036" t="s">
        <v>3432</v>
      </c>
    </row>
    <row r="1037" spans="1:9" x14ac:dyDescent="0.3">
      <c r="A1037">
        <v>1036</v>
      </c>
      <c r="B1037">
        <v>1036</v>
      </c>
      <c r="C1037" t="s">
        <v>3433</v>
      </c>
      <c r="D1037" t="s">
        <v>216</v>
      </c>
      <c r="E1037" t="s">
        <v>726</v>
      </c>
      <c r="F1037" t="s">
        <v>443</v>
      </c>
      <c r="G1037" t="s">
        <v>1857</v>
      </c>
      <c r="H1037" t="s">
        <v>3434</v>
      </c>
      <c r="I1037" t="s">
        <v>2016</v>
      </c>
    </row>
    <row r="1038" spans="1:9" x14ac:dyDescent="0.3">
      <c r="A1038">
        <v>1037</v>
      </c>
      <c r="B1038">
        <v>1037</v>
      </c>
      <c r="C1038" t="s">
        <v>3435</v>
      </c>
      <c r="D1038" t="s">
        <v>205</v>
      </c>
      <c r="E1038" t="s">
        <v>58</v>
      </c>
      <c r="F1038" t="s">
        <v>2769</v>
      </c>
      <c r="G1038" t="s">
        <v>2703</v>
      </c>
      <c r="H1038" t="s">
        <v>3146</v>
      </c>
      <c r="I1038" t="s">
        <v>2058</v>
      </c>
    </row>
    <row r="1039" spans="1:9" x14ac:dyDescent="0.3">
      <c r="A1039">
        <v>1038</v>
      </c>
      <c r="B1039">
        <v>1038</v>
      </c>
      <c r="C1039" t="s">
        <v>3436</v>
      </c>
      <c r="D1039" t="s">
        <v>10</v>
      </c>
      <c r="E1039" t="s">
        <v>11</v>
      </c>
      <c r="F1039" t="s">
        <v>1494</v>
      </c>
      <c r="G1039" t="s">
        <v>2096</v>
      </c>
      <c r="H1039" t="s">
        <v>1053</v>
      </c>
      <c r="I1039" t="s">
        <v>2327</v>
      </c>
    </row>
    <row r="1040" spans="1:9" x14ac:dyDescent="0.3">
      <c r="A1040">
        <v>1039</v>
      </c>
      <c r="B1040">
        <v>1039</v>
      </c>
      <c r="C1040" t="s">
        <v>3437</v>
      </c>
      <c r="D1040" t="s">
        <v>10</v>
      </c>
      <c r="E1040" t="s">
        <v>365</v>
      </c>
      <c r="F1040" t="s">
        <v>3438</v>
      </c>
      <c r="G1040" t="s">
        <v>3439</v>
      </c>
      <c r="H1040" t="s">
        <v>3440</v>
      </c>
      <c r="I1040" t="s">
        <v>1671</v>
      </c>
    </row>
    <row r="1041" spans="1:9" x14ac:dyDescent="0.3">
      <c r="A1041">
        <v>1040</v>
      </c>
      <c r="B1041">
        <v>1040</v>
      </c>
      <c r="C1041" t="s">
        <v>3441</v>
      </c>
      <c r="D1041" t="s">
        <v>10</v>
      </c>
      <c r="E1041" t="s">
        <v>345</v>
      </c>
      <c r="F1041" t="s">
        <v>1230</v>
      </c>
      <c r="G1041">
        <v>-2</v>
      </c>
      <c r="H1041" t="s">
        <v>3442</v>
      </c>
      <c r="I1041" t="s">
        <v>819</v>
      </c>
    </row>
    <row r="1042" spans="1:9" x14ac:dyDescent="0.3">
      <c r="A1042">
        <v>1041</v>
      </c>
      <c r="B1042">
        <v>1041</v>
      </c>
      <c r="C1042" t="s">
        <v>3443</v>
      </c>
      <c r="D1042" t="s">
        <v>3276</v>
      </c>
      <c r="E1042" t="s">
        <v>11</v>
      </c>
      <c r="F1042" t="s">
        <v>1249</v>
      </c>
      <c r="G1042" t="s">
        <v>1958</v>
      </c>
      <c r="H1042" t="s">
        <v>2374</v>
      </c>
      <c r="I1042" t="s">
        <v>2112</v>
      </c>
    </row>
    <row r="1043" spans="1:9" x14ac:dyDescent="0.3">
      <c r="A1043">
        <v>1042</v>
      </c>
      <c r="B1043">
        <v>1042</v>
      </c>
      <c r="C1043" t="s">
        <v>3444</v>
      </c>
      <c r="D1043" t="s">
        <v>10</v>
      </c>
      <c r="E1043" t="s">
        <v>130</v>
      </c>
      <c r="F1043" t="s">
        <v>1693</v>
      </c>
      <c r="G1043" t="s">
        <v>1118</v>
      </c>
      <c r="H1043" t="s">
        <v>1645</v>
      </c>
      <c r="I1043" t="s">
        <v>3150</v>
      </c>
    </row>
    <row r="1044" spans="1:9" x14ac:dyDescent="0.3">
      <c r="A1044">
        <v>1043</v>
      </c>
      <c r="B1044">
        <v>1043</v>
      </c>
      <c r="C1044" t="s">
        <v>3445</v>
      </c>
      <c r="D1044" t="s">
        <v>1992</v>
      </c>
      <c r="E1044" t="s">
        <v>11</v>
      </c>
      <c r="F1044" t="s">
        <v>581</v>
      </c>
      <c r="G1044" t="s">
        <v>3060</v>
      </c>
      <c r="H1044" t="s">
        <v>610</v>
      </c>
      <c r="I1044" t="s">
        <v>2412</v>
      </c>
    </row>
    <row r="1045" spans="1:9" x14ac:dyDescent="0.3">
      <c r="A1045">
        <v>1044</v>
      </c>
      <c r="B1045">
        <v>1044</v>
      </c>
      <c r="C1045" t="s">
        <v>3446</v>
      </c>
      <c r="D1045" t="s">
        <v>10</v>
      </c>
      <c r="E1045" t="s">
        <v>130</v>
      </c>
      <c r="F1045" t="s">
        <v>2762</v>
      </c>
      <c r="G1045" t="s">
        <v>3447</v>
      </c>
      <c r="H1045" t="s">
        <v>2866</v>
      </c>
      <c r="I1045" t="s">
        <v>2197</v>
      </c>
    </row>
    <row r="1046" spans="1:9" x14ac:dyDescent="0.3">
      <c r="A1046">
        <v>1045</v>
      </c>
      <c r="B1046">
        <v>1045</v>
      </c>
      <c r="C1046" t="s">
        <v>3448</v>
      </c>
      <c r="D1046" t="s">
        <v>417</v>
      </c>
      <c r="E1046" t="s">
        <v>58</v>
      </c>
      <c r="F1046" t="s">
        <v>3449</v>
      </c>
      <c r="G1046" t="s">
        <v>1737</v>
      </c>
      <c r="H1046" t="s">
        <v>1620</v>
      </c>
      <c r="I1046" t="s">
        <v>2755</v>
      </c>
    </row>
    <row r="1047" spans="1:9" x14ac:dyDescent="0.3">
      <c r="A1047">
        <v>1046</v>
      </c>
      <c r="B1047">
        <v>1046</v>
      </c>
      <c r="C1047" t="s">
        <v>3450</v>
      </c>
      <c r="D1047" t="s">
        <v>35</v>
      </c>
      <c r="E1047" t="s">
        <v>715</v>
      </c>
      <c r="F1047" t="s">
        <v>3451</v>
      </c>
      <c r="G1047" t="s">
        <v>1012</v>
      </c>
      <c r="H1047" t="s">
        <v>2840</v>
      </c>
      <c r="I1047" t="s">
        <v>2330</v>
      </c>
    </row>
    <row r="1048" spans="1:9" x14ac:dyDescent="0.3">
      <c r="A1048">
        <v>1047</v>
      </c>
      <c r="B1048">
        <v>1047</v>
      </c>
      <c r="C1048" t="s">
        <v>3452</v>
      </c>
      <c r="D1048" t="s">
        <v>1992</v>
      </c>
      <c r="E1048" t="s">
        <v>11</v>
      </c>
      <c r="F1048" t="s">
        <v>3179</v>
      </c>
      <c r="G1048" t="s">
        <v>1716</v>
      </c>
      <c r="H1048" t="s">
        <v>3453</v>
      </c>
      <c r="I1048" t="s">
        <v>1641</v>
      </c>
    </row>
    <row r="1049" spans="1:9" x14ac:dyDescent="0.3">
      <c r="A1049">
        <v>1048</v>
      </c>
      <c r="B1049">
        <v>1048</v>
      </c>
      <c r="C1049" t="s">
        <v>3454</v>
      </c>
      <c r="D1049" t="s">
        <v>10</v>
      </c>
      <c r="E1049" t="s">
        <v>345</v>
      </c>
      <c r="F1049" t="s">
        <v>3455</v>
      </c>
      <c r="G1049" t="s">
        <v>1671</v>
      </c>
      <c r="H1049" t="s">
        <v>3456</v>
      </c>
      <c r="I1049" t="s">
        <v>3057</v>
      </c>
    </row>
    <row r="1050" spans="1:9" x14ac:dyDescent="0.3">
      <c r="A1050">
        <v>1049</v>
      </c>
      <c r="B1050">
        <v>1049</v>
      </c>
      <c r="C1050" t="s">
        <v>3457</v>
      </c>
      <c r="D1050" t="s">
        <v>1463</v>
      </c>
      <c r="E1050" t="s">
        <v>58</v>
      </c>
      <c r="F1050" t="s">
        <v>3458</v>
      </c>
      <c r="G1050" t="s">
        <v>1741</v>
      </c>
      <c r="H1050" t="s">
        <v>3181</v>
      </c>
      <c r="I1050" t="s">
        <v>3078</v>
      </c>
    </row>
    <row r="1051" spans="1:9" x14ac:dyDescent="0.3">
      <c r="A1051">
        <v>1050</v>
      </c>
      <c r="B1051">
        <v>1050</v>
      </c>
      <c r="C1051" t="s">
        <v>3459</v>
      </c>
      <c r="D1051" t="s">
        <v>10</v>
      </c>
      <c r="E1051" t="s">
        <v>11</v>
      </c>
      <c r="F1051" t="s">
        <v>1236</v>
      </c>
      <c r="G1051" t="s">
        <v>2348</v>
      </c>
      <c r="H1051" t="s">
        <v>3460</v>
      </c>
      <c r="I1051" t="s">
        <v>1834</v>
      </c>
    </row>
    <row r="1052" spans="1:9" x14ac:dyDescent="0.3">
      <c r="A1052">
        <v>1051</v>
      </c>
      <c r="B1052">
        <v>1051</v>
      </c>
      <c r="C1052" t="s">
        <v>3461</v>
      </c>
      <c r="D1052" t="s">
        <v>1617</v>
      </c>
      <c r="E1052" t="s">
        <v>17</v>
      </c>
      <c r="F1052" t="s">
        <v>640</v>
      </c>
      <c r="G1052" t="s">
        <v>640</v>
      </c>
      <c r="H1052" t="s">
        <v>2332</v>
      </c>
      <c r="I1052" t="s">
        <v>1645</v>
      </c>
    </row>
    <row r="1053" spans="1:9" x14ac:dyDescent="0.3">
      <c r="A1053">
        <v>1052</v>
      </c>
      <c r="B1053">
        <v>1052</v>
      </c>
      <c r="C1053" t="s">
        <v>3462</v>
      </c>
      <c r="D1053" t="s">
        <v>10</v>
      </c>
      <c r="E1053" t="s">
        <v>232</v>
      </c>
      <c r="F1053" t="s">
        <v>403</v>
      </c>
      <c r="G1053" t="s">
        <v>1572</v>
      </c>
      <c r="H1053" t="s">
        <v>1778</v>
      </c>
      <c r="I1053" t="s">
        <v>776</v>
      </c>
    </row>
    <row r="1054" spans="1:9" x14ac:dyDescent="0.3">
      <c r="A1054">
        <v>1053</v>
      </c>
      <c r="B1054">
        <v>1053</v>
      </c>
      <c r="C1054" t="s">
        <v>3463</v>
      </c>
      <c r="D1054" t="s">
        <v>10</v>
      </c>
      <c r="E1054" t="s">
        <v>250</v>
      </c>
      <c r="F1054" t="s">
        <v>3416</v>
      </c>
      <c r="G1054" t="s">
        <v>1768</v>
      </c>
      <c r="H1054" t="s">
        <v>3464</v>
      </c>
      <c r="I1054" t="s">
        <v>3465</v>
      </c>
    </row>
    <row r="1055" spans="1:9" x14ac:dyDescent="0.3">
      <c r="A1055">
        <v>1054</v>
      </c>
      <c r="B1055">
        <v>1054</v>
      </c>
      <c r="C1055" t="s">
        <v>3466</v>
      </c>
      <c r="D1055" t="s">
        <v>10</v>
      </c>
      <c r="E1055" t="s">
        <v>634</v>
      </c>
      <c r="F1055" t="s">
        <v>1839</v>
      </c>
      <c r="G1055" t="s">
        <v>3467</v>
      </c>
      <c r="H1055" t="s">
        <v>2846</v>
      </c>
      <c r="I1055" t="s">
        <v>2327</v>
      </c>
    </row>
    <row r="1056" spans="1:9" x14ac:dyDescent="0.3">
      <c r="A1056">
        <v>1055</v>
      </c>
      <c r="B1056">
        <v>1055</v>
      </c>
      <c r="C1056" t="s">
        <v>3468</v>
      </c>
      <c r="D1056" t="s">
        <v>104</v>
      </c>
      <c r="E1056" t="s">
        <v>174</v>
      </c>
      <c r="F1056" t="s">
        <v>990</v>
      </c>
      <c r="G1056" t="s">
        <v>3469</v>
      </c>
      <c r="H1056" t="s">
        <v>3470</v>
      </c>
      <c r="I1056" t="s">
        <v>3471</v>
      </c>
    </row>
    <row r="1057" spans="1:9" x14ac:dyDescent="0.3">
      <c r="A1057">
        <v>1056</v>
      </c>
      <c r="B1057">
        <v>1056</v>
      </c>
      <c r="C1057" t="s">
        <v>3472</v>
      </c>
      <c r="D1057" t="s">
        <v>10</v>
      </c>
      <c r="E1057" t="s">
        <v>58</v>
      </c>
      <c r="F1057" t="s">
        <v>3318</v>
      </c>
      <c r="G1057" t="s">
        <v>1577</v>
      </c>
      <c r="H1057" t="s">
        <v>3473</v>
      </c>
      <c r="I1057" t="s">
        <v>3434</v>
      </c>
    </row>
    <row r="1058" spans="1:9" x14ac:dyDescent="0.3">
      <c r="A1058">
        <v>1057</v>
      </c>
      <c r="B1058">
        <v>1057</v>
      </c>
      <c r="C1058" t="s">
        <v>3474</v>
      </c>
      <c r="D1058" t="s">
        <v>10</v>
      </c>
      <c r="E1058" t="s">
        <v>743</v>
      </c>
      <c r="F1058" t="s">
        <v>683</v>
      </c>
      <c r="G1058" t="s">
        <v>2369</v>
      </c>
      <c r="H1058" t="s">
        <v>3475</v>
      </c>
      <c r="I1058" t="s">
        <v>3476</v>
      </c>
    </row>
    <row r="1059" spans="1:9" x14ac:dyDescent="0.3">
      <c r="A1059">
        <v>1058</v>
      </c>
      <c r="B1059">
        <v>1058</v>
      </c>
      <c r="C1059" t="s">
        <v>3477</v>
      </c>
      <c r="D1059" t="s">
        <v>452</v>
      </c>
      <c r="E1059" t="s">
        <v>726</v>
      </c>
      <c r="F1059" t="s">
        <v>2725</v>
      </c>
      <c r="G1059" t="s">
        <v>2096</v>
      </c>
      <c r="H1059" t="s">
        <v>2136</v>
      </c>
      <c r="I1059" t="s">
        <v>72</v>
      </c>
    </row>
    <row r="1060" spans="1:9" x14ac:dyDescent="0.3">
      <c r="A1060">
        <v>1059</v>
      </c>
      <c r="B1060">
        <v>1059</v>
      </c>
      <c r="C1060" t="s">
        <v>3478</v>
      </c>
      <c r="D1060" t="s">
        <v>216</v>
      </c>
      <c r="E1060" t="s">
        <v>11</v>
      </c>
      <c r="F1060" t="s">
        <v>3479</v>
      </c>
      <c r="G1060" t="s">
        <v>1857</v>
      </c>
      <c r="H1060" t="s">
        <v>3480</v>
      </c>
      <c r="I1060" t="s">
        <v>3481</v>
      </c>
    </row>
    <row r="1061" spans="1:9" x14ac:dyDescent="0.3">
      <c r="A1061">
        <v>1060</v>
      </c>
      <c r="B1061">
        <v>1060</v>
      </c>
      <c r="C1061" t="s">
        <v>3482</v>
      </c>
      <c r="D1061" t="s">
        <v>216</v>
      </c>
      <c r="E1061" t="s">
        <v>365</v>
      </c>
      <c r="F1061" t="s">
        <v>1190</v>
      </c>
      <c r="G1061" t="s">
        <v>1118</v>
      </c>
      <c r="H1061" t="s">
        <v>3483</v>
      </c>
      <c r="I1061" t="s">
        <v>137</v>
      </c>
    </row>
    <row r="1062" spans="1:9" x14ac:dyDescent="0.3">
      <c r="A1062">
        <v>1061</v>
      </c>
      <c r="B1062">
        <v>1061</v>
      </c>
      <c r="C1062" t="s">
        <v>3484</v>
      </c>
      <c r="D1062" t="s">
        <v>657</v>
      </c>
      <c r="E1062" t="s">
        <v>130</v>
      </c>
      <c r="F1062" t="s">
        <v>3485</v>
      </c>
      <c r="G1062" t="s">
        <v>1268</v>
      </c>
      <c r="H1062" t="s">
        <v>2689</v>
      </c>
      <c r="I1062" t="s">
        <v>1411</v>
      </c>
    </row>
    <row r="1063" spans="1:9" x14ac:dyDescent="0.3">
      <c r="A1063">
        <v>1062</v>
      </c>
      <c r="B1063">
        <v>1062</v>
      </c>
      <c r="C1063" t="s">
        <v>3486</v>
      </c>
      <c r="D1063" t="s">
        <v>10</v>
      </c>
      <c r="E1063" t="s">
        <v>634</v>
      </c>
      <c r="F1063" t="s">
        <v>3487</v>
      </c>
      <c r="G1063" t="s">
        <v>2348</v>
      </c>
      <c r="H1063" t="s">
        <v>3165</v>
      </c>
      <c r="I1063" t="s">
        <v>2485</v>
      </c>
    </row>
    <row r="1064" spans="1:9" x14ac:dyDescent="0.3">
      <c r="A1064">
        <v>1063</v>
      </c>
      <c r="B1064">
        <v>1063</v>
      </c>
      <c r="C1064" t="s">
        <v>3488</v>
      </c>
      <c r="D1064" t="s">
        <v>1441</v>
      </c>
      <c r="E1064" t="s">
        <v>98</v>
      </c>
      <c r="F1064" t="s">
        <v>3489</v>
      </c>
      <c r="G1064" t="s">
        <v>1335</v>
      </c>
      <c r="H1064" t="s">
        <v>1914</v>
      </c>
      <c r="I1064" t="s">
        <v>2899</v>
      </c>
    </row>
    <row r="1065" spans="1:9" x14ac:dyDescent="0.3">
      <c r="A1065">
        <v>1064</v>
      </c>
      <c r="B1065">
        <v>1064</v>
      </c>
      <c r="C1065" t="s">
        <v>3490</v>
      </c>
      <c r="D1065" t="s">
        <v>10</v>
      </c>
      <c r="E1065" t="s">
        <v>743</v>
      </c>
      <c r="F1065" t="s">
        <v>1878</v>
      </c>
      <c r="G1065" t="s">
        <v>2096</v>
      </c>
      <c r="H1065" t="s">
        <v>2971</v>
      </c>
      <c r="I1065" t="s">
        <v>2474</v>
      </c>
    </row>
    <row r="1066" spans="1:9" x14ac:dyDescent="0.3">
      <c r="A1066">
        <v>1065</v>
      </c>
      <c r="B1066">
        <v>1065</v>
      </c>
      <c r="C1066" t="s">
        <v>3491</v>
      </c>
      <c r="D1066" t="s">
        <v>35</v>
      </c>
      <c r="E1066" t="s">
        <v>634</v>
      </c>
      <c r="F1066" t="s">
        <v>1192</v>
      </c>
      <c r="G1066" t="s">
        <v>1716</v>
      </c>
      <c r="H1066" t="s">
        <v>3492</v>
      </c>
      <c r="I1066" t="s">
        <v>2412</v>
      </c>
    </row>
    <row r="1067" spans="1:9" x14ac:dyDescent="0.3">
      <c r="A1067">
        <v>1066</v>
      </c>
      <c r="B1067">
        <v>1066</v>
      </c>
      <c r="C1067" t="s">
        <v>3493</v>
      </c>
      <c r="D1067" t="s">
        <v>436</v>
      </c>
      <c r="E1067" t="s">
        <v>726</v>
      </c>
      <c r="F1067" t="s">
        <v>3494</v>
      </c>
      <c r="G1067" t="s">
        <v>1857</v>
      </c>
      <c r="H1067" t="s">
        <v>3086</v>
      </c>
      <c r="I1067" t="s">
        <v>2427</v>
      </c>
    </row>
    <row r="1068" spans="1:9" x14ac:dyDescent="0.3">
      <c r="A1068">
        <v>1067</v>
      </c>
      <c r="B1068">
        <v>1067</v>
      </c>
      <c r="C1068" t="s">
        <v>3495</v>
      </c>
      <c r="D1068" t="s">
        <v>10</v>
      </c>
      <c r="E1068" t="s">
        <v>706</v>
      </c>
      <c r="F1068" t="s">
        <v>977</v>
      </c>
      <c r="G1068" t="s">
        <v>1737</v>
      </c>
      <c r="H1068" t="s">
        <v>2722</v>
      </c>
      <c r="I1068" t="s">
        <v>3408</v>
      </c>
    </row>
    <row r="1069" spans="1:9" x14ac:dyDescent="0.3">
      <c r="A1069">
        <v>1068</v>
      </c>
      <c r="B1069">
        <v>1068</v>
      </c>
      <c r="C1069" t="s">
        <v>3496</v>
      </c>
      <c r="D1069" t="s">
        <v>10</v>
      </c>
      <c r="E1069" t="s">
        <v>250</v>
      </c>
      <c r="F1069" t="s">
        <v>2439</v>
      </c>
      <c r="G1069" t="s">
        <v>3497</v>
      </c>
      <c r="H1069" t="s">
        <v>2051</v>
      </c>
      <c r="I1069" t="s">
        <v>758</v>
      </c>
    </row>
    <row r="1070" spans="1:9" x14ac:dyDescent="0.3">
      <c r="A1070">
        <v>1069</v>
      </c>
      <c r="B1070">
        <v>1069</v>
      </c>
      <c r="C1070" t="s">
        <v>3498</v>
      </c>
      <c r="D1070" t="s">
        <v>51</v>
      </c>
      <c r="E1070" t="s">
        <v>687</v>
      </c>
      <c r="F1070" t="s">
        <v>1478</v>
      </c>
      <c r="G1070" t="s">
        <v>1995</v>
      </c>
      <c r="H1070" t="s">
        <v>3397</v>
      </c>
      <c r="I1070" t="s">
        <v>512</v>
      </c>
    </row>
    <row r="1071" spans="1:9" x14ac:dyDescent="0.3">
      <c r="A1071">
        <v>1070</v>
      </c>
      <c r="B1071">
        <v>1070</v>
      </c>
      <c r="C1071" t="s">
        <v>3499</v>
      </c>
      <c r="D1071" t="s">
        <v>10</v>
      </c>
      <c r="E1071" t="s">
        <v>687</v>
      </c>
      <c r="F1071" t="s">
        <v>2927</v>
      </c>
      <c r="G1071" t="s">
        <v>1741</v>
      </c>
      <c r="H1071" t="s">
        <v>3464</v>
      </c>
      <c r="I1071" t="s">
        <v>2345</v>
      </c>
    </row>
    <row r="1072" spans="1:9" x14ac:dyDescent="0.3">
      <c r="A1072">
        <v>1071</v>
      </c>
      <c r="B1072">
        <v>1071</v>
      </c>
      <c r="C1072" t="s">
        <v>3500</v>
      </c>
      <c r="D1072" t="s">
        <v>657</v>
      </c>
      <c r="E1072" t="s">
        <v>634</v>
      </c>
      <c r="F1072" t="s">
        <v>2383</v>
      </c>
      <c r="G1072" t="s">
        <v>1268</v>
      </c>
      <c r="H1072" t="s">
        <v>3000</v>
      </c>
      <c r="I1072">
        <v>1</v>
      </c>
    </row>
    <row r="1073" spans="1:9" x14ac:dyDescent="0.3">
      <c r="A1073">
        <v>1072</v>
      </c>
      <c r="B1073">
        <v>1072</v>
      </c>
      <c r="C1073" t="s">
        <v>3501</v>
      </c>
      <c r="D1073" t="s">
        <v>124</v>
      </c>
      <c r="E1073" t="s">
        <v>11</v>
      </c>
      <c r="F1073" t="s">
        <v>2722</v>
      </c>
      <c r="G1073" t="s">
        <v>2455</v>
      </c>
      <c r="H1073" t="s">
        <v>3502</v>
      </c>
      <c r="I1073" t="s">
        <v>316</v>
      </c>
    </row>
    <row r="1074" spans="1:9" x14ac:dyDescent="0.3">
      <c r="A1074">
        <v>1073</v>
      </c>
      <c r="B1074">
        <v>1073</v>
      </c>
      <c r="C1074" t="s">
        <v>3503</v>
      </c>
      <c r="D1074" t="s">
        <v>3504</v>
      </c>
      <c r="E1074" t="s">
        <v>29</v>
      </c>
      <c r="F1074" t="s">
        <v>2345</v>
      </c>
      <c r="G1074" t="s">
        <v>1098</v>
      </c>
      <c r="H1074" t="s">
        <v>3505</v>
      </c>
      <c r="I1074" t="s">
        <v>2392</v>
      </c>
    </row>
    <row r="1075" spans="1:9" x14ac:dyDescent="0.3">
      <c r="A1075">
        <v>1074</v>
      </c>
      <c r="B1075">
        <v>1074</v>
      </c>
      <c r="C1075" t="s">
        <v>3506</v>
      </c>
      <c r="D1075" t="s">
        <v>401</v>
      </c>
      <c r="E1075" t="s">
        <v>23</v>
      </c>
      <c r="F1075" t="s">
        <v>3479</v>
      </c>
      <c r="G1075" t="s">
        <v>809</v>
      </c>
      <c r="H1075" t="s">
        <v>2358</v>
      </c>
      <c r="I1075" t="s">
        <v>3165</v>
      </c>
    </row>
    <row r="1076" spans="1:9" x14ac:dyDescent="0.3">
      <c r="A1076">
        <v>1075</v>
      </c>
      <c r="B1076">
        <v>1075</v>
      </c>
      <c r="C1076" t="s">
        <v>3507</v>
      </c>
      <c r="D1076" t="s">
        <v>216</v>
      </c>
      <c r="E1076" t="s">
        <v>365</v>
      </c>
      <c r="F1076" t="s">
        <v>3414</v>
      </c>
      <c r="G1076" t="s">
        <v>1857</v>
      </c>
      <c r="H1076" t="s">
        <v>2274</v>
      </c>
      <c r="I1076" t="s">
        <v>2698</v>
      </c>
    </row>
    <row r="1077" spans="1:9" x14ac:dyDescent="0.3">
      <c r="A1077">
        <v>1076</v>
      </c>
      <c r="B1077">
        <v>1076</v>
      </c>
      <c r="C1077" t="s">
        <v>3508</v>
      </c>
      <c r="D1077" t="s">
        <v>10</v>
      </c>
      <c r="E1077" t="s">
        <v>11</v>
      </c>
      <c r="F1077" t="s">
        <v>433</v>
      </c>
      <c r="G1077" t="s">
        <v>1741</v>
      </c>
      <c r="H1077" t="s">
        <v>922</v>
      </c>
      <c r="I1077" t="s">
        <v>3481</v>
      </c>
    </row>
    <row r="1078" spans="1:9" x14ac:dyDescent="0.3">
      <c r="A1078">
        <v>1077</v>
      </c>
      <c r="B1078">
        <v>1077</v>
      </c>
      <c r="C1078" t="s">
        <v>3509</v>
      </c>
      <c r="D1078" t="s">
        <v>10</v>
      </c>
      <c r="E1078" t="s">
        <v>23</v>
      </c>
      <c r="F1078" t="s">
        <v>749</v>
      </c>
      <c r="G1078" t="s">
        <v>2100</v>
      </c>
      <c r="H1078" t="s">
        <v>2880</v>
      </c>
      <c r="I1078" t="s">
        <v>3510</v>
      </c>
    </row>
    <row r="1079" spans="1:9" x14ac:dyDescent="0.3">
      <c r="A1079">
        <v>1078</v>
      </c>
      <c r="B1079">
        <v>1078</v>
      </c>
      <c r="C1079" t="s">
        <v>3511</v>
      </c>
      <c r="D1079" t="s">
        <v>10</v>
      </c>
      <c r="E1079" t="s">
        <v>64</v>
      </c>
      <c r="F1079" t="s">
        <v>3034</v>
      </c>
      <c r="G1079" t="s">
        <v>1671</v>
      </c>
      <c r="H1079" t="s">
        <v>956</v>
      </c>
      <c r="I1079" t="s">
        <v>3512</v>
      </c>
    </row>
    <row r="1080" spans="1:9" x14ac:dyDescent="0.3">
      <c r="A1080">
        <v>1079</v>
      </c>
      <c r="B1080">
        <v>1079</v>
      </c>
      <c r="C1080" t="s">
        <v>3513</v>
      </c>
      <c r="D1080" t="s">
        <v>51</v>
      </c>
      <c r="E1080" t="s">
        <v>365</v>
      </c>
      <c r="F1080" t="s">
        <v>2155</v>
      </c>
      <c r="G1080" t="s">
        <v>3376</v>
      </c>
      <c r="H1080" t="s">
        <v>2324</v>
      </c>
      <c r="I1080" t="s">
        <v>2783</v>
      </c>
    </row>
    <row r="1081" spans="1:9" x14ac:dyDescent="0.3">
      <c r="A1081">
        <v>1080</v>
      </c>
      <c r="B1081">
        <v>1080</v>
      </c>
      <c r="C1081" t="s">
        <v>3514</v>
      </c>
      <c r="D1081" t="s">
        <v>10</v>
      </c>
      <c r="E1081" t="s">
        <v>743</v>
      </c>
      <c r="F1081" t="s">
        <v>3515</v>
      </c>
      <c r="G1081" t="s">
        <v>1556</v>
      </c>
      <c r="H1081" t="s">
        <v>838</v>
      </c>
      <c r="I1081" t="s">
        <v>1916</v>
      </c>
    </row>
    <row r="1082" spans="1:9" x14ac:dyDescent="0.3">
      <c r="A1082">
        <v>1081</v>
      </c>
      <c r="B1082">
        <v>1081</v>
      </c>
      <c r="C1082" t="s">
        <v>3516</v>
      </c>
      <c r="D1082" t="s">
        <v>10</v>
      </c>
      <c r="E1082" t="s">
        <v>58</v>
      </c>
      <c r="F1082" t="s">
        <v>1866</v>
      </c>
      <c r="G1082" t="s">
        <v>1577</v>
      </c>
      <c r="H1082" t="s">
        <v>1434</v>
      </c>
      <c r="I1082" t="s">
        <v>3517</v>
      </c>
    </row>
    <row r="1083" spans="1:9" x14ac:dyDescent="0.3">
      <c r="A1083">
        <v>1082</v>
      </c>
      <c r="B1083">
        <v>1082</v>
      </c>
      <c r="C1083" t="s">
        <v>3518</v>
      </c>
      <c r="D1083" t="s">
        <v>104</v>
      </c>
      <c r="E1083" t="s">
        <v>58</v>
      </c>
      <c r="F1083" t="s">
        <v>873</v>
      </c>
      <c r="G1083" t="s">
        <v>1768</v>
      </c>
      <c r="H1083" t="s">
        <v>3434</v>
      </c>
      <c r="I1083" t="s">
        <v>78</v>
      </c>
    </row>
    <row r="1084" spans="1:9" x14ac:dyDescent="0.3">
      <c r="A1084">
        <v>1083</v>
      </c>
      <c r="B1084">
        <v>1083</v>
      </c>
      <c r="C1084" t="s">
        <v>3519</v>
      </c>
      <c r="D1084" t="s">
        <v>10</v>
      </c>
      <c r="E1084" t="s">
        <v>634</v>
      </c>
      <c r="F1084" t="s">
        <v>3155</v>
      </c>
      <c r="G1084" t="s">
        <v>2801</v>
      </c>
      <c r="H1084" t="s">
        <v>3520</v>
      </c>
      <c r="I1084" t="s">
        <v>1417</v>
      </c>
    </row>
    <row r="1085" spans="1:9" x14ac:dyDescent="0.3">
      <c r="A1085">
        <v>1084</v>
      </c>
      <c r="B1085">
        <v>1084</v>
      </c>
      <c r="C1085" t="s">
        <v>3521</v>
      </c>
      <c r="D1085" t="s">
        <v>10</v>
      </c>
      <c r="E1085" t="s">
        <v>58</v>
      </c>
      <c r="F1085" t="s">
        <v>1364</v>
      </c>
      <c r="G1085" t="s">
        <v>2348</v>
      </c>
      <c r="H1085" t="s">
        <v>3522</v>
      </c>
      <c r="I1085" t="s">
        <v>2330</v>
      </c>
    </row>
    <row r="1086" spans="1:9" x14ac:dyDescent="0.3">
      <c r="A1086">
        <v>1085</v>
      </c>
      <c r="B1086">
        <v>1085</v>
      </c>
      <c r="C1086" t="s">
        <v>3523</v>
      </c>
      <c r="D1086" t="s">
        <v>35</v>
      </c>
      <c r="E1086" t="s">
        <v>23</v>
      </c>
      <c r="F1086" t="s">
        <v>2858</v>
      </c>
      <c r="G1086">
        <v>0</v>
      </c>
      <c r="H1086" t="s">
        <v>3524</v>
      </c>
      <c r="I1086" t="s">
        <v>3485</v>
      </c>
    </row>
    <row r="1087" spans="1:9" x14ac:dyDescent="0.3">
      <c r="A1087">
        <v>1086</v>
      </c>
      <c r="B1087">
        <v>1086</v>
      </c>
      <c r="C1087" t="s">
        <v>3525</v>
      </c>
      <c r="D1087" t="s">
        <v>436</v>
      </c>
      <c r="E1087" t="s">
        <v>634</v>
      </c>
      <c r="F1087" t="s">
        <v>2102</v>
      </c>
      <c r="G1087" t="s">
        <v>1857</v>
      </c>
      <c r="H1087" t="s">
        <v>3526</v>
      </c>
      <c r="I1087" t="s">
        <v>3036</v>
      </c>
    </row>
    <row r="1088" spans="1:9" x14ac:dyDescent="0.3">
      <c r="A1088">
        <v>1087</v>
      </c>
      <c r="B1088">
        <v>1087</v>
      </c>
      <c r="C1088" t="s">
        <v>3527</v>
      </c>
      <c r="D1088" t="s">
        <v>681</v>
      </c>
      <c r="E1088" t="s">
        <v>130</v>
      </c>
      <c r="F1088" t="s">
        <v>2824</v>
      </c>
      <c r="G1088" t="s">
        <v>2376</v>
      </c>
      <c r="H1088" t="s">
        <v>3528</v>
      </c>
      <c r="I1088" t="s">
        <v>3190</v>
      </c>
    </row>
    <row r="1089" spans="1:9" x14ac:dyDescent="0.3">
      <c r="A1089">
        <v>1088</v>
      </c>
      <c r="B1089">
        <v>1088</v>
      </c>
      <c r="C1089" t="s">
        <v>3529</v>
      </c>
      <c r="D1089" t="s">
        <v>10</v>
      </c>
      <c r="E1089" t="s">
        <v>29</v>
      </c>
      <c r="F1089" t="s">
        <v>3530</v>
      </c>
      <c r="G1089" t="s">
        <v>2092</v>
      </c>
      <c r="H1089" t="s">
        <v>3483</v>
      </c>
      <c r="I1089" t="s">
        <v>3492</v>
      </c>
    </row>
    <row r="1090" spans="1:9" x14ac:dyDescent="0.3">
      <c r="A1090">
        <v>1089</v>
      </c>
      <c r="B1090">
        <v>1089</v>
      </c>
      <c r="C1090" t="s">
        <v>3531</v>
      </c>
      <c r="D1090" t="s">
        <v>417</v>
      </c>
      <c r="E1090" t="s">
        <v>634</v>
      </c>
      <c r="F1090" t="s">
        <v>2327</v>
      </c>
      <c r="G1090" t="s">
        <v>2376</v>
      </c>
      <c r="H1090" t="s">
        <v>3532</v>
      </c>
      <c r="I1090" t="s">
        <v>1693</v>
      </c>
    </row>
    <row r="1091" spans="1:9" x14ac:dyDescent="0.3">
      <c r="A1091">
        <v>1090</v>
      </c>
      <c r="B1091">
        <v>1090</v>
      </c>
      <c r="C1091" t="s">
        <v>3533</v>
      </c>
      <c r="D1091" t="s">
        <v>297</v>
      </c>
      <c r="E1091" t="s">
        <v>11</v>
      </c>
      <c r="F1091" t="s">
        <v>856</v>
      </c>
      <c r="G1091" t="s">
        <v>1995</v>
      </c>
      <c r="H1091" t="s">
        <v>1754</v>
      </c>
      <c r="I1091" t="s">
        <v>2777</v>
      </c>
    </row>
    <row r="1092" spans="1:9" x14ac:dyDescent="0.3">
      <c r="A1092">
        <v>1091</v>
      </c>
      <c r="B1092">
        <v>1091</v>
      </c>
      <c r="C1092" t="s">
        <v>3534</v>
      </c>
      <c r="D1092" t="s">
        <v>10</v>
      </c>
      <c r="E1092" t="s">
        <v>151</v>
      </c>
      <c r="F1092" t="s">
        <v>3458</v>
      </c>
      <c r="G1092">
        <v>0</v>
      </c>
      <c r="H1092" t="s">
        <v>2218</v>
      </c>
      <c r="I1092" t="s">
        <v>3181</v>
      </c>
    </row>
    <row r="1093" spans="1:9" x14ac:dyDescent="0.3">
      <c r="A1093">
        <v>1092</v>
      </c>
      <c r="B1093">
        <v>1092</v>
      </c>
      <c r="C1093" t="s">
        <v>3535</v>
      </c>
      <c r="D1093" t="s">
        <v>249</v>
      </c>
      <c r="E1093" t="s">
        <v>52</v>
      </c>
      <c r="F1093" t="s">
        <v>3536</v>
      </c>
      <c r="G1093" t="s">
        <v>1556</v>
      </c>
      <c r="H1093" t="s">
        <v>3451</v>
      </c>
      <c r="I1093" t="s">
        <v>1891</v>
      </c>
    </row>
    <row r="1094" spans="1:9" x14ac:dyDescent="0.3">
      <c r="A1094">
        <v>1093</v>
      </c>
      <c r="B1094">
        <v>1093</v>
      </c>
      <c r="C1094" t="s">
        <v>3537</v>
      </c>
      <c r="D1094" t="s">
        <v>10</v>
      </c>
      <c r="E1094" t="s">
        <v>58</v>
      </c>
      <c r="F1094" t="s">
        <v>1317</v>
      </c>
      <c r="G1094" t="s">
        <v>2096</v>
      </c>
      <c r="H1094" t="s">
        <v>2755</v>
      </c>
      <c r="I1094" t="s">
        <v>2226</v>
      </c>
    </row>
    <row r="1095" spans="1:9" x14ac:dyDescent="0.3">
      <c r="A1095">
        <v>1094</v>
      </c>
      <c r="B1095">
        <v>1094</v>
      </c>
      <c r="C1095" t="s">
        <v>3538</v>
      </c>
      <c r="D1095" t="s">
        <v>10</v>
      </c>
      <c r="E1095" t="s">
        <v>52</v>
      </c>
      <c r="F1095" t="s">
        <v>3539</v>
      </c>
      <c r="G1095" t="s">
        <v>3540</v>
      </c>
      <c r="H1095" t="s">
        <v>3541</v>
      </c>
      <c r="I1095" t="s">
        <v>191</v>
      </c>
    </row>
    <row r="1096" spans="1:9" x14ac:dyDescent="0.3">
      <c r="A1096">
        <v>1095</v>
      </c>
      <c r="B1096">
        <v>1095</v>
      </c>
      <c r="C1096" t="s">
        <v>3542</v>
      </c>
      <c r="D1096" t="s">
        <v>10</v>
      </c>
      <c r="E1096" t="s">
        <v>243</v>
      </c>
      <c r="F1096" t="s">
        <v>1921</v>
      </c>
      <c r="G1096" t="s">
        <v>1967</v>
      </c>
      <c r="H1096" t="s">
        <v>2518</v>
      </c>
      <c r="I1096" t="s">
        <v>321</v>
      </c>
    </row>
    <row r="1097" spans="1:9" x14ac:dyDescent="0.3">
      <c r="A1097">
        <v>1096</v>
      </c>
      <c r="B1097">
        <v>1096</v>
      </c>
      <c r="C1097" t="s">
        <v>3543</v>
      </c>
      <c r="D1097" t="s">
        <v>10</v>
      </c>
      <c r="E1097" t="s">
        <v>726</v>
      </c>
      <c r="F1097" t="s">
        <v>2790</v>
      </c>
      <c r="G1097" t="s">
        <v>1506</v>
      </c>
      <c r="H1097" t="s">
        <v>619</v>
      </c>
      <c r="I1097" t="s">
        <v>3489</v>
      </c>
    </row>
    <row r="1098" spans="1:9" x14ac:dyDescent="0.3">
      <c r="A1098">
        <v>1097</v>
      </c>
      <c r="B1098">
        <v>1097</v>
      </c>
      <c r="C1098" t="s">
        <v>3544</v>
      </c>
      <c r="D1098" t="s">
        <v>1617</v>
      </c>
      <c r="E1098" t="s">
        <v>151</v>
      </c>
      <c r="F1098" t="s">
        <v>2589</v>
      </c>
      <c r="G1098" t="s">
        <v>1012</v>
      </c>
      <c r="H1098" t="s">
        <v>496</v>
      </c>
      <c r="I1098" t="s">
        <v>2779</v>
      </c>
    </row>
    <row r="1099" spans="1:9" x14ac:dyDescent="0.3">
      <c r="A1099">
        <v>1098</v>
      </c>
      <c r="B1099">
        <v>1098</v>
      </c>
      <c r="C1099" t="s">
        <v>3545</v>
      </c>
      <c r="D1099" t="s">
        <v>10</v>
      </c>
      <c r="E1099" t="s">
        <v>29</v>
      </c>
      <c r="F1099" t="s">
        <v>3250</v>
      </c>
      <c r="G1099" t="s">
        <v>2682</v>
      </c>
      <c r="H1099" t="s">
        <v>2556</v>
      </c>
      <c r="I1099" t="s">
        <v>2260</v>
      </c>
    </row>
    <row r="1100" spans="1:9" x14ac:dyDescent="0.3">
      <c r="A1100">
        <v>1099</v>
      </c>
      <c r="B1100">
        <v>1099</v>
      </c>
      <c r="C1100" t="s">
        <v>3546</v>
      </c>
      <c r="D1100" t="s">
        <v>10</v>
      </c>
      <c r="E1100" t="s">
        <v>29</v>
      </c>
      <c r="F1100" t="s">
        <v>2890</v>
      </c>
      <c r="G1100" t="s">
        <v>933</v>
      </c>
      <c r="H1100" t="s">
        <v>2716</v>
      </c>
      <c r="I1100" t="s">
        <v>2260</v>
      </c>
    </row>
    <row r="1101" spans="1:9" x14ac:dyDescent="0.3">
      <c r="A1101">
        <v>1100</v>
      </c>
      <c r="B1101">
        <v>1100</v>
      </c>
      <c r="C1101" t="s">
        <v>3547</v>
      </c>
      <c r="D1101" t="s">
        <v>10</v>
      </c>
      <c r="E1101" t="s">
        <v>743</v>
      </c>
      <c r="F1101" t="s">
        <v>3209</v>
      </c>
      <c r="G1101" t="s">
        <v>1577</v>
      </c>
      <c r="H1101" t="s">
        <v>3068</v>
      </c>
      <c r="I1101" t="s">
        <v>3548</v>
      </c>
    </row>
    <row r="1102" spans="1:9" x14ac:dyDescent="0.3">
      <c r="A1102">
        <v>1101</v>
      </c>
      <c r="B1102">
        <v>1101</v>
      </c>
      <c r="C1102" t="s">
        <v>3549</v>
      </c>
      <c r="D1102" t="s">
        <v>3550</v>
      </c>
      <c r="E1102" t="s">
        <v>29</v>
      </c>
      <c r="F1102" t="s">
        <v>3002</v>
      </c>
      <c r="G1102" t="s">
        <v>3551</v>
      </c>
      <c r="H1102" t="s">
        <v>3552</v>
      </c>
      <c r="I1102" t="s">
        <v>3553</v>
      </c>
    </row>
    <row r="1103" spans="1:9" x14ac:dyDescent="0.3">
      <c r="A1103">
        <v>1102</v>
      </c>
      <c r="B1103">
        <v>1102</v>
      </c>
      <c r="C1103" t="s">
        <v>3554</v>
      </c>
      <c r="D1103" t="s">
        <v>2364</v>
      </c>
      <c r="E1103" t="s">
        <v>715</v>
      </c>
      <c r="F1103" t="s">
        <v>262</v>
      </c>
      <c r="G1103" t="s">
        <v>1737</v>
      </c>
      <c r="H1103" t="s">
        <v>1607</v>
      </c>
      <c r="I1103" t="s">
        <v>2299</v>
      </c>
    </row>
    <row r="1104" spans="1:9" x14ac:dyDescent="0.3">
      <c r="A1104">
        <v>1103</v>
      </c>
      <c r="B1104">
        <v>1103</v>
      </c>
      <c r="C1104" t="s">
        <v>3555</v>
      </c>
      <c r="D1104" t="s">
        <v>10</v>
      </c>
      <c r="E1104" t="s">
        <v>634</v>
      </c>
      <c r="F1104" t="s">
        <v>186</v>
      </c>
      <c r="G1104" t="s">
        <v>1572</v>
      </c>
      <c r="H1104" t="s">
        <v>3556</v>
      </c>
      <c r="I1104" t="s">
        <v>3557</v>
      </c>
    </row>
    <row r="1105" spans="1:9" x14ac:dyDescent="0.3">
      <c r="A1105">
        <v>1104</v>
      </c>
      <c r="B1105">
        <v>1104</v>
      </c>
      <c r="C1105" t="s">
        <v>3558</v>
      </c>
      <c r="D1105" t="s">
        <v>10</v>
      </c>
      <c r="E1105" t="s">
        <v>11</v>
      </c>
      <c r="F1105" t="s">
        <v>1225</v>
      </c>
      <c r="G1105" t="s">
        <v>1118</v>
      </c>
      <c r="H1105" t="s">
        <v>3559</v>
      </c>
      <c r="I1105" t="s">
        <v>3560</v>
      </c>
    </row>
    <row r="1106" spans="1:9" x14ac:dyDescent="0.3">
      <c r="A1106">
        <v>1105</v>
      </c>
      <c r="B1106">
        <v>1105</v>
      </c>
      <c r="C1106" t="s">
        <v>3561</v>
      </c>
      <c r="D1106" t="s">
        <v>1632</v>
      </c>
      <c r="E1106" t="s">
        <v>151</v>
      </c>
      <c r="F1106" t="s">
        <v>218</v>
      </c>
      <c r="G1106" t="s">
        <v>3245</v>
      </c>
      <c r="H1106" t="s">
        <v>2037</v>
      </c>
      <c r="I1106" t="s">
        <v>100</v>
      </c>
    </row>
    <row r="1107" spans="1:9" x14ac:dyDescent="0.3">
      <c r="A1107">
        <v>1106</v>
      </c>
      <c r="B1107">
        <v>1106</v>
      </c>
      <c r="C1107" t="s">
        <v>3562</v>
      </c>
      <c r="D1107" t="s">
        <v>249</v>
      </c>
      <c r="E1107" t="s">
        <v>64</v>
      </c>
      <c r="F1107" t="s">
        <v>2380</v>
      </c>
      <c r="G1107" t="s">
        <v>1118</v>
      </c>
      <c r="H1107" t="s">
        <v>3057</v>
      </c>
      <c r="I1107" t="s">
        <v>2698</v>
      </c>
    </row>
    <row r="1108" spans="1:9" x14ac:dyDescent="0.3">
      <c r="A1108">
        <v>1107</v>
      </c>
      <c r="B1108">
        <v>1107</v>
      </c>
      <c r="C1108" t="s">
        <v>3563</v>
      </c>
      <c r="D1108" t="s">
        <v>10</v>
      </c>
      <c r="E1108" t="s">
        <v>11</v>
      </c>
      <c r="F1108" t="s">
        <v>1182</v>
      </c>
      <c r="G1108" t="s">
        <v>2348</v>
      </c>
      <c r="H1108" t="s">
        <v>3564</v>
      </c>
      <c r="I1108" t="s">
        <v>496</v>
      </c>
    </row>
    <row r="1109" spans="1:9" x14ac:dyDescent="0.3">
      <c r="A1109">
        <v>1108</v>
      </c>
      <c r="B1109">
        <v>1108</v>
      </c>
      <c r="C1109" t="s">
        <v>3565</v>
      </c>
      <c r="D1109" t="s">
        <v>10</v>
      </c>
      <c r="E1109" t="s">
        <v>11</v>
      </c>
      <c r="F1109" t="s">
        <v>1042</v>
      </c>
      <c r="G1109" t="s">
        <v>1958</v>
      </c>
      <c r="H1109" t="s">
        <v>2634</v>
      </c>
      <c r="I1109" t="s">
        <v>3566</v>
      </c>
    </row>
    <row r="1110" spans="1:9" x14ac:dyDescent="0.3">
      <c r="A1110">
        <v>1109</v>
      </c>
      <c r="B1110">
        <v>1109</v>
      </c>
      <c r="C1110" t="s">
        <v>3567</v>
      </c>
      <c r="D1110" t="s">
        <v>1925</v>
      </c>
      <c r="E1110" t="s">
        <v>58</v>
      </c>
      <c r="F1110" t="s">
        <v>3106</v>
      </c>
      <c r="G1110" t="s">
        <v>3060</v>
      </c>
      <c r="H1110" t="s">
        <v>3568</v>
      </c>
      <c r="I1110" t="s">
        <v>3455</v>
      </c>
    </row>
    <row r="1111" spans="1:9" x14ac:dyDescent="0.3">
      <c r="A1111">
        <v>1110</v>
      </c>
      <c r="B1111">
        <v>1110</v>
      </c>
      <c r="C1111" t="s">
        <v>3569</v>
      </c>
      <c r="D1111" t="s">
        <v>35</v>
      </c>
      <c r="E1111" t="s">
        <v>232</v>
      </c>
      <c r="F1111" t="s">
        <v>2526</v>
      </c>
      <c r="G1111" t="s">
        <v>1111</v>
      </c>
      <c r="H1111" t="s">
        <v>1046</v>
      </c>
      <c r="I1111" t="s">
        <v>2412</v>
      </c>
    </row>
    <row r="1112" spans="1:9" x14ac:dyDescent="0.3">
      <c r="A1112">
        <v>1111</v>
      </c>
      <c r="B1112">
        <v>1111</v>
      </c>
      <c r="C1112" t="s">
        <v>3570</v>
      </c>
      <c r="D1112" t="s">
        <v>297</v>
      </c>
      <c r="E1112" t="s">
        <v>23</v>
      </c>
      <c r="F1112" t="s">
        <v>1063</v>
      </c>
      <c r="G1112" t="s">
        <v>2801</v>
      </c>
      <c r="H1112" t="s">
        <v>3571</v>
      </c>
      <c r="I1112" t="s">
        <v>3019</v>
      </c>
    </row>
    <row r="1113" spans="1:9" x14ac:dyDescent="0.3">
      <c r="A1113">
        <v>1112</v>
      </c>
      <c r="B1113">
        <v>1112</v>
      </c>
      <c r="C1113" t="s">
        <v>3572</v>
      </c>
      <c r="D1113" t="s">
        <v>10</v>
      </c>
      <c r="E1113" t="s">
        <v>58</v>
      </c>
      <c r="F1113" t="s">
        <v>754</v>
      </c>
      <c r="G1113" t="s">
        <v>3573</v>
      </c>
      <c r="H1113" t="s">
        <v>2403</v>
      </c>
      <c r="I1113" t="s">
        <v>1407</v>
      </c>
    </row>
    <row r="1114" spans="1:9" x14ac:dyDescent="0.3">
      <c r="A1114">
        <v>1113</v>
      </c>
      <c r="B1114">
        <v>1113</v>
      </c>
      <c r="C1114" t="s">
        <v>3574</v>
      </c>
      <c r="D1114" t="s">
        <v>51</v>
      </c>
      <c r="E1114" t="s">
        <v>743</v>
      </c>
      <c r="F1114" t="s">
        <v>1224</v>
      </c>
      <c r="G1114" t="s">
        <v>2376</v>
      </c>
      <c r="H1114" t="s">
        <v>2762</v>
      </c>
      <c r="I1114" t="s">
        <v>3220</v>
      </c>
    </row>
    <row r="1115" spans="1:9" x14ac:dyDescent="0.3">
      <c r="A1115">
        <v>1114</v>
      </c>
      <c r="B1115">
        <v>1114</v>
      </c>
      <c r="C1115" t="s">
        <v>3575</v>
      </c>
      <c r="D1115" t="s">
        <v>205</v>
      </c>
      <c r="E1115" t="s">
        <v>58</v>
      </c>
      <c r="F1115" t="s">
        <v>1700</v>
      </c>
      <c r="G1115" t="s">
        <v>3576</v>
      </c>
      <c r="H1115" t="s">
        <v>2756</v>
      </c>
      <c r="I1115" t="s">
        <v>586</v>
      </c>
    </row>
    <row r="1116" spans="1:9" x14ac:dyDescent="0.3">
      <c r="A1116">
        <v>1115</v>
      </c>
      <c r="B1116">
        <v>1115</v>
      </c>
      <c r="C1116" t="s">
        <v>3577</v>
      </c>
      <c r="D1116" t="s">
        <v>249</v>
      </c>
      <c r="E1116" t="s">
        <v>792</v>
      </c>
      <c r="F1116" t="s">
        <v>2753</v>
      </c>
      <c r="G1116" t="s">
        <v>2555</v>
      </c>
      <c r="H1116" t="s">
        <v>3578</v>
      </c>
      <c r="I1116" t="s">
        <v>1111</v>
      </c>
    </row>
    <row r="1117" spans="1:9" x14ac:dyDescent="0.3">
      <c r="A1117">
        <v>1116</v>
      </c>
      <c r="B1117">
        <v>1116</v>
      </c>
      <c r="C1117" t="s">
        <v>3579</v>
      </c>
      <c r="D1117" t="s">
        <v>10</v>
      </c>
      <c r="E1117" t="s">
        <v>23</v>
      </c>
      <c r="F1117" t="s">
        <v>3057</v>
      </c>
      <c r="G1117" t="s">
        <v>2376</v>
      </c>
      <c r="H1117" t="s">
        <v>2097</v>
      </c>
      <c r="I1117" t="s">
        <v>528</v>
      </c>
    </row>
    <row r="1118" spans="1:9" x14ac:dyDescent="0.3">
      <c r="A1118">
        <v>1117</v>
      </c>
      <c r="B1118">
        <v>1117</v>
      </c>
      <c r="C1118" t="s">
        <v>3580</v>
      </c>
      <c r="D1118" t="s">
        <v>10</v>
      </c>
      <c r="E1118" t="s">
        <v>715</v>
      </c>
      <c r="F1118" t="s">
        <v>3113</v>
      </c>
      <c r="G1118" t="s">
        <v>1958</v>
      </c>
      <c r="H1118" t="s">
        <v>196</v>
      </c>
      <c r="I1118" t="s">
        <v>2722</v>
      </c>
    </row>
    <row r="1119" spans="1:9" x14ac:dyDescent="0.3">
      <c r="A1119">
        <v>1118</v>
      </c>
      <c r="B1119">
        <v>1118</v>
      </c>
      <c r="C1119" t="s">
        <v>3581</v>
      </c>
      <c r="D1119" t="s">
        <v>3359</v>
      </c>
      <c r="E1119" t="s">
        <v>792</v>
      </c>
      <c r="F1119" t="s">
        <v>3582</v>
      </c>
      <c r="G1119" t="s">
        <v>2842</v>
      </c>
      <c r="H1119" t="s">
        <v>1895</v>
      </c>
      <c r="I1119" t="s">
        <v>3583</v>
      </c>
    </row>
    <row r="1120" spans="1:9" x14ac:dyDescent="0.3">
      <c r="A1120">
        <v>1119</v>
      </c>
      <c r="B1120">
        <v>1119</v>
      </c>
      <c r="C1120" t="s">
        <v>3584</v>
      </c>
      <c r="D1120" t="s">
        <v>10</v>
      </c>
      <c r="E1120" t="s">
        <v>560</v>
      </c>
      <c r="F1120" t="s">
        <v>3335</v>
      </c>
      <c r="G1120" t="s">
        <v>2471</v>
      </c>
      <c r="H1120" t="s">
        <v>252</v>
      </c>
      <c r="I1120" t="s">
        <v>2058</v>
      </c>
    </row>
    <row r="1121" spans="1:9" x14ac:dyDescent="0.3">
      <c r="A1121">
        <v>1120</v>
      </c>
      <c r="B1121">
        <v>1120</v>
      </c>
      <c r="C1121" t="s">
        <v>3585</v>
      </c>
      <c r="D1121" t="s">
        <v>10</v>
      </c>
      <c r="E1121" t="s">
        <v>64</v>
      </c>
      <c r="F1121" t="s">
        <v>821</v>
      </c>
      <c r="G1121" t="s">
        <v>3551</v>
      </c>
      <c r="H1121" t="s">
        <v>424</v>
      </c>
      <c r="I1121" t="s">
        <v>1878</v>
      </c>
    </row>
    <row r="1122" spans="1:9" x14ac:dyDescent="0.3">
      <c r="A1122">
        <v>1121</v>
      </c>
      <c r="B1122">
        <v>1121</v>
      </c>
      <c r="C1122" t="s">
        <v>3586</v>
      </c>
      <c r="D1122" t="s">
        <v>452</v>
      </c>
      <c r="E1122" t="s">
        <v>58</v>
      </c>
      <c r="F1122" t="s">
        <v>794</v>
      </c>
      <c r="G1122" t="s">
        <v>2096</v>
      </c>
      <c r="H1122" t="s">
        <v>2299</v>
      </c>
      <c r="I1122" t="s">
        <v>2626</v>
      </c>
    </row>
    <row r="1123" spans="1:9" x14ac:dyDescent="0.3">
      <c r="A1123">
        <v>1122</v>
      </c>
      <c r="B1123">
        <v>1122</v>
      </c>
      <c r="C1123" t="s">
        <v>3587</v>
      </c>
      <c r="D1123" t="s">
        <v>10</v>
      </c>
      <c r="E1123" t="s">
        <v>743</v>
      </c>
      <c r="F1123" t="s">
        <v>377</v>
      </c>
      <c r="G1123" t="s">
        <v>1737</v>
      </c>
      <c r="H1123" t="s">
        <v>2698</v>
      </c>
      <c r="I1123" t="s">
        <v>181</v>
      </c>
    </row>
    <row r="1124" spans="1:9" x14ac:dyDescent="0.3">
      <c r="A1124">
        <v>1123</v>
      </c>
      <c r="B1124">
        <v>1123</v>
      </c>
      <c r="C1124" t="s">
        <v>3588</v>
      </c>
      <c r="D1124" t="s">
        <v>10</v>
      </c>
      <c r="E1124" t="s">
        <v>141</v>
      </c>
      <c r="F1124" t="s">
        <v>2997</v>
      </c>
      <c r="G1124" t="s">
        <v>1741</v>
      </c>
      <c r="H1124" t="s">
        <v>1921</v>
      </c>
      <c r="I1124" t="s">
        <v>3589</v>
      </c>
    </row>
    <row r="1125" spans="1:9" x14ac:dyDescent="0.3">
      <c r="A1125">
        <v>1124</v>
      </c>
      <c r="B1125">
        <v>1124</v>
      </c>
      <c r="C1125" t="s">
        <v>3590</v>
      </c>
      <c r="D1125" t="s">
        <v>10</v>
      </c>
      <c r="E1125" t="s">
        <v>52</v>
      </c>
      <c r="F1125" t="s">
        <v>1482</v>
      </c>
      <c r="G1125" t="s">
        <v>2388</v>
      </c>
      <c r="H1125" t="s">
        <v>762</v>
      </c>
      <c r="I1125" t="s">
        <v>3464</v>
      </c>
    </row>
    <row r="1126" spans="1:9" x14ac:dyDescent="0.3">
      <c r="A1126">
        <v>1125</v>
      </c>
      <c r="B1126">
        <v>1125</v>
      </c>
      <c r="C1126" t="s">
        <v>3591</v>
      </c>
      <c r="D1126" t="s">
        <v>3592</v>
      </c>
      <c r="E1126" t="s">
        <v>345</v>
      </c>
      <c r="F1126" t="s">
        <v>604</v>
      </c>
      <c r="G1126" t="s">
        <v>1098</v>
      </c>
      <c r="H1126" t="s">
        <v>2481</v>
      </c>
      <c r="I1126" t="s">
        <v>2278</v>
      </c>
    </row>
    <row r="1127" spans="1:9" x14ac:dyDescent="0.3">
      <c r="A1127">
        <v>1126</v>
      </c>
      <c r="B1127">
        <v>1126</v>
      </c>
      <c r="C1127" t="s">
        <v>3593</v>
      </c>
      <c r="D1127" t="s">
        <v>2672</v>
      </c>
      <c r="E1127" t="s">
        <v>11</v>
      </c>
      <c r="F1127" t="s">
        <v>533</v>
      </c>
      <c r="G1127" t="s">
        <v>1098</v>
      </c>
      <c r="H1127" t="s">
        <v>3594</v>
      </c>
      <c r="I1127" t="s">
        <v>2772</v>
      </c>
    </row>
    <row r="1128" spans="1:9" x14ac:dyDescent="0.3">
      <c r="A1128">
        <v>1127</v>
      </c>
      <c r="B1128">
        <v>1127</v>
      </c>
      <c r="C1128" t="s">
        <v>3595</v>
      </c>
      <c r="D1128" t="s">
        <v>737</v>
      </c>
      <c r="E1128" t="s">
        <v>345</v>
      </c>
      <c r="F1128" t="s">
        <v>1164</v>
      </c>
      <c r="G1128" t="s">
        <v>1399</v>
      </c>
      <c r="H1128" t="s">
        <v>3011</v>
      </c>
      <c r="I1128" t="s">
        <v>2160</v>
      </c>
    </row>
    <row r="1129" spans="1:9" x14ac:dyDescent="0.3">
      <c r="A1129">
        <v>1128</v>
      </c>
      <c r="B1129">
        <v>1128</v>
      </c>
      <c r="C1129" t="s">
        <v>3596</v>
      </c>
      <c r="D1129" t="s">
        <v>51</v>
      </c>
      <c r="E1129" t="s">
        <v>510</v>
      </c>
      <c r="F1129" t="s">
        <v>3492</v>
      </c>
      <c r="G1129" t="s">
        <v>1506</v>
      </c>
      <c r="H1129" t="s">
        <v>3367</v>
      </c>
      <c r="I1129" t="s">
        <v>3597</v>
      </c>
    </row>
    <row r="1130" spans="1:9" x14ac:dyDescent="0.3">
      <c r="A1130">
        <v>1129</v>
      </c>
      <c r="B1130">
        <v>1129</v>
      </c>
      <c r="C1130" t="s">
        <v>3598</v>
      </c>
      <c r="D1130" t="s">
        <v>10</v>
      </c>
      <c r="E1130" t="s">
        <v>64</v>
      </c>
      <c r="F1130" t="s">
        <v>2711</v>
      </c>
      <c r="G1130" t="s">
        <v>3065</v>
      </c>
      <c r="H1130" t="s">
        <v>2882</v>
      </c>
      <c r="I1130" t="s">
        <v>3599</v>
      </c>
    </row>
    <row r="1131" spans="1:9" x14ac:dyDescent="0.3">
      <c r="A1131">
        <v>1130</v>
      </c>
      <c r="B1131">
        <v>1130</v>
      </c>
      <c r="C1131" t="s">
        <v>3600</v>
      </c>
      <c r="D1131" t="s">
        <v>10</v>
      </c>
      <c r="E1131" t="s">
        <v>98</v>
      </c>
      <c r="F1131" t="s">
        <v>3601</v>
      </c>
      <c r="G1131" t="s">
        <v>2092</v>
      </c>
      <c r="H1131" t="s">
        <v>2157</v>
      </c>
      <c r="I1131" t="s">
        <v>239</v>
      </c>
    </row>
    <row r="1132" spans="1:9" x14ac:dyDescent="0.3">
      <c r="A1132">
        <v>1131</v>
      </c>
      <c r="B1132">
        <v>1131</v>
      </c>
      <c r="C1132" t="s">
        <v>3602</v>
      </c>
      <c r="D1132" t="s">
        <v>1992</v>
      </c>
      <c r="E1132" t="s">
        <v>11</v>
      </c>
      <c r="F1132" t="s">
        <v>1345</v>
      </c>
      <c r="G1132" t="s">
        <v>1506</v>
      </c>
      <c r="H1132" t="s">
        <v>853</v>
      </c>
      <c r="I1132" t="s">
        <v>2476</v>
      </c>
    </row>
    <row r="1133" spans="1:9" x14ac:dyDescent="0.3">
      <c r="A1133">
        <v>1132</v>
      </c>
      <c r="B1133">
        <v>1132</v>
      </c>
      <c r="C1133" t="s">
        <v>3603</v>
      </c>
      <c r="D1133" t="s">
        <v>51</v>
      </c>
      <c r="E1133" t="s">
        <v>365</v>
      </c>
      <c r="F1133" t="s">
        <v>2565</v>
      </c>
      <c r="G1133" t="s">
        <v>3245</v>
      </c>
      <c r="H1133" t="s">
        <v>818</v>
      </c>
      <c r="I1133" t="s">
        <v>2515</v>
      </c>
    </row>
    <row r="1134" spans="1:9" x14ac:dyDescent="0.3">
      <c r="A1134">
        <v>1133</v>
      </c>
      <c r="B1134">
        <v>1133</v>
      </c>
      <c r="C1134" t="s">
        <v>3604</v>
      </c>
      <c r="D1134" t="s">
        <v>2329</v>
      </c>
      <c r="E1134" t="s">
        <v>11</v>
      </c>
      <c r="F1134" t="s">
        <v>2932</v>
      </c>
      <c r="G1134" t="s">
        <v>2801</v>
      </c>
      <c r="H1134" t="s">
        <v>885</v>
      </c>
      <c r="I1134" t="s">
        <v>2763</v>
      </c>
    </row>
    <row r="1135" spans="1:9" x14ac:dyDescent="0.3">
      <c r="A1135">
        <v>1134</v>
      </c>
      <c r="B1135">
        <v>1134</v>
      </c>
      <c r="C1135" t="s">
        <v>3605</v>
      </c>
      <c r="D1135" t="s">
        <v>10</v>
      </c>
      <c r="E1135" t="s">
        <v>706</v>
      </c>
      <c r="F1135" t="s">
        <v>2820</v>
      </c>
      <c r="G1135" t="s">
        <v>1563</v>
      </c>
      <c r="H1135" t="s">
        <v>1259</v>
      </c>
      <c r="I1135" t="s">
        <v>2356</v>
      </c>
    </row>
    <row r="1136" spans="1:9" x14ac:dyDescent="0.3">
      <c r="A1136">
        <v>1135</v>
      </c>
      <c r="B1136">
        <v>1135</v>
      </c>
      <c r="C1136" t="s">
        <v>3606</v>
      </c>
      <c r="D1136" t="s">
        <v>417</v>
      </c>
      <c r="E1136" t="s">
        <v>151</v>
      </c>
      <c r="F1136" t="s">
        <v>3083</v>
      </c>
      <c r="G1136" t="s">
        <v>2455</v>
      </c>
      <c r="H1136" t="s">
        <v>2540</v>
      </c>
      <c r="I1136" t="s">
        <v>2162</v>
      </c>
    </row>
    <row r="1137" spans="1:9" x14ac:dyDescent="0.3">
      <c r="A1137">
        <v>1136</v>
      </c>
      <c r="B1137">
        <v>1136</v>
      </c>
      <c r="C1137" t="s">
        <v>3607</v>
      </c>
      <c r="D1137" t="s">
        <v>417</v>
      </c>
      <c r="E1137" t="s">
        <v>706</v>
      </c>
      <c r="F1137" t="s">
        <v>2487</v>
      </c>
      <c r="G1137" t="s">
        <v>3608</v>
      </c>
      <c r="H1137" t="s">
        <v>3609</v>
      </c>
      <c r="I1137" t="s">
        <v>3610</v>
      </c>
    </row>
    <row r="1138" spans="1:9" x14ac:dyDescent="0.3">
      <c r="A1138">
        <v>1137</v>
      </c>
      <c r="B1138">
        <v>1137</v>
      </c>
      <c r="C1138" t="s">
        <v>3611</v>
      </c>
      <c r="D1138" t="s">
        <v>737</v>
      </c>
      <c r="E1138" t="s">
        <v>792</v>
      </c>
      <c r="F1138" t="s">
        <v>2978</v>
      </c>
      <c r="G1138" t="s">
        <v>2376</v>
      </c>
      <c r="H1138" t="s">
        <v>2005</v>
      </c>
      <c r="I1138" t="s">
        <v>3512</v>
      </c>
    </row>
    <row r="1139" spans="1:9" x14ac:dyDescent="0.3">
      <c r="A1139">
        <v>1138</v>
      </c>
      <c r="B1139">
        <v>1138</v>
      </c>
      <c r="C1139" t="s">
        <v>3612</v>
      </c>
      <c r="D1139" t="s">
        <v>10</v>
      </c>
      <c r="E1139" t="s">
        <v>706</v>
      </c>
      <c r="F1139" t="s">
        <v>3075</v>
      </c>
      <c r="G1139" t="s">
        <v>1768</v>
      </c>
      <c r="H1139" t="s">
        <v>629</v>
      </c>
      <c r="I1139" t="s">
        <v>1522</v>
      </c>
    </row>
    <row r="1140" spans="1:9" x14ac:dyDescent="0.3">
      <c r="A1140">
        <v>1139</v>
      </c>
      <c r="B1140">
        <v>1139</v>
      </c>
      <c r="C1140" t="s">
        <v>3613</v>
      </c>
      <c r="D1140" t="s">
        <v>10</v>
      </c>
      <c r="E1140" t="s">
        <v>52</v>
      </c>
      <c r="F1140" t="s">
        <v>3614</v>
      </c>
      <c r="G1140" t="s">
        <v>3615</v>
      </c>
      <c r="H1140" t="s">
        <v>2731</v>
      </c>
      <c r="I1140" t="s">
        <v>542</v>
      </c>
    </row>
    <row r="1141" spans="1:9" x14ac:dyDescent="0.3">
      <c r="A1141">
        <v>1140</v>
      </c>
      <c r="B1141">
        <v>1140</v>
      </c>
      <c r="C1141" t="s">
        <v>3616</v>
      </c>
      <c r="D1141" t="s">
        <v>76</v>
      </c>
      <c r="E1141" t="s">
        <v>130</v>
      </c>
      <c r="F1141" t="s">
        <v>2871</v>
      </c>
      <c r="G1141" t="s">
        <v>2376</v>
      </c>
      <c r="H1141" t="s">
        <v>2327</v>
      </c>
      <c r="I1141" t="s">
        <v>3617</v>
      </c>
    </row>
    <row r="1142" spans="1:9" x14ac:dyDescent="0.3">
      <c r="A1142">
        <v>1141</v>
      </c>
      <c r="B1142">
        <v>1141</v>
      </c>
      <c r="C1142" t="s">
        <v>3618</v>
      </c>
      <c r="D1142" t="s">
        <v>417</v>
      </c>
      <c r="E1142" t="s">
        <v>232</v>
      </c>
      <c r="F1142" t="s">
        <v>1743</v>
      </c>
      <c r="G1142" t="s">
        <v>2455</v>
      </c>
      <c r="H1142" t="s">
        <v>3327</v>
      </c>
      <c r="I1142" t="s">
        <v>692</v>
      </c>
    </row>
    <row r="1143" spans="1:9" x14ac:dyDescent="0.3">
      <c r="A1143">
        <v>1142</v>
      </c>
      <c r="B1143">
        <v>1142</v>
      </c>
      <c r="C1143" t="s">
        <v>3619</v>
      </c>
      <c r="D1143" t="s">
        <v>10</v>
      </c>
      <c r="E1143" t="s">
        <v>706</v>
      </c>
      <c r="F1143" t="s">
        <v>3620</v>
      </c>
      <c r="G1143" t="s">
        <v>1768</v>
      </c>
      <c r="H1143" t="s">
        <v>873</v>
      </c>
      <c r="I1143" t="s">
        <v>2866</v>
      </c>
    </row>
    <row r="1144" spans="1:9" x14ac:dyDescent="0.3">
      <c r="A1144">
        <v>1143</v>
      </c>
      <c r="B1144">
        <v>1143</v>
      </c>
      <c r="C1144" t="s">
        <v>3621</v>
      </c>
      <c r="D1144" t="s">
        <v>2329</v>
      </c>
      <c r="E1144" t="s">
        <v>151</v>
      </c>
      <c r="F1144" t="s">
        <v>3078</v>
      </c>
      <c r="G1144" t="s">
        <v>2376</v>
      </c>
      <c r="H1144" t="s">
        <v>2832</v>
      </c>
      <c r="I1144" t="s">
        <v>245</v>
      </c>
    </row>
    <row r="1145" spans="1:9" x14ac:dyDescent="0.3">
      <c r="A1145">
        <v>1144</v>
      </c>
      <c r="B1145">
        <v>1144</v>
      </c>
      <c r="C1145" t="s">
        <v>3622</v>
      </c>
      <c r="D1145" t="s">
        <v>10</v>
      </c>
      <c r="E1145" t="s">
        <v>58</v>
      </c>
      <c r="F1145" t="s">
        <v>1447</v>
      </c>
      <c r="G1145" t="s">
        <v>1335</v>
      </c>
      <c r="H1145" t="s">
        <v>3528</v>
      </c>
      <c r="I1145" t="s">
        <v>280</v>
      </c>
    </row>
    <row r="1146" spans="1:9" x14ac:dyDescent="0.3">
      <c r="A1146">
        <v>1145</v>
      </c>
      <c r="B1146">
        <v>1145</v>
      </c>
      <c r="C1146" t="s">
        <v>3623</v>
      </c>
      <c r="D1146" t="s">
        <v>10</v>
      </c>
      <c r="E1146" t="s">
        <v>174</v>
      </c>
      <c r="F1146" t="s">
        <v>3624</v>
      </c>
      <c r="G1146" t="s">
        <v>1556</v>
      </c>
      <c r="H1146" t="s">
        <v>3464</v>
      </c>
      <c r="I1146" t="s">
        <v>2620</v>
      </c>
    </row>
    <row r="1147" spans="1:9" x14ac:dyDescent="0.3">
      <c r="A1147">
        <v>1146</v>
      </c>
      <c r="B1147">
        <v>1146</v>
      </c>
      <c r="C1147" t="s">
        <v>3625</v>
      </c>
      <c r="D1147" t="s">
        <v>10</v>
      </c>
      <c r="E1147" t="s">
        <v>250</v>
      </c>
      <c r="F1147" t="s">
        <v>799</v>
      </c>
      <c r="G1147" t="s">
        <v>1563</v>
      </c>
      <c r="H1147" t="s">
        <v>3626</v>
      </c>
      <c r="I1147" t="s">
        <v>3627</v>
      </c>
    </row>
    <row r="1148" spans="1:9" x14ac:dyDescent="0.3">
      <c r="A1148">
        <v>1147</v>
      </c>
      <c r="B1148">
        <v>1147</v>
      </c>
      <c r="C1148" t="s">
        <v>3628</v>
      </c>
      <c r="D1148" t="s">
        <v>10</v>
      </c>
      <c r="E1148" t="s">
        <v>726</v>
      </c>
      <c r="F1148" t="s">
        <v>3629</v>
      </c>
      <c r="G1148" t="s">
        <v>1128</v>
      </c>
      <c r="H1148" t="s">
        <v>523</v>
      </c>
      <c r="I1148" t="s">
        <v>2798</v>
      </c>
    </row>
    <row r="1149" spans="1:9" x14ac:dyDescent="0.3">
      <c r="A1149">
        <v>1148</v>
      </c>
      <c r="B1149">
        <v>1148</v>
      </c>
      <c r="C1149" t="s">
        <v>3630</v>
      </c>
      <c r="D1149" t="s">
        <v>205</v>
      </c>
      <c r="E1149" t="s">
        <v>11</v>
      </c>
      <c r="F1149" t="s">
        <v>476</v>
      </c>
      <c r="G1149" t="s">
        <v>1572</v>
      </c>
      <c r="H1149" t="s">
        <v>3631</v>
      </c>
      <c r="I1149" t="s">
        <v>838</v>
      </c>
    </row>
    <row r="1150" spans="1:9" x14ac:dyDescent="0.3">
      <c r="A1150">
        <v>1149</v>
      </c>
      <c r="B1150">
        <v>1149</v>
      </c>
      <c r="C1150" t="s">
        <v>3632</v>
      </c>
      <c r="D1150" t="s">
        <v>10</v>
      </c>
      <c r="E1150" t="s">
        <v>743</v>
      </c>
      <c r="F1150" t="s">
        <v>749</v>
      </c>
      <c r="G1150" t="s">
        <v>1364</v>
      </c>
      <c r="H1150" t="s">
        <v>1168</v>
      </c>
      <c r="I1150" t="s">
        <v>1434</v>
      </c>
    </row>
    <row r="1151" spans="1:9" x14ac:dyDescent="0.3">
      <c r="A1151">
        <v>1150</v>
      </c>
      <c r="B1151">
        <v>1150</v>
      </c>
      <c r="C1151" t="s">
        <v>3633</v>
      </c>
      <c r="D1151" t="s">
        <v>2172</v>
      </c>
      <c r="E1151" t="s">
        <v>11</v>
      </c>
      <c r="F1151" t="s">
        <v>1540</v>
      </c>
      <c r="G1151" t="s">
        <v>3060</v>
      </c>
      <c r="H1151">
        <v>24</v>
      </c>
      <c r="I1151" t="s">
        <v>2798</v>
      </c>
    </row>
    <row r="1152" spans="1:9" x14ac:dyDescent="0.3">
      <c r="A1152">
        <v>1151</v>
      </c>
      <c r="B1152">
        <v>1151</v>
      </c>
      <c r="C1152" t="s">
        <v>3634</v>
      </c>
      <c r="D1152" t="s">
        <v>10</v>
      </c>
      <c r="E1152" t="s">
        <v>64</v>
      </c>
      <c r="F1152" t="s">
        <v>2215</v>
      </c>
      <c r="G1152" t="s">
        <v>3635</v>
      </c>
      <c r="H1152" t="s">
        <v>1942</v>
      </c>
      <c r="I1152" t="s">
        <v>3636</v>
      </c>
    </row>
    <row r="1153" spans="1:9" x14ac:dyDescent="0.3">
      <c r="A1153">
        <v>1152</v>
      </c>
      <c r="B1153">
        <v>1152</v>
      </c>
      <c r="C1153" t="s">
        <v>3637</v>
      </c>
      <c r="D1153" t="s">
        <v>1679</v>
      </c>
      <c r="E1153" t="s">
        <v>11</v>
      </c>
      <c r="F1153" t="s">
        <v>2589</v>
      </c>
      <c r="G1153" t="s">
        <v>2348</v>
      </c>
      <c r="H1153" t="s">
        <v>3638</v>
      </c>
      <c r="I1153" t="s">
        <v>448</v>
      </c>
    </row>
    <row r="1154" spans="1:9" x14ac:dyDescent="0.3">
      <c r="A1154">
        <v>1153</v>
      </c>
      <c r="B1154">
        <v>1153</v>
      </c>
      <c r="C1154" t="s">
        <v>3639</v>
      </c>
      <c r="D1154" t="s">
        <v>401</v>
      </c>
      <c r="E1154" t="s">
        <v>29</v>
      </c>
      <c r="F1154" t="s">
        <v>557</v>
      </c>
      <c r="G1154" t="s">
        <v>1716</v>
      </c>
      <c r="H1154" t="s">
        <v>2695</v>
      </c>
      <c r="I1154" t="s">
        <v>2229</v>
      </c>
    </row>
    <row r="1155" spans="1:9" x14ac:dyDescent="0.3">
      <c r="A1155">
        <v>1154</v>
      </c>
      <c r="B1155">
        <v>1154</v>
      </c>
      <c r="C1155" t="s">
        <v>3640</v>
      </c>
      <c r="D1155" t="s">
        <v>10</v>
      </c>
      <c r="E1155" t="s">
        <v>64</v>
      </c>
      <c r="F1155" t="s">
        <v>3548</v>
      </c>
      <c r="G1155" t="s">
        <v>1118</v>
      </c>
      <c r="H1155" t="s">
        <v>670</v>
      </c>
      <c r="I1155" t="s">
        <v>1526</v>
      </c>
    </row>
    <row r="1156" spans="1:9" x14ac:dyDescent="0.3">
      <c r="A1156">
        <v>1155</v>
      </c>
      <c r="B1156">
        <v>1155</v>
      </c>
      <c r="C1156" t="s">
        <v>3641</v>
      </c>
      <c r="D1156" t="s">
        <v>452</v>
      </c>
      <c r="E1156" t="s">
        <v>232</v>
      </c>
      <c r="F1156" t="s">
        <v>3236</v>
      </c>
      <c r="G1156" t="s">
        <v>1967</v>
      </c>
      <c r="H1156" t="s">
        <v>2777</v>
      </c>
      <c r="I1156" t="s">
        <v>25</v>
      </c>
    </row>
    <row r="1157" spans="1:9" x14ac:dyDescent="0.3">
      <c r="A1157">
        <v>1156</v>
      </c>
      <c r="B1157">
        <v>1156</v>
      </c>
      <c r="C1157" t="s">
        <v>3642</v>
      </c>
      <c r="D1157" t="s">
        <v>51</v>
      </c>
      <c r="E1157" t="s">
        <v>250</v>
      </c>
      <c r="F1157" t="s">
        <v>3643</v>
      </c>
      <c r="G1157" t="s">
        <v>2864</v>
      </c>
      <c r="H1157" t="s">
        <v>2844</v>
      </c>
      <c r="I1157" t="s">
        <v>1722</v>
      </c>
    </row>
    <row r="1158" spans="1:9" x14ac:dyDescent="0.3">
      <c r="A1158">
        <v>1157</v>
      </c>
      <c r="B1158">
        <v>1157</v>
      </c>
      <c r="C1158" t="s">
        <v>3644</v>
      </c>
      <c r="D1158" t="s">
        <v>452</v>
      </c>
      <c r="E1158" t="s">
        <v>726</v>
      </c>
      <c r="F1158" t="s">
        <v>2660</v>
      </c>
      <c r="G1158" t="s">
        <v>3475</v>
      </c>
      <c r="H1158" t="s">
        <v>191</v>
      </c>
      <c r="I1158" t="s">
        <v>1051</v>
      </c>
    </row>
    <row r="1159" spans="1:9" x14ac:dyDescent="0.3">
      <c r="A1159">
        <v>1158</v>
      </c>
      <c r="B1159">
        <v>1158</v>
      </c>
      <c r="C1159" t="s">
        <v>3645</v>
      </c>
      <c r="D1159" t="s">
        <v>10</v>
      </c>
      <c r="E1159" t="s">
        <v>743</v>
      </c>
      <c r="F1159" t="s">
        <v>624</v>
      </c>
      <c r="G1159" t="s">
        <v>1286</v>
      </c>
      <c r="H1159" t="s">
        <v>3646</v>
      </c>
      <c r="I1159" t="s">
        <v>2255</v>
      </c>
    </row>
    <row r="1160" spans="1:9" x14ac:dyDescent="0.3">
      <c r="A1160">
        <v>1159</v>
      </c>
      <c r="B1160">
        <v>1159</v>
      </c>
      <c r="C1160" t="s">
        <v>3647</v>
      </c>
      <c r="D1160" t="s">
        <v>1441</v>
      </c>
      <c r="E1160" t="s">
        <v>11</v>
      </c>
      <c r="F1160" t="s">
        <v>2042</v>
      </c>
      <c r="G1160" t="s">
        <v>1716</v>
      </c>
      <c r="H1160" t="s">
        <v>2297</v>
      </c>
      <c r="I1160" t="s">
        <v>2228</v>
      </c>
    </row>
    <row r="1161" spans="1:9" x14ac:dyDescent="0.3">
      <c r="A1161">
        <v>1160</v>
      </c>
      <c r="B1161">
        <v>1160</v>
      </c>
      <c r="C1161" t="s">
        <v>3648</v>
      </c>
      <c r="D1161" t="s">
        <v>10</v>
      </c>
      <c r="E1161" t="s">
        <v>345</v>
      </c>
      <c r="F1161" t="s">
        <v>614</v>
      </c>
      <c r="G1161" t="s">
        <v>1716</v>
      </c>
      <c r="H1161" t="s">
        <v>2512</v>
      </c>
      <c r="I1161" t="s">
        <v>262</v>
      </c>
    </row>
    <row r="1162" spans="1:9" x14ac:dyDescent="0.3">
      <c r="A1162">
        <v>1161</v>
      </c>
      <c r="B1162">
        <v>1161</v>
      </c>
      <c r="C1162" t="s">
        <v>3649</v>
      </c>
      <c r="D1162" t="s">
        <v>401</v>
      </c>
      <c r="E1162" t="s">
        <v>23</v>
      </c>
      <c r="F1162" t="s">
        <v>3479</v>
      </c>
      <c r="G1162" t="s">
        <v>915</v>
      </c>
      <c r="H1162" t="s">
        <v>3414</v>
      </c>
      <c r="I1162" t="s">
        <v>2888</v>
      </c>
    </row>
    <row r="1163" spans="1:9" x14ac:dyDescent="0.3">
      <c r="A1163">
        <v>1162</v>
      </c>
      <c r="B1163">
        <v>1162</v>
      </c>
      <c r="C1163" t="s">
        <v>3650</v>
      </c>
      <c r="D1163" t="s">
        <v>35</v>
      </c>
      <c r="E1163" t="s">
        <v>743</v>
      </c>
      <c r="F1163" t="s">
        <v>347</v>
      </c>
      <c r="G1163" t="s">
        <v>1967</v>
      </c>
      <c r="H1163" t="s">
        <v>3075</v>
      </c>
      <c r="I1163" t="s">
        <v>66</v>
      </c>
    </row>
    <row r="1164" spans="1:9" x14ac:dyDescent="0.3">
      <c r="A1164">
        <v>1163</v>
      </c>
      <c r="B1164">
        <v>1163</v>
      </c>
      <c r="C1164" t="s">
        <v>3651</v>
      </c>
      <c r="D1164" t="s">
        <v>10</v>
      </c>
      <c r="E1164" t="s">
        <v>560</v>
      </c>
      <c r="F1164" t="s">
        <v>3652</v>
      </c>
      <c r="G1164" t="s">
        <v>1098</v>
      </c>
      <c r="H1164" t="s">
        <v>377</v>
      </c>
      <c r="I1164" t="s">
        <v>2818</v>
      </c>
    </row>
    <row r="1165" spans="1:9" x14ac:dyDescent="0.3">
      <c r="A1165">
        <v>1164</v>
      </c>
      <c r="B1165">
        <v>1164</v>
      </c>
      <c r="C1165" t="s">
        <v>3653</v>
      </c>
      <c r="D1165" t="s">
        <v>35</v>
      </c>
      <c r="E1165" t="s">
        <v>726</v>
      </c>
      <c r="F1165" t="s">
        <v>280</v>
      </c>
      <c r="G1165" t="s">
        <v>1286</v>
      </c>
      <c r="H1165" t="s">
        <v>2722</v>
      </c>
      <c r="I1165" t="s">
        <v>377</v>
      </c>
    </row>
    <row r="1166" spans="1:9" x14ac:dyDescent="0.3">
      <c r="A1166">
        <v>1165</v>
      </c>
      <c r="B1166">
        <v>1165</v>
      </c>
      <c r="C1166" t="s">
        <v>3654</v>
      </c>
      <c r="D1166" t="s">
        <v>70</v>
      </c>
      <c r="E1166" t="s">
        <v>743</v>
      </c>
      <c r="F1166" t="s">
        <v>3179</v>
      </c>
      <c r="G1166" t="s">
        <v>1098</v>
      </c>
      <c r="H1166" t="s">
        <v>191</v>
      </c>
      <c r="I1166" t="s">
        <v>1979</v>
      </c>
    </row>
    <row r="1167" spans="1:9" x14ac:dyDescent="0.3">
      <c r="A1167">
        <v>1166</v>
      </c>
      <c r="B1167">
        <v>1166</v>
      </c>
      <c r="C1167" t="s">
        <v>3655</v>
      </c>
      <c r="D1167" t="s">
        <v>51</v>
      </c>
      <c r="E1167" t="s">
        <v>29</v>
      </c>
      <c r="F1167" t="s">
        <v>2238</v>
      </c>
      <c r="G1167" t="s">
        <v>2801</v>
      </c>
      <c r="H1167" t="s">
        <v>1470</v>
      </c>
      <c r="I1167" t="s">
        <v>523</v>
      </c>
    </row>
    <row r="1168" spans="1:9" x14ac:dyDescent="0.3">
      <c r="A1168">
        <v>1167</v>
      </c>
      <c r="B1168">
        <v>1167</v>
      </c>
      <c r="C1168" t="s">
        <v>3656</v>
      </c>
      <c r="D1168" t="s">
        <v>51</v>
      </c>
      <c r="E1168" t="s">
        <v>64</v>
      </c>
      <c r="F1168" t="s">
        <v>3657</v>
      </c>
      <c r="G1168" t="s">
        <v>1995</v>
      </c>
      <c r="H1168" t="s">
        <v>1417</v>
      </c>
      <c r="I1168" t="s">
        <v>3485</v>
      </c>
    </row>
    <row r="1169" spans="1:9" x14ac:dyDescent="0.3">
      <c r="A1169">
        <v>1168</v>
      </c>
      <c r="B1169">
        <v>1168</v>
      </c>
      <c r="C1169" t="s">
        <v>3658</v>
      </c>
      <c r="D1169" t="s">
        <v>51</v>
      </c>
      <c r="E1169" t="s">
        <v>243</v>
      </c>
      <c r="F1169" t="s">
        <v>3659</v>
      </c>
      <c r="G1169" t="s">
        <v>3060</v>
      </c>
      <c r="H1169" t="s">
        <v>2016</v>
      </c>
      <c r="I1169" t="s">
        <v>2476</v>
      </c>
    </row>
    <row r="1170" spans="1:9" x14ac:dyDescent="0.3">
      <c r="A1170">
        <v>1169</v>
      </c>
      <c r="B1170">
        <v>1169</v>
      </c>
      <c r="C1170" t="s">
        <v>3660</v>
      </c>
      <c r="D1170" t="s">
        <v>1441</v>
      </c>
      <c r="E1170" t="s">
        <v>151</v>
      </c>
      <c r="F1170" t="s">
        <v>2860</v>
      </c>
      <c r="G1170" t="s">
        <v>1268</v>
      </c>
      <c r="H1170" t="s">
        <v>2355</v>
      </c>
      <c r="I1170" t="s">
        <v>3335</v>
      </c>
    </row>
    <row r="1171" spans="1:9" x14ac:dyDescent="0.3">
      <c r="A1171">
        <v>1170</v>
      </c>
      <c r="B1171">
        <v>1170</v>
      </c>
      <c r="C1171" t="s">
        <v>3661</v>
      </c>
      <c r="D1171" t="s">
        <v>10</v>
      </c>
      <c r="E1171" t="s">
        <v>58</v>
      </c>
      <c r="F1171" t="s">
        <v>809</v>
      </c>
      <c r="G1171" t="s">
        <v>1286</v>
      </c>
      <c r="H1171" t="s">
        <v>2626</v>
      </c>
      <c r="I1171" t="s">
        <v>2121</v>
      </c>
    </row>
    <row r="1172" spans="1:9" x14ac:dyDescent="0.3">
      <c r="A1172">
        <v>1171</v>
      </c>
      <c r="B1172">
        <v>1171</v>
      </c>
      <c r="C1172" t="s">
        <v>3662</v>
      </c>
      <c r="D1172" t="s">
        <v>35</v>
      </c>
      <c r="E1172" t="s">
        <v>634</v>
      </c>
      <c r="F1172" t="s">
        <v>2442</v>
      </c>
      <c r="G1172" t="s">
        <v>2348</v>
      </c>
      <c r="H1172" t="s">
        <v>392</v>
      </c>
      <c r="I1172" t="s">
        <v>3663</v>
      </c>
    </row>
    <row r="1173" spans="1:9" x14ac:dyDescent="0.3">
      <c r="A1173">
        <v>1172</v>
      </c>
      <c r="B1173">
        <v>1172</v>
      </c>
      <c r="C1173" t="s">
        <v>3664</v>
      </c>
      <c r="D1173" t="s">
        <v>35</v>
      </c>
      <c r="E1173" t="s">
        <v>634</v>
      </c>
      <c r="F1173" t="s">
        <v>3515</v>
      </c>
      <c r="G1173" t="s">
        <v>3060</v>
      </c>
      <c r="H1173" t="s">
        <v>2447</v>
      </c>
      <c r="I1173" t="s">
        <v>2073</v>
      </c>
    </row>
    <row r="1174" spans="1:9" x14ac:dyDescent="0.3">
      <c r="A1174">
        <v>1173</v>
      </c>
      <c r="B1174">
        <v>1173</v>
      </c>
      <c r="C1174" t="s">
        <v>3665</v>
      </c>
      <c r="D1174" t="s">
        <v>452</v>
      </c>
      <c r="E1174" t="s">
        <v>634</v>
      </c>
      <c r="F1174" t="s">
        <v>2565</v>
      </c>
      <c r="G1174" t="s">
        <v>1737</v>
      </c>
      <c r="H1174" t="s">
        <v>2904</v>
      </c>
      <c r="I1174" t="s">
        <v>2098</v>
      </c>
    </row>
    <row r="1175" spans="1:9" x14ac:dyDescent="0.3">
      <c r="A1175">
        <v>1174</v>
      </c>
      <c r="B1175">
        <v>1174</v>
      </c>
      <c r="C1175" t="s">
        <v>3666</v>
      </c>
      <c r="D1175" t="s">
        <v>10</v>
      </c>
      <c r="E1175" t="s">
        <v>23</v>
      </c>
      <c r="F1175" t="s">
        <v>3667</v>
      </c>
      <c r="G1175" t="s">
        <v>1671</v>
      </c>
      <c r="H1175" t="s">
        <v>3668</v>
      </c>
      <c r="I1175" t="s">
        <v>838</v>
      </c>
    </row>
    <row r="1176" spans="1:9" x14ac:dyDescent="0.3">
      <c r="A1176">
        <v>1175</v>
      </c>
      <c r="B1176">
        <v>1175</v>
      </c>
      <c r="C1176" t="s">
        <v>3669</v>
      </c>
      <c r="D1176" t="s">
        <v>10</v>
      </c>
      <c r="E1176" t="s">
        <v>64</v>
      </c>
      <c r="F1176" t="s">
        <v>3034</v>
      </c>
      <c r="G1176" t="s">
        <v>1716</v>
      </c>
      <c r="H1176" t="s">
        <v>3008</v>
      </c>
      <c r="I1176" t="s">
        <v>3337</v>
      </c>
    </row>
    <row r="1177" spans="1:9" x14ac:dyDescent="0.3">
      <c r="A1177">
        <v>1176</v>
      </c>
      <c r="B1177">
        <v>1176</v>
      </c>
      <c r="C1177" t="s">
        <v>3670</v>
      </c>
      <c r="D1177" t="s">
        <v>10</v>
      </c>
      <c r="E1177" t="s">
        <v>250</v>
      </c>
      <c r="F1177" t="s">
        <v>3671</v>
      </c>
      <c r="G1177" t="s">
        <v>1958</v>
      </c>
      <c r="H1177" t="s">
        <v>3422</v>
      </c>
      <c r="I1177" t="s">
        <v>1844</v>
      </c>
    </row>
    <row r="1178" spans="1:9" x14ac:dyDescent="0.3">
      <c r="A1178">
        <v>1177</v>
      </c>
      <c r="B1178">
        <v>1177</v>
      </c>
      <c r="C1178" t="s">
        <v>3672</v>
      </c>
      <c r="D1178" t="s">
        <v>10</v>
      </c>
      <c r="E1178" t="s">
        <v>743</v>
      </c>
      <c r="F1178" t="s">
        <v>3458</v>
      </c>
      <c r="G1178" t="s">
        <v>1716</v>
      </c>
      <c r="H1178" t="s">
        <v>285</v>
      </c>
      <c r="I1178" t="s">
        <v>2162</v>
      </c>
    </row>
    <row r="1179" spans="1:9" x14ac:dyDescent="0.3">
      <c r="A1179">
        <v>1178</v>
      </c>
      <c r="B1179">
        <v>1178</v>
      </c>
      <c r="C1179" t="s">
        <v>3673</v>
      </c>
      <c r="D1179" t="s">
        <v>124</v>
      </c>
      <c r="E1179" t="s">
        <v>58</v>
      </c>
      <c r="F1179" t="s">
        <v>856</v>
      </c>
      <c r="G1179" t="s">
        <v>3551</v>
      </c>
      <c r="H1179" t="s">
        <v>3674</v>
      </c>
      <c r="I1179" t="s">
        <v>2041</v>
      </c>
    </row>
    <row r="1180" spans="1:9" x14ac:dyDescent="0.3">
      <c r="A1180">
        <v>1179</v>
      </c>
      <c r="B1180">
        <v>1179</v>
      </c>
      <c r="C1180" t="s">
        <v>3675</v>
      </c>
      <c r="D1180" t="s">
        <v>51</v>
      </c>
      <c r="E1180" t="s">
        <v>510</v>
      </c>
      <c r="F1180" t="s">
        <v>2858</v>
      </c>
      <c r="G1180" t="s">
        <v>1995</v>
      </c>
      <c r="H1180" t="s">
        <v>1620</v>
      </c>
      <c r="I1180" t="s">
        <v>3036</v>
      </c>
    </row>
    <row r="1181" spans="1:9" x14ac:dyDescent="0.3">
      <c r="A1181">
        <v>1180</v>
      </c>
      <c r="B1181">
        <v>1180</v>
      </c>
      <c r="C1181" t="s">
        <v>3676</v>
      </c>
      <c r="D1181" t="s">
        <v>2172</v>
      </c>
      <c r="E1181" t="s">
        <v>365</v>
      </c>
      <c r="F1181" t="s">
        <v>3677</v>
      </c>
      <c r="G1181" t="s">
        <v>1768</v>
      </c>
      <c r="H1181" t="s">
        <v>356</v>
      </c>
      <c r="I1181" t="s">
        <v>1464</v>
      </c>
    </row>
    <row r="1182" spans="1:9" x14ac:dyDescent="0.3">
      <c r="A1182">
        <v>1181</v>
      </c>
      <c r="B1182">
        <v>1181</v>
      </c>
      <c r="C1182" t="s">
        <v>3678</v>
      </c>
      <c r="D1182" t="s">
        <v>51</v>
      </c>
      <c r="E1182" t="s">
        <v>726</v>
      </c>
      <c r="F1182" t="s">
        <v>2522</v>
      </c>
      <c r="G1182" t="s">
        <v>2850</v>
      </c>
      <c r="H1182" t="s">
        <v>1086</v>
      </c>
      <c r="I1182" t="s">
        <v>501</v>
      </c>
    </row>
    <row r="1183" spans="1:9" x14ac:dyDescent="0.3">
      <c r="A1183">
        <v>1182</v>
      </c>
      <c r="B1183">
        <v>1182</v>
      </c>
      <c r="C1183" t="s">
        <v>3679</v>
      </c>
      <c r="D1183" t="s">
        <v>10</v>
      </c>
      <c r="E1183" t="s">
        <v>52</v>
      </c>
      <c r="F1183" t="s">
        <v>2236</v>
      </c>
      <c r="G1183" t="s">
        <v>3680</v>
      </c>
      <c r="H1183" t="s">
        <v>2659</v>
      </c>
      <c r="I1183" t="s">
        <v>1834</v>
      </c>
    </row>
    <row r="1184" spans="1:9" x14ac:dyDescent="0.3">
      <c r="A1184">
        <v>1183</v>
      </c>
      <c r="B1184">
        <v>1183</v>
      </c>
      <c r="C1184" t="s">
        <v>3681</v>
      </c>
      <c r="D1184" t="s">
        <v>10</v>
      </c>
      <c r="E1184" t="s">
        <v>706</v>
      </c>
      <c r="F1184" t="s">
        <v>1152</v>
      </c>
      <c r="G1184" t="s">
        <v>1958</v>
      </c>
      <c r="H1184" t="s">
        <v>3172</v>
      </c>
      <c r="I1184" t="s">
        <v>2016</v>
      </c>
    </row>
    <row r="1185" spans="1:9" x14ac:dyDescent="0.3">
      <c r="A1185">
        <v>1184</v>
      </c>
      <c r="B1185">
        <v>1184</v>
      </c>
      <c r="C1185" t="s">
        <v>3682</v>
      </c>
      <c r="D1185" t="s">
        <v>1632</v>
      </c>
      <c r="E1185" t="s">
        <v>345</v>
      </c>
      <c r="F1185" t="s">
        <v>3021</v>
      </c>
      <c r="G1185" t="s">
        <v>1506</v>
      </c>
      <c r="H1185" t="s">
        <v>3520</v>
      </c>
      <c r="I1185" t="s">
        <v>2854</v>
      </c>
    </row>
    <row r="1186" spans="1:9" x14ac:dyDescent="0.3">
      <c r="A1186">
        <v>1185</v>
      </c>
      <c r="B1186">
        <v>1185</v>
      </c>
      <c r="C1186" t="s">
        <v>3683</v>
      </c>
      <c r="D1186" t="s">
        <v>35</v>
      </c>
      <c r="E1186" t="s">
        <v>726</v>
      </c>
      <c r="F1186" t="s">
        <v>3684</v>
      </c>
      <c r="G1186" t="s">
        <v>1577</v>
      </c>
      <c r="H1186" t="s">
        <v>1776</v>
      </c>
      <c r="I1186" t="s">
        <v>2739</v>
      </c>
    </row>
    <row r="1187" spans="1:9" x14ac:dyDescent="0.3">
      <c r="A1187">
        <v>1186</v>
      </c>
      <c r="B1187">
        <v>1186</v>
      </c>
      <c r="C1187" t="s">
        <v>3685</v>
      </c>
      <c r="D1187" t="s">
        <v>10</v>
      </c>
      <c r="E1187" t="s">
        <v>726</v>
      </c>
      <c r="F1187" t="s">
        <v>3686</v>
      </c>
      <c r="G1187" t="s">
        <v>1118</v>
      </c>
      <c r="H1187" t="s">
        <v>162</v>
      </c>
      <c r="I1187" t="s">
        <v>1686</v>
      </c>
    </row>
    <row r="1188" spans="1:9" x14ac:dyDescent="0.3">
      <c r="A1188">
        <v>1187</v>
      </c>
      <c r="B1188">
        <v>1187</v>
      </c>
      <c r="C1188" t="s">
        <v>3687</v>
      </c>
      <c r="D1188" t="s">
        <v>124</v>
      </c>
      <c r="E1188" t="s">
        <v>510</v>
      </c>
      <c r="F1188" t="s">
        <v>1918</v>
      </c>
      <c r="G1188" t="s">
        <v>3688</v>
      </c>
      <c r="H1188" t="s">
        <v>2880</v>
      </c>
      <c r="I1188" t="s">
        <v>2904</v>
      </c>
    </row>
    <row r="1189" spans="1:9" x14ac:dyDescent="0.3">
      <c r="A1189">
        <v>1188</v>
      </c>
      <c r="B1189">
        <v>1188</v>
      </c>
      <c r="C1189" t="s">
        <v>3689</v>
      </c>
      <c r="D1189" t="s">
        <v>104</v>
      </c>
      <c r="E1189" t="s">
        <v>726</v>
      </c>
      <c r="F1189" t="s">
        <v>1680</v>
      </c>
      <c r="G1189" t="s">
        <v>1572</v>
      </c>
      <c r="H1189" t="s">
        <v>2029</v>
      </c>
      <c r="I1189" t="s">
        <v>3690</v>
      </c>
    </row>
    <row r="1190" spans="1:9" x14ac:dyDescent="0.3">
      <c r="A1190">
        <v>1189</v>
      </c>
      <c r="B1190">
        <v>1189</v>
      </c>
      <c r="C1190" t="s">
        <v>3691</v>
      </c>
      <c r="D1190" t="s">
        <v>104</v>
      </c>
      <c r="E1190" t="s">
        <v>98</v>
      </c>
      <c r="F1190">
        <v>4</v>
      </c>
      <c r="G1190" t="s">
        <v>3060</v>
      </c>
      <c r="H1190" t="s">
        <v>3111</v>
      </c>
      <c r="I1190" t="s">
        <v>2826</v>
      </c>
    </row>
    <row r="1191" spans="1:9" x14ac:dyDescent="0.3">
      <c r="A1191">
        <v>1190</v>
      </c>
      <c r="B1191">
        <v>1190</v>
      </c>
      <c r="C1191" t="s">
        <v>3692</v>
      </c>
      <c r="D1191" t="s">
        <v>10</v>
      </c>
      <c r="E1191" t="s">
        <v>130</v>
      </c>
      <c r="F1191" t="s">
        <v>512</v>
      </c>
      <c r="G1191" t="s">
        <v>1038</v>
      </c>
      <c r="H1191" t="s">
        <v>294</v>
      </c>
      <c r="I1191" t="s">
        <v>3137</v>
      </c>
    </row>
    <row r="1192" spans="1:9" x14ac:dyDescent="0.3">
      <c r="A1192">
        <v>1191</v>
      </c>
      <c r="B1192">
        <v>1191</v>
      </c>
      <c r="C1192" t="s">
        <v>3693</v>
      </c>
      <c r="D1192" t="s">
        <v>10</v>
      </c>
      <c r="E1192" t="s">
        <v>743</v>
      </c>
      <c r="F1192" t="s">
        <v>3694</v>
      </c>
      <c r="G1192" t="s">
        <v>2348</v>
      </c>
      <c r="H1192" t="s">
        <v>1046</v>
      </c>
      <c r="I1192" t="s">
        <v>1046</v>
      </c>
    </row>
    <row r="1193" spans="1:9" x14ac:dyDescent="0.3">
      <c r="A1193">
        <v>1192</v>
      </c>
      <c r="B1193">
        <v>1192</v>
      </c>
      <c r="C1193" t="s">
        <v>3695</v>
      </c>
      <c r="D1193" t="s">
        <v>737</v>
      </c>
      <c r="E1193" t="s">
        <v>243</v>
      </c>
      <c r="F1193" t="s">
        <v>3696</v>
      </c>
      <c r="G1193" t="s">
        <v>1286</v>
      </c>
      <c r="H1193" t="s">
        <v>3636</v>
      </c>
      <c r="I1193" t="s">
        <v>78</v>
      </c>
    </row>
    <row r="1194" spans="1:9" x14ac:dyDescent="0.3">
      <c r="A1194">
        <v>1193</v>
      </c>
      <c r="B1194">
        <v>1193</v>
      </c>
      <c r="C1194" t="s">
        <v>3697</v>
      </c>
      <c r="D1194" t="s">
        <v>696</v>
      </c>
      <c r="E1194" t="s">
        <v>151</v>
      </c>
      <c r="F1194" t="s">
        <v>2872</v>
      </c>
      <c r="G1194" t="s">
        <v>2801</v>
      </c>
      <c r="H1194" t="s">
        <v>2711</v>
      </c>
      <c r="I1194" t="s">
        <v>1468</v>
      </c>
    </row>
    <row r="1195" spans="1:9" x14ac:dyDescent="0.3">
      <c r="A1195">
        <v>1194</v>
      </c>
      <c r="B1195">
        <v>1194</v>
      </c>
      <c r="C1195" t="s">
        <v>3698</v>
      </c>
      <c r="D1195" t="s">
        <v>2172</v>
      </c>
      <c r="E1195" t="s">
        <v>17</v>
      </c>
      <c r="F1195" t="s">
        <v>272</v>
      </c>
      <c r="G1195" t="s">
        <v>1118</v>
      </c>
      <c r="H1195" t="s">
        <v>2136</v>
      </c>
      <c r="I1195" t="s">
        <v>218</v>
      </c>
    </row>
    <row r="1196" spans="1:9" x14ac:dyDescent="0.3">
      <c r="A1196">
        <v>1195</v>
      </c>
      <c r="B1196">
        <v>1195</v>
      </c>
      <c r="C1196" t="s">
        <v>3699</v>
      </c>
      <c r="D1196" t="s">
        <v>10</v>
      </c>
      <c r="E1196" t="s">
        <v>706</v>
      </c>
      <c r="F1196" t="s">
        <v>3626</v>
      </c>
      <c r="G1196" t="s">
        <v>1967</v>
      </c>
      <c r="H1196" t="s">
        <v>454</v>
      </c>
      <c r="I1196" t="s">
        <v>1850</v>
      </c>
    </row>
    <row r="1197" spans="1:9" x14ac:dyDescent="0.3">
      <c r="A1197">
        <v>1196</v>
      </c>
      <c r="B1197">
        <v>1196</v>
      </c>
      <c r="C1197" t="s">
        <v>3700</v>
      </c>
      <c r="D1197" t="s">
        <v>10</v>
      </c>
      <c r="E1197" t="s">
        <v>715</v>
      </c>
      <c r="F1197" t="s">
        <v>3367</v>
      </c>
      <c r="G1197" t="s">
        <v>1012</v>
      </c>
      <c r="H1197" t="s">
        <v>2500</v>
      </c>
      <c r="I1197" t="s">
        <v>2345</v>
      </c>
    </row>
    <row r="1198" spans="1:9" x14ac:dyDescent="0.3">
      <c r="A1198">
        <v>1197</v>
      </c>
      <c r="B1198">
        <v>1197</v>
      </c>
      <c r="C1198" t="s">
        <v>3701</v>
      </c>
      <c r="D1198" t="s">
        <v>51</v>
      </c>
      <c r="E1198" t="s">
        <v>510</v>
      </c>
      <c r="F1198" t="s">
        <v>2190</v>
      </c>
      <c r="G1198" t="s">
        <v>3054</v>
      </c>
      <c r="H1198" t="s">
        <v>3702</v>
      </c>
      <c r="I1198" t="s">
        <v>3703</v>
      </c>
    </row>
    <row r="1199" spans="1:9" x14ac:dyDescent="0.3">
      <c r="A1199">
        <v>1198</v>
      </c>
      <c r="B1199">
        <v>1198</v>
      </c>
      <c r="C1199" t="s">
        <v>3704</v>
      </c>
      <c r="D1199" t="s">
        <v>10</v>
      </c>
      <c r="E1199" t="s">
        <v>130</v>
      </c>
      <c r="F1199" t="s">
        <v>1921</v>
      </c>
      <c r="G1199" t="s">
        <v>1716</v>
      </c>
      <c r="H1199" t="s">
        <v>3085</v>
      </c>
      <c r="I1199" t="s">
        <v>167</v>
      </c>
    </row>
    <row r="1200" spans="1:9" x14ac:dyDescent="0.3">
      <c r="A1200">
        <v>1199</v>
      </c>
      <c r="B1200">
        <v>1199</v>
      </c>
      <c r="C1200" t="s">
        <v>3705</v>
      </c>
      <c r="D1200" t="s">
        <v>1441</v>
      </c>
      <c r="E1200" t="s">
        <v>98</v>
      </c>
      <c r="F1200" t="s">
        <v>1493</v>
      </c>
      <c r="G1200" t="s">
        <v>1741</v>
      </c>
      <c r="H1200" t="s">
        <v>3344</v>
      </c>
      <c r="I1200" t="s">
        <v>2004</v>
      </c>
    </row>
    <row r="1201" spans="1:9" x14ac:dyDescent="0.3">
      <c r="A1201">
        <v>1200</v>
      </c>
      <c r="B1201">
        <v>1200</v>
      </c>
      <c r="C1201" t="s">
        <v>3706</v>
      </c>
      <c r="D1201" t="s">
        <v>1441</v>
      </c>
      <c r="E1201" t="s">
        <v>250</v>
      </c>
      <c r="F1201" t="s">
        <v>1317</v>
      </c>
      <c r="G1201" t="s">
        <v>1768</v>
      </c>
      <c r="H1201" t="s">
        <v>1164</v>
      </c>
      <c r="I1201" t="s">
        <v>2397</v>
      </c>
    </row>
    <row r="1202" spans="1:9" x14ac:dyDescent="0.3">
      <c r="A1202">
        <v>1201</v>
      </c>
      <c r="B1202">
        <v>1201</v>
      </c>
      <c r="C1202" t="s">
        <v>3707</v>
      </c>
      <c r="D1202" t="s">
        <v>76</v>
      </c>
      <c r="E1202" t="s">
        <v>232</v>
      </c>
      <c r="F1202" t="s">
        <v>2995</v>
      </c>
      <c r="G1202" t="s">
        <v>2801</v>
      </c>
      <c r="H1202" t="s">
        <v>3342</v>
      </c>
      <c r="I1202" t="s">
        <v>2826</v>
      </c>
    </row>
    <row r="1203" spans="1:9" x14ac:dyDescent="0.3">
      <c r="A1203">
        <v>1202</v>
      </c>
      <c r="B1203">
        <v>1202</v>
      </c>
      <c r="C1203" t="s">
        <v>3708</v>
      </c>
      <c r="D1203" t="s">
        <v>10</v>
      </c>
      <c r="E1203" t="s">
        <v>510</v>
      </c>
      <c r="F1203" t="s">
        <v>2451</v>
      </c>
      <c r="G1203" t="s">
        <v>1012</v>
      </c>
      <c r="H1203" t="s">
        <v>3285</v>
      </c>
      <c r="I1203" t="s">
        <v>3419</v>
      </c>
    </row>
    <row r="1204" spans="1:9" x14ac:dyDescent="0.3">
      <c r="A1204">
        <v>1203</v>
      </c>
      <c r="B1204">
        <v>1203</v>
      </c>
      <c r="C1204" t="s">
        <v>3709</v>
      </c>
      <c r="D1204" t="s">
        <v>35</v>
      </c>
      <c r="E1204" t="s">
        <v>634</v>
      </c>
      <c r="F1204" t="s">
        <v>3000</v>
      </c>
      <c r="G1204" t="s">
        <v>2875</v>
      </c>
      <c r="H1204" t="s">
        <v>2818</v>
      </c>
      <c r="I1204" t="s">
        <v>3710</v>
      </c>
    </row>
    <row r="1205" spans="1:9" x14ac:dyDescent="0.3">
      <c r="A1205">
        <v>1204</v>
      </c>
      <c r="B1205">
        <v>1204</v>
      </c>
      <c r="C1205" t="s">
        <v>3711</v>
      </c>
      <c r="D1205" t="s">
        <v>1679</v>
      </c>
      <c r="E1205" t="s">
        <v>17</v>
      </c>
      <c r="F1205" t="s">
        <v>115</v>
      </c>
      <c r="G1205" t="s">
        <v>1572</v>
      </c>
      <c r="H1205" t="s">
        <v>3053</v>
      </c>
      <c r="I1205" t="s">
        <v>3487</v>
      </c>
    </row>
    <row r="1206" spans="1:9" x14ac:dyDescent="0.3">
      <c r="A1206">
        <v>1205</v>
      </c>
      <c r="B1206">
        <v>1205</v>
      </c>
      <c r="C1206" t="s">
        <v>3712</v>
      </c>
      <c r="D1206" t="s">
        <v>10</v>
      </c>
      <c r="E1206" t="s">
        <v>130</v>
      </c>
      <c r="F1206" t="s">
        <v>2589</v>
      </c>
      <c r="G1206" t="s">
        <v>1577</v>
      </c>
      <c r="H1206" t="s">
        <v>3002</v>
      </c>
      <c r="I1206" t="s">
        <v>2477</v>
      </c>
    </row>
    <row r="1207" spans="1:9" x14ac:dyDescent="0.3">
      <c r="A1207">
        <v>1206</v>
      </c>
      <c r="B1207">
        <v>1206</v>
      </c>
      <c r="C1207" t="s">
        <v>3713</v>
      </c>
      <c r="D1207" t="s">
        <v>51</v>
      </c>
      <c r="E1207" t="s">
        <v>365</v>
      </c>
      <c r="F1207" t="s">
        <v>2303</v>
      </c>
      <c r="G1207" t="s">
        <v>2667</v>
      </c>
      <c r="H1207" t="s">
        <v>3714</v>
      </c>
      <c r="I1207" t="s">
        <v>2173</v>
      </c>
    </row>
    <row r="1208" spans="1:9" x14ac:dyDescent="0.3">
      <c r="A1208">
        <v>1207</v>
      </c>
      <c r="B1208">
        <v>1207</v>
      </c>
      <c r="C1208" t="s">
        <v>3715</v>
      </c>
      <c r="D1208" t="s">
        <v>10</v>
      </c>
      <c r="E1208" t="s">
        <v>174</v>
      </c>
      <c r="F1208" t="s">
        <v>1552</v>
      </c>
      <c r="G1208" t="s">
        <v>1563</v>
      </c>
      <c r="H1208" t="s">
        <v>670</v>
      </c>
      <c r="I1208" t="s">
        <v>2164</v>
      </c>
    </row>
    <row r="1209" spans="1:9" x14ac:dyDescent="0.3">
      <c r="A1209">
        <v>1208</v>
      </c>
      <c r="B1209">
        <v>1208</v>
      </c>
      <c r="C1209" t="s">
        <v>3716</v>
      </c>
      <c r="D1209" t="s">
        <v>10</v>
      </c>
      <c r="E1209" t="s">
        <v>11</v>
      </c>
      <c r="F1209" t="s">
        <v>804</v>
      </c>
      <c r="G1209" t="s">
        <v>1716</v>
      </c>
      <c r="H1209" t="s">
        <v>3717</v>
      </c>
      <c r="I1209" t="s">
        <v>1936</v>
      </c>
    </row>
    <row r="1210" spans="1:9" x14ac:dyDescent="0.3">
      <c r="A1210">
        <v>1209</v>
      </c>
      <c r="B1210">
        <v>1209</v>
      </c>
      <c r="C1210" t="s">
        <v>3718</v>
      </c>
      <c r="D1210" t="s">
        <v>1441</v>
      </c>
      <c r="E1210" t="s">
        <v>11</v>
      </c>
      <c r="F1210" t="s">
        <v>191</v>
      </c>
      <c r="G1210" t="s">
        <v>3719</v>
      </c>
      <c r="H1210" t="s">
        <v>780</v>
      </c>
      <c r="I1210" t="s">
        <v>2917</v>
      </c>
    </row>
    <row r="1211" spans="1:9" x14ac:dyDescent="0.3">
      <c r="A1211">
        <v>1210</v>
      </c>
      <c r="B1211">
        <v>1210</v>
      </c>
      <c r="C1211" t="s">
        <v>3720</v>
      </c>
      <c r="D1211" t="s">
        <v>1441</v>
      </c>
      <c r="E1211" t="s">
        <v>58</v>
      </c>
      <c r="F1211" t="s">
        <v>576</v>
      </c>
      <c r="G1211" t="s">
        <v>2471</v>
      </c>
      <c r="H1211" t="s">
        <v>3721</v>
      </c>
      <c r="I1211" t="s">
        <v>2633</v>
      </c>
    </row>
    <row r="1212" spans="1:9" x14ac:dyDescent="0.3">
      <c r="A1212">
        <v>1211</v>
      </c>
      <c r="B1212">
        <v>1211</v>
      </c>
      <c r="C1212" t="s">
        <v>3722</v>
      </c>
      <c r="D1212" t="s">
        <v>1617</v>
      </c>
      <c r="E1212" t="s">
        <v>634</v>
      </c>
      <c r="F1212" t="s">
        <v>788</v>
      </c>
      <c r="G1212" t="s">
        <v>1399</v>
      </c>
      <c r="H1212" t="s">
        <v>153</v>
      </c>
      <c r="I1212" t="s">
        <v>2595</v>
      </c>
    </row>
    <row r="1213" spans="1:9" x14ac:dyDescent="0.3">
      <c r="A1213">
        <v>1212</v>
      </c>
      <c r="B1213">
        <v>1212</v>
      </c>
      <c r="C1213" t="s">
        <v>3723</v>
      </c>
      <c r="D1213" t="s">
        <v>10</v>
      </c>
      <c r="E1213" t="s">
        <v>98</v>
      </c>
      <c r="F1213" t="s">
        <v>3512</v>
      </c>
      <c r="G1213" t="s">
        <v>2842</v>
      </c>
      <c r="H1213" t="s">
        <v>2952</v>
      </c>
      <c r="I1213" t="s">
        <v>2442</v>
      </c>
    </row>
    <row r="1214" spans="1:9" x14ac:dyDescent="0.3">
      <c r="A1214">
        <v>1213</v>
      </c>
      <c r="B1214">
        <v>1213</v>
      </c>
      <c r="C1214" t="s">
        <v>3724</v>
      </c>
      <c r="D1214" t="s">
        <v>417</v>
      </c>
      <c r="E1214" t="s">
        <v>64</v>
      </c>
      <c r="F1214" t="s">
        <v>3725</v>
      </c>
      <c r="G1214" t="s">
        <v>1716</v>
      </c>
      <c r="H1214" t="s">
        <v>2633</v>
      </c>
      <c r="I1214" t="s">
        <v>3162</v>
      </c>
    </row>
    <row r="1215" spans="1:9" x14ac:dyDescent="0.3">
      <c r="A1215">
        <v>1214</v>
      </c>
      <c r="B1215">
        <v>1214</v>
      </c>
      <c r="C1215" t="s">
        <v>3726</v>
      </c>
      <c r="D1215" t="s">
        <v>1617</v>
      </c>
      <c r="E1215" t="s">
        <v>634</v>
      </c>
      <c r="F1215" t="s">
        <v>581</v>
      </c>
      <c r="G1215" t="s">
        <v>794</v>
      </c>
      <c r="H1215" t="s">
        <v>3021</v>
      </c>
      <c r="I1215" t="s">
        <v>245</v>
      </c>
    </row>
    <row r="1216" spans="1:9" x14ac:dyDescent="0.3">
      <c r="A1216">
        <v>1215</v>
      </c>
      <c r="B1216">
        <v>1215</v>
      </c>
      <c r="C1216" t="s">
        <v>3727</v>
      </c>
      <c r="D1216" t="s">
        <v>608</v>
      </c>
      <c r="E1216" t="s">
        <v>634</v>
      </c>
      <c r="F1216" t="s">
        <v>3277</v>
      </c>
      <c r="G1216" t="s">
        <v>1857</v>
      </c>
      <c r="H1216" t="s">
        <v>2587</v>
      </c>
      <c r="I1216" t="s">
        <v>2518</v>
      </c>
    </row>
    <row r="1217" spans="1:9" x14ac:dyDescent="0.3">
      <c r="A1217">
        <v>1216</v>
      </c>
      <c r="B1217">
        <v>1216</v>
      </c>
      <c r="C1217" t="s">
        <v>3728</v>
      </c>
      <c r="D1217" t="s">
        <v>70</v>
      </c>
      <c r="E1217" t="s">
        <v>23</v>
      </c>
      <c r="F1217" t="s">
        <v>2332</v>
      </c>
      <c r="G1217" t="s">
        <v>2471</v>
      </c>
      <c r="H1217" t="s">
        <v>748</v>
      </c>
      <c r="I1217" t="s">
        <v>833</v>
      </c>
    </row>
    <row r="1218" spans="1:9" x14ac:dyDescent="0.3">
      <c r="A1218">
        <v>1217</v>
      </c>
      <c r="B1218">
        <v>1217</v>
      </c>
      <c r="C1218" t="s">
        <v>3729</v>
      </c>
      <c r="D1218" t="s">
        <v>401</v>
      </c>
      <c r="E1218" t="s">
        <v>29</v>
      </c>
      <c r="F1218" t="s">
        <v>2466</v>
      </c>
      <c r="G1218" t="s">
        <v>1572</v>
      </c>
      <c r="H1218" t="s">
        <v>1735</v>
      </c>
      <c r="I1218" t="s">
        <v>1244</v>
      </c>
    </row>
    <row r="1219" spans="1:9" x14ac:dyDescent="0.3">
      <c r="A1219">
        <v>1218</v>
      </c>
      <c r="B1219">
        <v>1218</v>
      </c>
      <c r="C1219" t="s">
        <v>3730</v>
      </c>
      <c r="D1219" t="s">
        <v>10</v>
      </c>
      <c r="E1219" t="s">
        <v>58</v>
      </c>
      <c r="F1219" t="s">
        <v>3179</v>
      </c>
      <c r="G1219" t="s">
        <v>2348</v>
      </c>
      <c r="H1219" t="s">
        <v>2109</v>
      </c>
      <c r="I1219" t="s">
        <v>3659</v>
      </c>
    </row>
    <row r="1220" spans="1:9" x14ac:dyDescent="0.3">
      <c r="A1220">
        <v>1219</v>
      </c>
      <c r="B1220">
        <v>1219</v>
      </c>
      <c r="C1220" t="s">
        <v>3731</v>
      </c>
      <c r="D1220" t="s">
        <v>51</v>
      </c>
      <c r="E1220" t="s">
        <v>792</v>
      </c>
      <c r="F1220" t="s">
        <v>3732</v>
      </c>
      <c r="G1220" t="s">
        <v>3073</v>
      </c>
      <c r="H1220" t="s">
        <v>54</v>
      </c>
      <c r="I1220" t="s">
        <v>361</v>
      </c>
    </row>
    <row r="1221" spans="1:9" x14ac:dyDescent="0.3">
      <c r="A1221">
        <v>1220</v>
      </c>
      <c r="B1221">
        <v>1220</v>
      </c>
      <c r="C1221" t="s">
        <v>3733</v>
      </c>
      <c r="D1221" t="s">
        <v>10</v>
      </c>
      <c r="E1221" t="s">
        <v>634</v>
      </c>
      <c r="F1221" t="s">
        <v>3471</v>
      </c>
      <c r="G1221" t="s">
        <v>2842</v>
      </c>
      <c r="H1221" t="s">
        <v>2253</v>
      </c>
      <c r="I1221" t="s">
        <v>2978</v>
      </c>
    </row>
    <row r="1222" spans="1:9" x14ac:dyDescent="0.3">
      <c r="A1222">
        <v>1221</v>
      </c>
      <c r="B1222">
        <v>1221</v>
      </c>
      <c r="C1222" t="s">
        <v>3734</v>
      </c>
      <c r="D1222" t="s">
        <v>10</v>
      </c>
      <c r="E1222" t="s">
        <v>52</v>
      </c>
      <c r="F1222" t="s">
        <v>3735</v>
      </c>
      <c r="G1222" t="s">
        <v>1572</v>
      </c>
      <c r="H1222" t="s">
        <v>2830</v>
      </c>
      <c r="I1222" t="s">
        <v>683</v>
      </c>
    </row>
    <row r="1223" spans="1:9" x14ac:dyDescent="0.3">
      <c r="A1223">
        <v>1222</v>
      </c>
      <c r="B1223">
        <v>1222</v>
      </c>
      <c r="C1223" t="s">
        <v>3736</v>
      </c>
      <c r="D1223" t="s">
        <v>51</v>
      </c>
      <c r="E1223" t="s">
        <v>232</v>
      </c>
      <c r="F1223" t="s">
        <v>2901</v>
      </c>
      <c r="G1223" t="s">
        <v>1572</v>
      </c>
      <c r="H1223" t="s">
        <v>2714</v>
      </c>
      <c r="I1223" t="s">
        <v>207</v>
      </c>
    </row>
    <row r="1224" spans="1:9" x14ac:dyDescent="0.3">
      <c r="A1224">
        <v>1223</v>
      </c>
      <c r="B1224">
        <v>1223</v>
      </c>
      <c r="C1224" t="s">
        <v>3737</v>
      </c>
      <c r="D1224" t="s">
        <v>51</v>
      </c>
      <c r="E1224" t="s">
        <v>365</v>
      </c>
      <c r="F1224" t="s">
        <v>321</v>
      </c>
      <c r="G1224" t="s">
        <v>3738</v>
      </c>
      <c r="H1224" t="s">
        <v>920</v>
      </c>
      <c r="I1224" t="s">
        <v>2879</v>
      </c>
    </row>
    <row r="1225" spans="1:9" x14ac:dyDescent="0.3">
      <c r="A1225">
        <v>1224</v>
      </c>
      <c r="B1225">
        <v>1224</v>
      </c>
      <c r="C1225" t="s">
        <v>3739</v>
      </c>
      <c r="D1225" t="s">
        <v>51</v>
      </c>
      <c r="E1225" t="s">
        <v>634</v>
      </c>
      <c r="F1225" t="s">
        <v>3740</v>
      </c>
      <c r="G1225" t="s">
        <v>3741</v>
      </c>
      <c r="H1225" t="s">
        <v>1722</v>
      </c>
      <c r="I1225" t="s">
        <v>3742</v>
      </c>
    </row>
    <row r="1226" spans="1:9" x14ac:dyDescent="0.3">
      <c r="A1226">
        <v>1225</v>
      </c>
      <c r="B1226">
        <v>1225</v>
      </c>
      <c r="C1226" t="s">
        <v>3743</v>
      </c>
      <c r="D1226" t="s">
        <v>10</v>
      </c>
      <c r="E1226" t="s">
        <v>345</v>
      </c>
      <c r="F1226" t="s">
        <v>2073</v>
      </c>
      <c r="G1226" t="s">
        <v>3744</v>
      </c>
      <c r="H1226" t="s">
        <v>1429</v>
      </c>
      <c r="I1226" t="s">
        <v>3677</v>
      </c>
    </row>
    <row r="1227" spans="1:9" x14ac:dyDescent="0.3">
      <c r="A1227">
        <v>1226</v>
      </c>
      <c r="B1227">
        <v>1226</v>
      </c>
      <c r="C1227" t="s">
        <v>3745</v>
      </c>
      <c r="D1227" t="s">
        <v>1441</v>
      </c>
      <c r="E1227" t="s">
        <v>58</v>
      </c>
      <c r="F1227" t="s">
        <v>3746</v>
      </c>
      <c r="G1227" t="s">
        <v>3259</v>
      </c>
      <c r="H1227" t="s">
        <v>3747</v>
      </c>
      <c r="I1227" t="s">
        <v>94</v>
      </c>
    </row>
    <row r="1228" spans="1:9" x14ac:dyDescent="0.3">
      <c r="A1228">
        <v>1227</v>
      </c>
      <c r="B1228">
        <v>1227</v>
      </c>
      <c r="C1228" t="s">
        <v>3748</v>
      </c>
      <c r="D1228" t="s">
        <v>51</v>
      </c>
      <c r="E1228" t="s">
        <v>64</v>
      </c>
      <c r="F1228" t="s">
        <v>234</v>
      </c>
      <c r="G1228" t="s">
        <v>1671</v>
      </c>
      <c r="H1228" t="s">
        <v>557</v>
      </c>
      <c r="I1228" t="s">
        <v>1522</v>
      </c>
    </row>
    <row r="1229" spans="1:9" x14ac:dyDescent="0.3">
      <c r="A1229">
        <v>1228</v>
      </c>
      <c r="B1229">
        <v>1228</v>
      </c>
      <c r="C1229" t="s">
        <v>3749</v>
      </c>
      <c r="D1229" t="s">
        <v>124</v>
      </c>
      <c r="E1229" t="s">
        <v>17</v>
      </c>
      <c r="F1229" t="s">
        <v>1724</v>
      </c>
      <c r="G1229" t="s">
        <v>1967</v>
      </c>
      <c r="H1229" t="s">
        <v>2995</v>
      </c>
      <c r="I1229" t="s">
        <v>956</v>
      </c>
    </row>
    <row r="1230" spans="1:9" x14ac:dyDescent="0.3">
      <c r="A1230">
        <v>1229</v>
      </c>
      <c r="B1230">
        <v>1229</v>
      </c>
      <c r="C1230" t="s">
        <v>3750</v>
      </c>
      <c r="D1230" t="s">
        <v>51</v>
      </c>
      <c r="E1230" t="s">
        <v>64</v>
      </c>
      <c r="F1230" t="s">
        <v>2039</v>
      </c>
      <c r="G1230" t="s">
        <v>2801</v>
      </c>
      <c r="H1230" t="s">
        <v>1080</v>
      </c>
      <c r="I1230" t="s">
        <v>3011</v>
      </c>
    </row>
    <row r="1231" spans="1:9" x14ac:dyDescent="0.3">
      <c r="A1231">
        <v>1230</v>
      </c>
      <c r="B1231">
        <v>1230</v>
      </c>
      <c r="C1231" t="s">
        <v>3751</v>
      </c>
      <c r="D1231" t="s">
        <v>104</v>
      </c>
      <c r="E1231" t="s">
        <v>64</v>
      </c>
      <c r="F1231" t="s">
        <v>3053</v>
      </c>
      <c r="G1231" t="s">
        <v>2092</v>
      </c>
      <c r="H1231" t="s">
        <v>2865</v>
      </c>
      <c r="I1231" t="s">
        <v>476</v>
      </c>
    </row>
    <row r="1232" spans="1:9" x14ac:dyDescent="0.3">
      <c r="A1232">
        <v>1231</v>
      </c>
      <c r="B1232">
        <v>1231</v>
      </c>
      <c r="C1232" t="s">
        <v>3752</v>
      </c>
      <c r="D1232" t="s">
        <v>205</v>
      </c>
      <c r="E1232" t="s">
        <v>726</v>
      </c>
      <c r="F1232" t="s">
        <v>2188</v>
      </c>
      <c r="G1232" t="s">
        <v>1572</v>
      </c>
      <c r="H1232" t="s">
        <v>106</v>
      </c>
      <c r="I1232" t="s">
        <v>3583</v>
      </c>
    </row>
    <row r="1233" spans="1:9" x14ac:dyDescent="0.3">
      <c r="A1233">
        <v>1232</v>
      </c>
      <c r="B1233">
        <v>1232</v>
      </c>
      <c r="C1233" t="s">
        <v>3753</v>
      </c>
      <c r="D1233" t="s">
        <v>657</v>
      </c>
      <c r="E1233" t="s">
        <v>560</v>
      </c>
      <c r="F1233" t="s">
        <v>2608</v>
      </c>
      <c r="G1233" t="s">
        <v>2369</v>
      </c>
      <c r="H1233" t="s">
        <v>3391</v>
      </c>
      <c r="I1233" t="s">
        <v>2748</v>
      </c>
    </row>
    <row r="1234" spans="1:9" x14ac:dyDescent="0.3">
      <c r="A1234">
        <v>1233</v>
      </c>
      <c r="B1234">
        <v>1233</v>
      </c>
      <c r="C1234" t="s">
        <v>3754</v>
      </c>
      <c r="D1234" t="s">
        <v>452</v>
      </c>
      <c r="E1234" t="s">
        <v>345</v>
      </c>
      <c r="F1234" t="s">
        <v>3652</v>
      </c>
      <c r="G1234" t="s">
        <v>2348</v>
      </c>
      <c r="H1234" t="s">
        <v>2330</v>
      </c>
      <c r="I1234" t="s">
        <v>2714</v>
      </c>
    </row>
    <row r="1235" spans="1:9" x14ac:dyDescent="0.3">
      <c r="A1235">
        <v>1234</v>
      </c>
      <c r="B1235">
        <v>1234</v>
      </c>
      <c r="C1235" t="s">
        <v>3755</v>
      </c>
      <c r="D1235" t="s">
        <v>657</v>
      </c>
      <c r="E1235" t="s">
        <v>151</v>
      </c>
      <c r="F1235" t="s">
        <v>2407</v>
      </c>
      <c r="G1235" t="s">
        <v>3756</v>
      </c>
      <c r="H1235" t="s">
        <v>3108</v>
      </c>
      <c r="I1235" t="s">
        <v>1212</v>
      </c>
    </row>
    <row r="1236" spans="1:9" x14ac:dyDescent="0.3">
      <c r="A1236">
        <v>1235</v>
      </c>
      <c r="B1236">
        <v>1235</v>
      </c>
      <c r="C1236" t="s">
        <v>3757</v>
      </c>
      <c r="D1236" t="s">
        <v>10</v>
      </c>
      <c r="E1236" t="s">
        <v>29</v>
      </c>
      <c r="F1236" t="s">
        <v>3758</v>
      </c>
      <c r="G1236" t="s">
        <v>1958</v>
      </c>
      <c r="H1236" t="s">
        <v>3017</v>
      </c>
      <c r="I1236" t="s">
        <v>3759</v>
      </c>
    </row>
    <row r="1237" spans="1:9" x14ac:dyDescent="0.3">
      <c r="A1237">
        <v>1236</v>
      </c>
      <c r="B1237">
        <v>1236</v>
      </c>
      <c r="C1237" t="s">
        <v>3760</v>
      </c>
      <c r="D1237" t="s">
        <v>436</v>
      </c>
      <c r="E1237" t="s">
        <v>464</v>
      </c>
      <c r="F1237" t="s">
        <v>2339</v>
      </c>
      <c r="G1237" t="s">
        <v>2348</v>
      </c>
      <c r="H1237" t="s">
        <v>223</v>
      </c>
      <c r="I1237" t="s">
        <v>900</v>
      </c>
    </row>
    <row r="1238" spans="1:9" x14ac:dyDescent="0.3">
      <c r="A1238">
        <v>1237</v>
      </c>
      <c r="B1238">
        <v>1237</v>
      </c>
      <c r="C1238" t="s">
        <v>3761</v>
      </c>
      <c r="D1238" t="s">
        <v>417</v>
      </c>
      <c r="E1238" t="s">
        <v>634</v>
      </c>
      <c r="F1238" t="s">
        <v>3006</v>
      </c>
      <c r="G1238" t="s">
        <v>3762</v>
      </c>
      <c r="H1238" t="s">
        <v>924</v>
      </c>
      <c r="I1238" t="s">
        <v>2755</v>
      </c>
    </row>
    <row r="1239" spans="1:9" x14ac:dyDescent="0.3">
      <c r="A1239">
        <v>1238</v>
      </c>
      <c r="B1239">
        <v>1238</v>
      </c>
      <c r="C1239" t="s">
        <v>3763</v>
      </c>
      <c r="D1239" t="s">
        <v>1172</v>
      </c>
      <c r="E1239" t="s">
        <v>345</v>
      </c>
      <c r="F1239" t="s">
        <v>3085</v>
      </c>
      <c r="G1239" t="s">
        <v>1768</v>
      </c>
      <c r="H1239" t="s">
        <v>3391</v>
      </c>
      <c r="I1239" t="s">
        <v>228</v>
      </c>
    </row>
    <row r="1240" spans="1:9" x14ac:dyDescent="0.3">
      <c r="A1240">
        <v>1239</v>
      </c>
      <c r="B1240">
        <v>1239</v>
      </c>
      <c r="C1240" t="s">
        <v>3764</v>
      </c>
      <c r="D1240" t="s">
        <v>3550</v>
      </c>
      <c r="E1240" t="s">
        <v>29</v>
      </c>
      <c r="F1240" t="s">
        <v>3765</v>
      </c>
      <c r="G1240" t="s">
        <v>1572</v>
      </c>
      <c r="H1240" t="s">
        <v>2226</v>
      </c>
      <c r="I1240" t="s">
        <v>3759</v>
      </c>
    </row>
    <row r="1241" spans="1:9" x14ac:dyDescent="0.3">
      <c r="A1241">
        <v>1240</v>
      </c>
      <c r="B1241">
        <v>1240</v>
      </c>
      <c r="C1241" t="s">
        <v>3766</v>
      </c>
      <c r="D1241" t="s">
        <v>10</v>
      </c>
      <c r="E1241" t="s">
        <v>23</v>
      </c>
      <c r="F1241" t="s">
        <v>1878</v>
      </c>
      <c r="G1241" t="s">
        <v>2471</v>
      </c>
      <c r="H1241" t="s">
        <v>1918</v>
      </c>
      <c r="I1241" t="s">
        <v>3455</v>
      </c>
    </row>
    <row r="1242" spans="1:9" x14ac:dyDescent="0.3">
      <c r="A1242">
        <v>1241</v>
      </c>
      <c r="B1242">
        <v>1241</v>
      </c>
      <c r="C1242" t="s">
        <v>3767</v>
      </c>
      <c r="D1242" t="s">
        <v>297</v>
      </c>
      <c r="E1242" t="s">
        <v>634</v>
      </c>
      <c r="F1242" t="s">
        <v>3768</v>
      </c>
      <c r="G1242" t="s">
        <v>1857</v>
      </c>
      <c r="H1242" t="s">
        <v>2412</v>
      </c>
      <c r="I1242" t="s">
        <v>2201</v>
      </c>
    </row>
    <row r="1243" spans="1:9" x14ac:dyDescent="0.3">
      <c r="A1243">
        <v>1242</v>
      </c>
      <c r="B1243">
        <v>1242</v>
      </c>
      <c r="C1243" t="s">
        <v>3769</v>
      </c>
      <c r="D1243" t="s">
        <v>10</v>
      </c>
      <c r="E1243" t="s">
        <v>250</v>
      </c>
      <c r="F1243" t="s">
        <v>3536</v>
      </c>
      <c r="G1243" t="s">
        <v>2423</v>
      </c>
      <c r="H1243" t="s">
        <v>2807</v>
      </c>
      <c r="I1243" t="s">
        <v>2826</v>
      </c>
    </row>
    <row r="1244" spans="1:9" x14ac:dyDescent="0.3">
      <c r="A1244">
        <v>1243</v>
      </c>
      <c r="B1244">
        <v>1243</v>
      </c>
      <c r="C1244" t="s">
        <v>3770</v>
      </c>
      <c r="D1244" t="s">
        <v>51</v>
      </c>
      <c r="E1244" t="s">
        <v>634</v>
      </c>
      <c r="F1244" t="s">
        <v>1358</v>
      </c>
      <c r="G1244" t="s">
        <v>3376</v>
      </c>
      <c r="H1244" t="s">
        <v>2056</v>
      </c>
      <c r="I1244" t="s">
        <v>2350</v>
      </c>
    </row>
    <row r="1245" spans="1:9" x14ac:dyDescent="0.3">
      <c r="A1245">
        <v>1244</v>
      </c>
      <c r="B1245">
        <v>1244</v>
      </c>
      <c r="C1245" t="s">
        <v>3771</v>
      </c>
      <c r="D1245" t="s">
        <v>10</v>
      </c>
      <c r="E1245" t="s">
        <v>345</v>
      </c>
      <c r="F1245" t="s">
        <v>3772</v>
      </c>
      <c r="G1245" t="s">
        <v>2348</v>
      </c>
      <c r="H1245" t="s">
        <v>1155</v>
      </c>
      <c r="I1245" t="s">
        <v>3464</v>
      </c>
    </row>
    <row r="1246" spans="1:9" x14ac:dyDescent="0.3">
      <c r="A1246">
        <v>1245</v>
      </c>
      <c r="B1246">
        <v>1245</v>
      </c>
      <c r="C1246" t="s">
        <v>3773</v>
      </c>
      <c r="D1246" t="s">
        <v>249</v>
      </c>
      <c r="E1246" t="s">
        <v>687</v>
      </c>
      <c r="F1246" t="s">
        <v>3774</v>
      </c>
      <c r="G1246" t="s">
        <v>2249</v>
      </c>
      <c r="H1246" t="s">
        <v>2164</v>
      </c>
      <c r="I1246" t="s">
        <v>2466</v>
      </c>
    </row>
    <row r="1247" spans="1:9" x14ac:dyDescent="0.3">
      <c r="A1247">
        <v>1246</v>
      </c>
      <c r="B1247">
        <v>1246</v>
      </c>
      <c r="C1247" t="s">
        <v>3775</v>
      </c>
      <c r="D1247" t="s">
        <v>35</v>
      </c>
      <c r="E1247" t="s">
        <v>58</v>
      </c>
      <c r="F1247" t="s">
        <v>1123</v>
      </c>
      <c r="G1247" t="s">
        <v>2376</v>
      </c>
      <c r="H1247" t="s">
        <v>1279</v>
      </c>
      <c r="I1247" t="s">
        <v>3776</v>
      </c>
    </row>
    <row r="1248" spans="1:9" x14ac:dyDescent="0.3">
      <c r="A1248">
        <v>1247</v>
      </c>
      <c r="B1248">
        <v>1247</v>
      </c>
      <c r="C1248" t="s">
        <v>3777</v>
      </c>
      <c r="D1248" t="s">
        <v>10</v>
      </c>
      <c r="E1248" t="s">
        <v>232</v>
      </c>
      <c r="F1248" t="s">
        <v>3778</v>
      </c>
      <c r="G1248" t="s">
        <v>3635</v>
      </c>
      <c r="H1248" t="s">
        <v>3779</v>
      </c>
      <c r="I1248" t="s">
        <v>3479</v>
      </c>
    </row>
    <row r="1249" spans="1:9" x14ac:dyDescent="0.3">
      <c r="A1249">
        <v>1248</v>
      </c>
      <c r="B1249">
        <v>1248</v>
      </c>
      <c r="C1249" t="s">
        <v>3780</v>
      </c>
      <c r="D1249" t="s">
        <v>51</v>
      </c>
      <c r="E1249" t="s">
        <v>687</v>
      </c>
      <c r="F1249" t="s">
        <v>3781</v>
      </c>
      <c r="G1249" t="s">
        <v>3427</v>
      </c>
      <c r="H1249" t="s">
        <v>895</v>
      </c>
      <c r="I1249" t="s">
        <v>3365</v>
      </c>
    </row>
    <row r="1250" spans="1:9" x14ac:dyDescent="0.3">
      <c r="A1250">
        <v>1249</v>
      </c>
      <c r="B1250">
        <v>1249</v>
      </c>
      <c r="C1250" t="s">
        <v>3782</v>
      </c>
      <c r="D1250" t="s">
        <v>10</v>
      </c>
      <c r="E1250" t="s">
        <v>141</v>
      </c>
      <c r="F1250" t="s">
        <v>964</v>
      </c>
      <c r="G1250" t="s">
        <v>2369</v>
      </c>
      <c r="H1250" t="s">
        <v>557</v>
      </c>
      <c r="I1250" t="s">
        <v>2809</v>
      </c>
    </row>
    <row r="1251" spans="1:9" x14ac:dyDescent="0.3">
      <c r="A1251">
        <v>1250</v>
      </c>
      <c r="B1251">
        <v>1250</v>
      </c>
      <c r="C1251" t="s">
        <v>3783</v>
      </c>
      <c r="D1251" t="s">
        <v>2364</v>
      </c>
      <c r="E1251" t="s">
        <v>130</v>
      </c>
      <c r="F1251" t="s">
        <v>2871</v>
      </c>
      <c r="G1251" t="s">
        <v>3065</v>
      </c>
      <c r="H1251" t="s">
        <v>1816</v>
      </c>
      <c r="I1251" t="s">
        <v>2546</v>
      </c>
    </row>
    <row r="1252" spans="1:9" x14ac:dyDescent="0.3">
      <c r="A1252">
        <v>1251</v>
      </c>
      <c r="B1252">
        <v>1251</v>
      </c>
      <c r="C1252" t="s">
        <v>3784</v>
      </c>
      <c r="D1252" t="s">
        <v>51</v>
      </c>
      <c r="E1252" t="s">
        <v>687</v>
      </c>
      <c r="F1252" t="s">
        <v>2261</v>
      </c>
      <c r="G1252" t="s">
        <v>3497</v>
      </c>
      <c r="H1252" t="s">
        <v>2449</v>
      </c>
      <c r="I1252" t="s">
        <v>2926</v>
      </c>
    </row>
    <row r="1253" spans="1:9" x14ac:dyDescent="0.3">
      <c r="A1253">
        <v>1252</v>
      </c>
      <c r="B1253">
        <v>1252</v>
      </c>
      <c r="C1253" t="s">
        <v>3785</v>
      </c>
      <c r="D1253" t="s">
        <v>696</v>
      </c>
      <c r="E1253" t="s">
        <v>687</v>
      </c>
      <c r="F1253" t="s">
        <v>3285</v>
      </c>
      <c r="G1253" t="s">
        <v>3060</v>
      </c>
      <c r="H1253" t="s">
        <v>2633</v>
      </c>
      <c r="I1253" t="s">
        <v>2576</v>
      </c>
    </row>
    <row r="1254" spans="1:9" x14ac:dyDescent="0.3">
      <c r="A1254">
        <v>1253</v>
      </c>
      <c r="B1254">
        <v>1253</v>
      </c>
      <c r="C1254" t="s">
        <v>3786</v>
      </c>
      <c r="D1254" t="s">
        <v>10</v>
      </c>
      <c r="E1254" t="s">
        <v>98</v>
      </c>
      <c r="F1254" t="s">
        <v>491</v>
      </c>
      <c r="G1254" t="s">
        <v>3065</v>
      </c>
      <c r="H1254" t="s">
        <v>3787</v>
      </c>
      <c r="I1254" t="s">
        <v>990</v>
      </c>
    </row>
    <row r="1255" spans="1:9" x14ac:dyDescent="0.3">
      <c r="A1255">
        <v>1254</v>
      </c>
      <c r="B1255">
        <v>1254</v>
      </c>
      <c r="C1255" t="s">
        <v>3788</v>
      </c>
      <c r="D1255" t="s">
        <v>35</v>
      </c>
      <c r="E1255" t="s">
        <v>130</v>
      </c>
      <c r="F1255" t="s">
        <v>2844</v>
      </c>
      <c r="G1255" t="s">
        <v>1118</v>
      </c>
      <c r="H1255" t="s">
        <v>167</v>
      </c>
      <c r="I1255" t="s">
        <v>3696</v>
      </c>
    </row>
    <row r="1256" spans="1:9" x14ac:dyDescent="0.3">
      <c r="A1256">
        <v>1255</v>
      </c>
      <c r="B1256">
        <v>1255</v>
      </c>
      <c r="C1256" t="s">
        <v>3789</v>
      </c>
      <c r="D1256" t="s">
        <v>51</v>
      </c>
      <c r="E1256" t="s">
        <v>726</v>
      </c>
      <c r="F1256" t="s">
        <v>2904</v>
      </c>
      <c r="G1256" t="s">
        <v>1118</v>
      </c>
      <c r="H1256" t="s">
        <v>3404</v>
      </c>
      <c r="I1256" t="s">
        <v>2016</v>
      </c>
    </row>
    <row r="1257" spans="1:9" x14ac:dyDescent="0.3">
      <c r="A1257">
        <v>1256</v>
      </c>
      <c r="B1257">
        <v>1256</v>
      </c>
      <c r="C1257" t="s">
        <v>3790</v>
      </c>
      <c r="D1257" t="s">
        <v>51</v>
      </c>
      <c r="E1257" t="s">
        <v>98</v>
      </c>
      <c r="F1257" t="s">
        <v>995</v>
      </c>
      <c r="G1257" t="s">
        <v>1857</v>
      </c>
      <c r="H1257" t="s">
        <v>567</v>
      </c>
      <c r="I1257" t="s">
        <v>1205</v>
      </c>
    </row>
    <row r="1258" spans="1:9" x14ac:dyDescent="0.3">
      <c r="A1258">
        <v>1257</v>
      </c>
      <c r="B1258">
        <v>1257</v>
      </c>
      <c r="C1258" t="s">
        <v>3791</v>
      </c>
      <c r="D1258" t="s">
        <v>10</v>
      </c>
      <c r="E1258" t="s">
        <v>365</v>
      </c>
      <c r="F1258" t="s">
        <v>2939</v>
      </c>
      <c r="G1258" t="s">
        <v>3065</v>
      </c>
      <c r="H1258" t="s">
        <v>3792</v>
      </c>
      <c r="I1258" t="s">
        <v>1217</v>
      </c>
    </row>
    <row r="1259" spans="1:9" x14ac:dyDescent="0.3">
      <c r="A1259">
        <v>1258</v>
      </c>
      <c r="B1259">
        <v>1258</v>
      </c>
      <c r="C1259" t="s">
        <v>3793</v>
      </c>
      <c r="D1259" t="s">
        <v>51</v>
      </c>
      <c r="E1259" t="s">
        <v>52</v>
      </c>
      <c r="F1259" t="s">
        <v>2616</v>
      </c>
      <c r="G1259" t="s">
        <v>3794</v>
      </c>
      <c r="H1259" t="s">
        <v>3795</v>
      </c>
      <c r="I1259" t="s">
        <v>2820</v>
      </c>
    </row>
    <row r="1260" spans="1:9" x14ac:dyDescent="0.3">
      <c r="A1260">
        <v>1259</v>
      </c>
      <c r="B1260">
        <v>1259</v>
      </c>
      <c r="C1260" t="s">
        <v>3796</v>
      </c>
      <c r="D1260" t="s">
        <v>10</v>
      </c>
      <c r="E1260" t="s">
        <v>151</v>
      </c>
      <c r="F1260" t="s">
        <v>2407</v>
      </c>
      <c r="G1260" t="s">
        <v>3551</v>
      </c>
      <c r="H1260" t="s">
        <v>762</v>
      </c>
      <c r="I1260" t="s">
        <v>1776</v>
      </c>
    </row>
    <row r="1261" spans="1:9" x14ac:dyDescent="0.3">
      <c r="A1261">
        <v>1260</v>
      </c>
      <c r="B1261">
        <v>1260</v>
      </c>
      <c r="C1261" t="s">
        <v>3797</v>
      </c>
      <c r="D1261" t="s">
        <v>35</v>
      </c>
      <c r="E1261" t="s">
        <v>687</v>
      </c>
      <c r="F1261" t="s">
        <v>1614</v>
      </c>
      <c r="G1261" t="s">
        <v>3798</v>
      </c>
      <c r="H1261" t="s">
        <v>3799</v>
      </c>
      <c r="I1261" t="s">
        <v>2192</v>
      </c>
    </row>
    <row r="1262" spans="1:9" x14ac:dyDescent="0.3">
      <c r="A1262">
        <v>1261</v>
      </c>
      <c r="B1262">
        <v>1261</v>
      </c>
      <c r="C1262" t="s">
        <v>3800</v>
      </c>
      <c r="D1262" t="s">
        <v>2672</v>
      </c>
      <c r="E1262" t="s">
        <v>11</v>
      </c>
      <c r="F1262" t="s">
        <v>2890</v>
      </c>
      <c r="G1262" t="s">
        <v>1098</v>
      </c>
      <c r="H1262" t="s">
        <v>1179</v>
      </c>
      <c r="I1262" t="s">
        <v>3801</v>
      </c>
    </row>
    <row r="1263" spans="1:9" x14ac:dyDescent="0.3">
      <c r="A1263">
        <v>1262</v>
      </c>
      <c r="B1263">
        <v>1262</v>
      </c>
      <c r="C1263" t="s">
        <v>3802</v>
      </c>
      <c r="D1263" t="s">
        <v>10</v>
      </c>
      <c r="E1263" t="s">
        <v>232</v>
      </c>
      <c r="F1263" t="s">
        <v>767</v>
      </c>
      <c r="G1263" t="s">
        <v>1577</v>
      </c>
      <c r="H1263" t="s">
        <v>2739</v>
      </c>
      <c r="I1263" t="s">
        <v>3803</v>
      </c>
    </row>
    <row r="1264" spans="1:9" x14ac:dyDescent="0.3">
      <c r="A1264">
        <v>1263</v>
      </c>
      <c r="B1264">
        <v>1263</v>
      </c>
      <c r="C1264" t="s">
        <v>3804</v>
      </c>
      <c r="D1264" t="s">
        <v>10</v>
      </c>
      <c r="E1264" t="s">
        <v>510</v>
      </c>
      <c r="F1264" t="s">
        <v>2810</v>
      </c>
      <c r="G1264" t="s">
        <v>2423</v>
      </c>
      <c r="H1264" t="s">
        <v>3342</v>
      </c>
      <c r="I1264" t="s">
        <v>3405</v>
      </c>
    </row>
    <row r="1265" spans="1:9" x14ac:dyDescent="0.3">
      <c r="A1265">
        <v>1264</v>
      </c>
      <c r="B1265">
        <v>1264</v>
      </c>
      <c r="C1265" t="s">
        <v>3805</v>
      </c>
      <c r="D1265" t="s">
        <v>417</v>
      </c>
      <c r="E1265" t="s">
        <v>29</v>
      </c>
      <c r="F1265" t="s">
        <v>3806</v>
      </c>
      <c r="G1265" t="s">
        <v>1335</v>
      </c>
      <c r="H1265" t="s">
        <v>3807</v>
      </c>
      <c r="I1265" t="s">
        <v>2355</v>
      </c>
    </row>
    <row r="1266" spans="1:9" x14ac:dyDescent="0.3">
      <c r="A1266">
        <v>1265</v>
      </c>
      <c r="B1266">
        <v>1265</v>
      </c>
      <c r="C1266" t="s">
        <v>3808</v>
      </c>
      <c r="D1266" t="s">
        <v>51</v>
      </c>
      <c r="E1266" t="s">
        <v>11</v>
      </c>
      <c r="F1266" t="s">
        <v>1259</v>
      </c>
      <c r="G1266" t="s">
        <v>3376</v>
      </c>
      <c r="H1266" t="s">
        <v>3809</v>
      </c>
      <c r="I1266" t="s">
        <v>3301</v>
      </c>
    </row>
    <row r="1267" spans="1:9" x14ac:dyDescent="0.3">
      <c r="A1267">
        <v>1266</v>
      </c>
      <c r="B1267">
        <v>1266</v>
      </c>
      <c r="C1267" t="s">
        <v>3810</v>
      </c>
      <c r="D1267" t="s">
        <v>10</v>
      </c>
      <c r="E1267" t="s">
        <v>706</v>
      </c>
      <c r="F1267" t="s">
        <v>1724</v>
      </c>
      <c r="G1267" t="s">
        <v>2376</v>
      </c>
      <c r="H1267" t="s">
        <v>3187</v>
      </c>
      <c r="I1267" t="s">
        <v>3036</v>
      </c>
    </row>
    <row r="1268" spans="1:9" x14ac:dyDescent="0.3">
      <c r="A1268">
        <v>1267</v>
      </c>
      <c r="B1268">
        <v>1267</v>
      </c>
      <c r="C1268" t="s">
        <v>3811</v>
      </c>
      <c r="D1268" t="s">
        <v>10</v>
      </c>
      <c r="E1268" t="s">
        <v>141</v>
      </c>
      <c r="F1268" t="s">
        <v>645</v>
      </c>
      <c r="G1268" t="s">
        <v>1506</v>
      </c>
      <c r="H1268" t="s">
        <v>316</v>
      </c>
      <c r="I1268" t="s">
        <v>1528</v>
      </c>
    </row>
    <row r="1269" spans="1:9" x14ac:dyDescent="0.3">
      <c r="A1269">
        <v>1268</v>
      </c>
      <c r="B1269">
        <v>1268</v>
      </c>
      <c r="C1269" t="s">
        <v>3812</v>
      </c>
      <c r="D1269" t="s">
        <v>10</v>
      </c>
      <c r="E1269" t="s">
        <v>345</v>
      </c>
      <c r="F1269" t="s">
        <v>245</v>
      </c>
      <c r="G1269" t="s">
        <v>3813</v>
      </c>
      <c r="H1269" t="s">
        <v>3040</v>
      </c>
      <c r="I1269" t="s">
        <v>2348</v>
      </c>
    </row>
    <row r="1270" spans="1:9" x14ac:dyDescent="0.3">
      <c r="A1270">
        <v>1269</v>
      </c>
      <c r="B1270">
        <v>1269</v>
      </c>
      <c r="C1270" t="s">
        <v>3814</v>
      </c>
      <c r="D1270" t="s">
        <v>10</v>
      </c>
      <c r="E1270" t="s">
        <v>98</v>
      </c>
      <c r="F1270" t="s">
        <v>3196</v>
      </c>
      <c r="G1270" t="s">
        <v>3245</v>
      </c>
      <c r="H1270" t="s">
        <v>207</v>
      </c>
      <c r="I1270">
        <v>3</v>
      </c>
    </row>
    <row r="1271" spans="1:9" x14ac:dyDescent="0.3">
      <c r="A1271">
        <v>1270</v>
      </c>
      <c r="B1271">
        <v>1270</v>
      </c>
      <c r="C1271" t="s">
        <v>3815</v>
      </c>
      <c r="D1271" t="s">
        <v>2672</v>
      </c>
      <c r="E1271" t="s">
        <v>52</v>
      </c>
      <c r="F1271" t="s">
        <v>2526</v>
      </c>
      <c r="G1271" t="s">
        <v>1254</v>
      </c>
      <c r="H1271" t="s">
        <v>3229</v>
      </c>
      <c r="I1271" t="s">
        <v>838</v>
      </c>
    </row>
    <row r="1272" spans="1:9" x14ac:dyDescent="0.3">
      <c r="A1272">
        <v>1271</v>
      </c>
      <c r="B1272">
        <v>1271</v>
      </c>
      <c r="C1272" t="s">
        <v>3816</v>
      </c>
      <c r="D1272" t="s">
        <v>1172</v>
      </c>
      <c r="E1272" t="s">
        <v>11</v>
      </c>
      <c r="F1272" t="s">
        <v>3365</v>
      </c>
      <c r="G1272" t="s">
        <v>1958</v>
      </c>
      <c r="H1272" t="s">
        <v>3817</v>
      </c>
      <c r="I1272" t="s">
        <v>1051</v>
      </c>
    </row>
    <row r="1273" spans="1:9" x14ac:dyDescent="0.3">
      <c r="A1273">
        <v>1272</v>
      </c>
      <c r="B1273">
        <v>1272</v>
      </c>
      <c r="C1273" t="s">
        <v>3818</v>
      </c>
      <c r="D1273" t="s">
        <v>10</v>
      </c>
      <c r="E1273" t="s">
        <v>29</v>
      </c>
      <c r="F1273" t="s">
        <v>245</v>
      </c>
      <c r="G1273" t="s">
        <v>3819</v>
      </c>
      <c r="H1273" t="s">
        <v>3820</v>
      </c>
      <c r="I1273" t="s">
        <v>1021</v>
      </c>
    </row>
    <row r="1274" spans="1:9" x14ac:dyDescent="0.3">
      <c r="A1274">
        <v>1273</v>
      </c>
      <c r="B1274">
        <v>1273</v>
      </c>
      <c r="C1274" t="s">
        <v>3821</v>
      </c>
      <c r="D1274" t="s">
        <v>10</v>
      </c>
      <c r="E1274" t="s">
        <v>23</v>
      </c>
      <c r="F1274" t="s">
        <v>3405</v>
      </c>
      <c r="G1274" t="s">
        <v>2092</v>
      </c>
      <c r="H1274" t="s">
        <v>3822</v>
      </c>
      <c r="I1274" t="s">
        <v>3806</v>
      </c>
    </row>
    <row r="1275" spans="1:9" x14ac:dyDescent="0.3">
      <c r="A1275">
        <v>1274</v>
      </c>
      <c r="B1275">
        <v>1274</v>
      </c>
      <c r="C1275" t="s">
        <v>3823</v>
      </c>
      <c r="D1275" t="s">
        <v>51</v>
      </c>
      <c r="E1275" t="s">
        <v>365</v>
      </c>
      <c r="F1275" t="s">
        <v>2565</v>
      </c>
      <c r="G1275" t="s">
        <v>1572</v>
      </c>
      <c r="H1275" t="s">
        <v>3172</v>
      </c>
      <c r="I1275" t="s">
        <v>547</v>
      </c>
    </row>
    <row r="1276" spans="1:9" x14ac:dyDescent="0.3">
      <c r="A1276">
        <v>1275</v>
      </c>
      <c r="B1276">
        <v>1275</v>
      </c>
      <c r="C1276" t="s">
        <v>3824</v>
      </c>
      <c r="D1276" t="s">
        <v>51</v>
      </c>
      <c r="E1276" t="s">
        <v>98</v>
      </c>
      <c r="F1276" t="s">
        <v>873</v>
      </c>
      <c r="G1276" t="s">
        <v>2348</v>
      </c>
      <c r="H1276" t="s">
        <v>3199</v>
      </c>
      <c r="I1276" t="s">
        <v>2544</v>
      </c>
    </row>
    <row r="1277" spans="1:9" x14ac:dyDescent="0.3">
      <c r="A1277">
        <v>1276</v>
      </c>
      <c r="B1277">
        <v>1276</v>
      </c>
      <c r="C1277" t="s">
        <v>3825</v>
      </c>
      <c r="D1277" t="s">
        <v>70</v>
      </c>
      <c r="E1277" t="s">
        <v>58</v>
      </c>
      <c r="F1277" t="s">
        <v>783</v>
      </c>
      <c r="G1277" t="s">
        <v>1572</v>
      </c>
      <c r="H1277" t="s">
        <v>1985</v>
      </c>
      <c r="I1277" t="s">
        <v>2995</v>
      </c>
    </row>
    <row r="1278" spans="1:9" x14ac:dyDescent="0.3">
      <c r="A1278">
        <v>1277</v>
      </c>
      <c r="B1278">
        <v>1277</v>
      </c>
      <c r="C1278" t="s">
        <v>3826</v>
      </c>
      <c r="D1278" t="s">
        <v>297</v>
      </c>
      <c r="E1278" t="s">
        <v>11</v>
      </c>
      <c r="F1278" t="s">
        <v>397</v>
      </c>
      <c r="G1278" t="s">
        <v>2455</v>
      </c>
      <c r="H1278" t="s">
        <v>2637</v>
      </c>
      <c r="I1278" t="s">
        <v>2098</v>
      </c>
    </row>
    <row r="1279" spans="1:9" x14ac:dyDescent="0.3">
      <c r="A1279">
        <v>1278</v>
      </c>
      <c r="B1279">
        <v>1278</v>
      </c>
      <c r="C1279" t="s">
        <v>3827</v>
      </c>
      <c r="D1279" t="s">
        <v>10</v>
      </c>
      <c r="E1279" t="s">
        <v>58</v>
      </c>
      <c r="F1279" t="s">
        <v>2872</v>
      </c>
      <c r="G1279" t="s">
        <v>3756</v>
      </c>
      <c r="H1279" t="s">
        <v>1314</v>
      </c>
      <c r="I1279" t="s">
        <v>2783</v>
      </c>
    </row>
    <row r="1280" spans="1:9" x14ac:dyDescent="0.3">
      <c r="A1280">
        <v>1279</v>
      </c>
      <c r="B1280">
        <v>1279</v>
      </c>
      <c r="C1280" t="s">
        <v>3828</v>
      </c>
      <c r="D1280" t="s">
        <v>10</v>
      </c>
      <c r="E1280" t="s">
        <v>174</v>
      </c>
      <c r="F1280" t="s">
        <v>2636</v>
      </c>
      <c r="G1280" t="s">
        <v>2348</v>
      </c>
      <c r="H1280" t="s">
        <v>2526</v>
      </c>
      <c r="I1280" t="s">
        <v>3331</v>
      </c>
    </row>
    <row r="1281" spans="1:9" x14ac:dyDescent="0.3">
      <c r="A1281">
        <v>1280</v>
      </c>
      <c r="B1281">
        <v>1280</v>
      </c>
      <c r="C1281" t="s">
        <v>3829</v>
      </c>
      <c r="D1281" t="s">
        <v>249</v>
      </c>
      <c r="E1281" t="s">
        <v>250</v>
      </c>
      <c r="F1281" t="s">
        <v>586</v>
      </c>
      <c r="G1281" t="s">
        <v>3226</v>
      </c>
      <c r="H1281" t="s">
        <v>1802</v>
      </c>
      <c r="I1281" t="s">
        <v>3378</v>
      </c>
    </row>
    <row r="1282" spans="1:9" x14ac:dyDescent="0.3">
      <c r="A1282">
        <v>1281</v>
      </c>
      <c r="B1282">
        <v>1281</v>
      </c>
      <c r="C1282" t="s">
        <v>3830</v>
      </c>
      <c r="D1282" t="s">
        <v>124</v>
      </c>
      <c r="E1282" t="s">
        <v>726</v>
      </c>
      <c r="F1282" t="s">
        <v>3831</v>
      </c>
      <c r="G1282" t="s">
        <v>2850</v>
      </c>
      <c r="H1282" t="s">
        <v>2366</v>
      </c>
      <c r="I1282" t="s">
        <v>604</v>
      </c>
    </row>
    <row r="1283" spans="1:9" x14ac:dyDescent="0.3">
      <c r="A1283">
        <v>1282</v>
      </c>
      <c r="B1283">
        <v>1282</v>
      </c>
      <c r="C1283" t="s">
        <v>3832</v>
      </c>
      <c r="D1283" t="s">
        <v>10</v>
      </c>
      <c r="E1283" t="s">
        <v>634</v>
      </c>
      <c r="F1283" t="s">
        <v>3391</v>
      </c>
      <c r="G1283" t="s">
        <v>2348</v>
      </c>
      <c r="H1283" t="s">
        <v>2451</v>
      </c>
      <c r="I1283" t="s">
        <v>2971</v>
      </c>
    </row>
    <row r="1284" spans="1:9" x14ac:dyDescent="0.3">
      <c r="A1284">
        <v>1283</v>
      </c>
      <c r="B1284">
        <v>1283</v>
      </c>
      <c r="C1284" t="s">
        <v>3833</v>
      </c>
      <c r="D1284" t="s">
        <v>2364</v>
      </c>
      <c r="E1284" t="s">
        <v>11</v>
      </c>
      <c r="F1284" t="s">
        <v>1521</v>
      </c>
      <c r="G1284" t="s">
        <v>3060</v>
      </c>
      <c r="H1284" t="s">
        <v>3834</v>
      </c>
      <c r="I1284" t="s">
        <v>717</v>
      </c>
    </row>
    <row r="1285" spans="1:9" x14ac:dyDescent="0.3">
      <c r="A1285">
        <v>1284</v>
      </c>
      <c r="B1285">
        <v>1284</v>
      </c>
      <c r="C1285" t="s">
        <v>3835</v>
      </c>
      <c r="D1285" t="s">
        <v>205</v>
      </c>
      <c r="E1285" t="s">
        <v>23</v>
      </c>
      <c r="F1285" t="s">
        <v>3432</v>
      </c>
      <c r="G1285" t="s">
        <v>2092</v>
      </c>
      <c r="H1285" t="s">
        <v>1366</v>
      </c>
      <c r="I1285" t="s">
        <v>1816</v>
      </c>
    </row>
    <row r="1286" spans="1:9" x14ac:dyDescent="0.3">
      <c r="A1286">
        <v>1285</v>
      </c>
      <c r="B1286">
        <v>1285</v>
      </c>
      <c r="C1286" t="s">
        <v>3836</v>
      </c>
      <c r="D1286" t="s">
        <v>51</v>
      </c>
      <c r="E1286" t="s">
        <v>232</v>
      </c>
      <c r="F1286" t="s">
        <v>3404</v>
      </c>
      <c r="G1286" t="s">
        <v>1857</v>
      </c>
      <c r="H1286" t="s">
        <v>267</v>
      </c>
      <c r="I1286" t="s">
        <v>2537</v>
      </c>
    </row>
    <row r="1287" spans="1:9" x14ac:dyDescent="0.3">
      <c r="A1287">
        <v>1286</v>
      </c>
      <c r="B1287">
        <v>1286</v>
      </c>
      <c r="C1287" t="s">
        <v>3837</v>
      </c>
      <c r="D1287" t="s">
        <v>1172</v>
      </c>
      <c r="E1287" t="s">
        <v>11</v>
      </c>
      <c r="F1287" t="s">
        <v>3765</v>
      </c>
      <c r="G1287" t="s">
        <v>2348</v>
      </c>
      <c r="H1287" t="s">
        <v>3838</v>
      </c>
      <c r="I1287" t="s">
        <v>517</v>
      </c>
    </row>
    <row r="1288" spans="1:9" x14ac:dyDescent="0.3">
      <c r="A1288">
        <v>1287</v>
      </c>
      <c r="B1288">
        <v>1287</v>
      </c>
      <c r="C1288" t="s">
        <v>3839</v>
      </c>
      <c r="D1288" t="s">
        <v>1992</v>
      </c>
      <c r="E1288" t="s">
        <v>151</v>
      </c>
      <c r="F1288" t="s">
        <v>788</v>
      </c>
      <c r="G1288" t="s">
        <v>1563</v>
      </c>
      <c r="H1288" t="s">
        <v>3840</v>
      </c>
      <c r="I1288" t="s">
        <v>1080</v>
      </c>
    </row>
    <row r="1289" spans="1:9" x14ac:dyDescent="0.3">
      <c r="A1289">
        <v>1288</v>
      </c>
      <c r="B1289">
        <v>1288</v>
      </c>
      <c r="C1289" t="s">
        <v>3841</v>
      </c>
      <c r="D1289" t="s">
        <v>51</v>
      </c>
      <c r="E1289" t="s">
        <v>726</v>
      </c>
      <c r="F1289" t="s">
        <v>3842</v>
      </c>
      <c r="G1289" t="s">
        <v>3843</v>
      </c>
      <c r="H1289" t="s">
        <v>3120</v>
      </c>
      <c r="I1289" t="s">
        <v>377</v>
      </c>
    </row>
    <row r="1290" spans="1:9" x14ac:dyDescent="0.3">
      <c r="A1290">
        <v>1289</v>
      </c>
      <c r="B1290">
        <v>1289</v>
      </c>
      <c r="C1290" t="s">
        <v>3844</v>
      </c>
      <c r="D1290" t="s">
        <v>249</v>
      </c>
      <c r="E1290" t="s">
        <v>365</v>
      </c>
      <c r="F1290" t="s">
        <v>3470</v>
      </c>
      <c r="G1290" t="s">
        <v>3843</v>
      </c>
      <c r="H1290" t="s">
        <v>3845</v>
      </c>
      <c r="I1290" t="s">
        <v>877</v>
      </c>
    </row>
    <row r="1291" spans="1:9" x14ac:dyDescent="0.3">
      <c r="A1291">
        <v>1290</v>
      </c>
      <c r="B1291">
        <v>1290</v>
      </c>
      <c r="C1291" t="s">
        <v>3846</v>
      </c>
      <c r="D1291" t="s">
        <v>10</v>
      </c>
      <c r="E1291" t="s">
        <v>29</v>
      </c>
      <c r="F1291" t="s">
        <v>3671</v>
      </c>
      <c r="G1291" t="s">
        <v>1399</v>
      </c>
      <c r="H1291" t="s">
        <v>2278</v>
      </c>
      <c r="I1291" t="s">
        <v>3629</v>
      </c>
    </row>
    <row r="1292" spans="1:9" x14ac:dyDescent="0.3">
      <c r="A1292">
        <v>1291</v>
      </c>
      <c r="B1292">
        <v>1291</v>
      </c>
      <c r="C1292" t="s">
        <v>3847</v>
      </c>
      <c r="D1292" t="s">
        <v>10</v>
      </c>
      <c r="E1292" t="s">
        <v>634</v>
      </c>
      <c r="F1292" t="s">
        <v>403</v>
      </c>
      <c r="G1292" t="s">
        <v>1716</v>
      </c>
      <c r="H1292" t="s">
        <v>2660</v>
      </c>
      <c r="I1292" t="s">
        <v>181</v>
      </c>
    </row>
    <row r="1293" spans="1:9" x14ac:dyDescent="0.3">
      <c r="A1293">
        <v>1292</v>
      </c>
      <c r="B1293">
        <v>1292</v>
      </c>
      <c r="C1293" t="s">
        <v>3848</v>
      </c>
      <c r="D1293" t="s">
        <v>10</v>
      </c>
      <c r="E1293" t="s">
        <v>58</v>
      </c>
      <c r="F1293" t="s">
        <v>1510</v>
      </c>
      <c r="G1293" t="s">
        <v>1671</v>
      </c>
      <c r="H1293" t="s">
        <v>3849</v>
      </c>
      <c r="I1293" t="s">
        <v>1290</v>
      </c>
    </row>
    <row r="1294" spans="1:9" x14ac:dyDescent="0.3">
      <c r="A1294">
        <v>1293</v>
      </c>
      <c r="B1294">
        <v>1293</v>
      </c>
      <c r="C1294" t="s">
        <v>3850</v>
      </c>
      <c r="D1294" t="s">
        <v>104</v>
      </c>
      <c r="E1294" t="s">
        <v>58</v>
      </c>
      <c r="F1294" t="s">
        <v>1286</v>
      </c>
      <c r="G1294" t="s">
        <v>2376</v>
      </c>
      <c r="H1294" t="s">
        <v>2051</v>
      </c>
      <c r="I1294" t="s">
        <v>1063</v>
      </c>
    </row>
    <row r="1295" spans="1:9" x14ac:dyDescent="0.3">
      <c r="A1295">
        <v>1294</v>
      </c>
      <c r="B1295">
        <v>1294</v>
      </c>
      <c r="C1295" t="s">
        <v>3851</v>
      </c>
      <c r="D1295" t="s">
        <v>10</v>
      </c>
      <c r="E1295" t="s">
        <v>23</v>
      </c>
      <c r="F1295" t="s">
        <v>673</v>
      </c>
      <c r="G1295" t="s">
        <v>1335</v>
      </c>
      <c r="H1295" t="s">
        <v>3778</v>
      </c>
      <c r="I1295" t="s">
        <v>223</v>
      </c>
    </row>
    <row r="1296" spans="1:9" x14ac:dyDescent="0.3">
      <c r="A1296">
        <v>1295</v>
      </c>
      <c r="B1296">
        <v>1295</v>
      </c>
      <c r="C1296" t="s">
        <v>3852</v>
      </c>
      <c r="D1296" t="s">
        <v>10</v>
      </c>
      <c r="E1296" t="s">
        <v>726</v>
      </c>
      <c r="F1296" t="s">
        <v>3853</v>
      </c>
      <c r="G1296" t="s">
        <v>1967</v>
      </c>
      <c r="H1296" t="s">
        <v>3548</v>
      </c>
      <c r="I1296" t="s">
        <v>1046</v>
      </c>
    </row>
    <row r="1297" spans="1:9" x14ac:dyDescent="0.3">
      <c r="A1297">
        <v>1296</v>
      </c>
      <c r="B1297">
        <v>1296</v>
      </c>
      <c r="C1297" t="s">
        <v>3854</v>
      </c>
      <c r="D1297" t="s">
        <v>1617</v>
      </c>
      <c r="E1297" t="s">
        <v>17</v>
      </c>
      <c r="F1297" t="s">
        <v>2753</v>
      </c>
      <c r="G1297" t="s">
        <v>1671</v>
      </c>
      <c r="H1297" t="s">
        <v>448</v>
      </c>
      <c r="I1297" t="s">
        <v>3002</v>
      </c>
    </row>
    <row r="1298" spans="1:9" x14ac:dyDescent="0.3">
      <c r="A1298">
        <v>1297</v>
      </c>
      <c r="B1298">
        <v>1297</v>
      </c>
      <c r="C1298" t="s">
        <v>3855</v>
      </c>
      <c r="D1298" t="s">
        <v>35</v>
      </c>
      <c r="E1298" t="s">
        <v>64</v>
      </c>
      <c r="F1298" t="s">
        <v>311</v>
      </c>
      <c r="G1298" t="s">
        <v>1506</v>
      </c>
      <c r="H1298" t="s">
        <v>196</v>
      </c>
      <c r="I1298" t="s">
        <v>3344</v>
      </c>
    </row>
    <row r="1299" spans="1:9" x14ac:dyDescent="0.3">
      <c r="A1299">
        <v>1298</v>
      </c>
      <c r="B1299">
        <v>1298</v>
      </c>
      <c r="C1299" t="s">
        <v>3856</v>
      </c>
      <c r="D1299" t="s">
        <v>10</v>
      </c>
      <c r="E1299" t="s">
        <v>29</v>
      </c>
      <c r="F1299" t="s">
        <v>403</v>
      </c>
      <c r="G1299" t="s">
        <v>1335</v>
      </c>
      <c r="H1299" t="s">
        <v>272</v>
      </c>
      <c r="I1299" t="s">
        <v>2549</v>
      </c>
    </row>
    <row r="1300" spans="1:9" x14ac:dyDescent="0.3">
      <c r="A1300">
        <v>1299</v>
      </c>
      <c r="B1300">
        <v>1299</v>
      </c>
      <c r="C1300" t="s">
        <v>3857</v>
      </c>
      <c r="D1300" t="s">
        <v>2329</v>
      </c>
      <c r="E1300" t="s">
        <v>29</v>
      </c>
      <c r="F1300" t="s">
        <v>2498</v>
      </c>
      <c r="G1300" t="s">
        <v>1741</v>
      </c>
      <c r="H1300" t="s">
        <v>3003</v>
      </c>
      <c r="I1300" t="s">
        <v>403</v>
      </c>
    </row>
    <row r="1301" spans="1:9" x14ac:dyDescent="0.3">
      <c r="A1301">
        <v>1300</v>
      </c>
      <c r="B1301">
        <v>1300</v>
      </c>
      <c r="C1301" t="s">
        <v>3858</v>
      </c>
      <c r="D1301" t="s">
        <v>104</v>
      </c>
      <c r="E1301" t="s">
        <v>243</v>
      </c>
      <c r="F1301" t="s">
        <v>3671</v>
      </c>
      <c r="G1301" t="s">
        <v>1741</v>
      </c>
      <c r="H1301" t="s">
        <v>367</v>
      </c>
      <c r="I1301" t="s">
        <v>3136</v>
      </c>
    </row>
    <row r="1302" spans="1:9" x14ac:dyDescent="0.3">
      <c r="A1302">
        <v>1301</v>
      </c>
      <c r="B1302">
        <v>1301</v>
      </c>
      <c r="C1302" t="s">
        <v>3859</v>
      </c>
      <c r="D1302" t="s">
        <v>51</v>
      </c>
      <c r="E1302" t="s">
        <v>706</v>
      </c>
      <c r="F1302" t="s">
        <v>2458</v>
      </c>
      <c r="G1302">
        <v>0</v>
      </c>
      <c r="H1302" t="s">
        <v>2231</v>
      </c>
      <c r="I1302" t="s">
        <v>3470</v>
      </c>
    </row>
    <row r="1303" spans="1:9" x14ac:dyDescent="0.3">
      <c r="A1303">
        <v>1302</v>
      </c>
      <c r="B1303">
        <v>1302</v>
      </c>
      <c r="C1303" t="s">
        <v>3860</v>
      </c>
      <c r="D1303" t="s">
        <v>10</v>
      </c>
      <c r="E1303" t="s">
        <v>98</v>
      </c>
      <c r="F1303" t="s">
        <v>3265</v>
      </c>
      <c r="G1303" t="s">
        <v>3843</v>
      </c>
      <c r="H1303" t="s">
        <v>3536</v>
      </c>
      <c r="I1303" t="s">
        <v>2899</v>
      </c>
    </row>
    <row r="1304" spans="1:9" x14ac:dyDescent="0.3">
      <c r="A1304">
        <v>1303</v>
      </c>
      <c r="B1304">
        <v>1303</v>
      </c>
      <c r="C1304" t="s">
        <v>3861</v>
      </c>
      <c r="D1304" t="s">
        <v>452</v>
      </c>
      <c r="E1304" t="s">
        <v>58</v>
      </c>
      <c r="F1304" t="s">
        <v>1663</v>
      </c>
      <c r="G1304" t="s">
        <v>3862</v>
      </c>
      <c r="H1304" t="s">
        <v>3778</v>
      </c>
      <c r="I1304" t="s">
        <v>223</v>
      </c>
    </row>
    <row r="1305" spans="1:9" x14ac:dyDescent="0.3">
      <c r="A1305">
        <v>1304</v>
      </c>
      <c r="B1305">
        <v>1304</v>
      </c>
      <c r="C1305" t="s">
        <v>3863</v>
      </c>
      <c r="D1305" t="s">
        <v>2329</v>
      </c>
      <c r="E1305" t="s">
        <v>29</v>
      </c>
      <c r="F1305" t="s">
        <v>1468</v>
      </c>
      <c r="G1305" t="s">
        <v>1857</v>
      </c>
      <c r="H1305" t="s">
        <v>3864</v>
      </c>
      <c r="I1305" t="s">
        <v>910</v>
      </c>
    </row>
    <row r="1306" spans="1:9" x14ac:dyDescent="0.3">
      <c r="A1306">
        <v>1305</v>
      </c>
      <c r="B1306">
        <v>1305</v>
      </c>
      <c r="C1306" t="s">
        <v>3865</v>
      </c>
      <c r="D1306" t="s">
        <v>249</v>
      </c>
      <c r="E1306" t="s">
        <v>510</v>
      </c>
      <c r="F1306" t="s">
        <v>2115</v>
      </c>
      <c r="G1306" t="s">
        <v>1995</v>
      </c>
      <c r="H1306" t="s">
        <v>1534</v>
      </c>
      <c r="I1306" t="s">
        <v>3866</v>
      </c>
    </row>
    <row r="1307" spans="1:9" x14ac:dyDescent="0.3">
      <c r="A1307">
        <v>1306</v>
      </c>
      <c r="B1307">
        <v>1306</v>
      </c>
      <c r="C1307" t="s">
        <v>3867</v>
      </c>
      <c r="D1307" t="s">
        <v>104</v>
      </c>
      <c r="E1307" t="s">
        <v>743</v>
      </c>
      <c r="F1307" t="s">
        <v>3089</v>
      </c>
      <c r="G1307" t="s">
        <v>1716</v>
      </c>
      <c r="H1307" t="s">
        <v>3758</v>
      </c>
      <c r="I1307" t="s">
        <v>1747</v>
      </c>
    </row>
    <row r="1308" spans="1:9" x14ac:dyDescent="0.3">
      <c r="A1308">
        <v>1307</v>
      </c>
      <c r="B1308">
        <v>1307</v>
      </c>
      <c r="C1308" t="s">
        <v>3868</v>
      </c>
      <c r="D1308" t="s">
        <v>10</v>
      </c>
      <c r="E1308" t="s">
        <v>58</v>
      </c>
      <c r="F1308" t="s">
        <v>1094</v>
      </c>
      <c r="G1308" t="s">
        <v>1671</v>
      </c>
      <c r="H1308" t="s">
        <v>1611</v>
      </c>
      <c r="I1308" t="s">
        <v>2578</v>
      </c>
    </row>
    <row r="1309" spans="1:9" x14ac:dyDescent="0.3">
      <c r="A1309">
        <v>1308</v>
      </c>
      <c r="B1309">
        <v>1308</v>
      </c>
      <c r="C1309" t="s">
        <v>3869</v>
      </c>
      <c r="D1309" t="s">
        <v>1441</v>
      </c>
      <c r="E1309" t="s">
        <v>98</v>
      </c>
      <c r="F1309" t="s">
        <v>3021</v>
      </c>
      <c r="G1309" t="s">
        <v>1857</v>
      </c>
      <c r="H1309" t="s">
        <v>3566</v>
      </c>
      <c r="I1309" t="s">
        <v>2117</v>
      </c>
    </row>
    <row r="1310" spans="1:9" x14ac:dyDescent="0.3">
      <c r="A1310">
        <v>1309</v>
      </c>
      <c r="B1310">
        <v>1309</v>
      </c>
      <c r="C1310" t="s">
        <v>3870</v>
      </c>
      <c r="D1310" t="s">
        <v>10</v>
      </c>
      <c r="E1310" t="s">
        <v>52</v>
      </c>
      <c r="F1310" t="s">
        <v>2016</v>
      </c>
      <c r="G1310" t="s">
        <v>2376</v>
      </c>
      <c r="H1310" t="s">
        <v>2872</v>
      </c>
      <c r="I1310" t="s">
        <v>2971</v>
      </c>
    </row>
    <row r="1311" spans="1:9" x14ac:dyDescent="0.3">
      <c r="A1311">
        <v>1310</v>
      </c>
      <c r="B1311">
        <v>1310</v>
      </c>
      <c r="C1311" t="s">
        <v>3871</v>
      </c>
      <c r="D1311" t="s">
        <v>10</v>
      </c>
      <c r="E1311" t="s">
        <v>29</v>
      </c>
      <c r="F1311" t="s">
        <v>443</v>
      </c>
      <c r="G1311" t="s">
        <v>2471</v>
      </c>
      <c r="H1311" t="s">
        <v>3167</v>
      </c>
      <c r="I1311" t="s">
        <v>3045</v>
      </c>
    </row>
    <row r="1312" spans="1:9" x14ac:dyDescent="0.3">
      <c r="A1312">
        <v>1311</v>
      </c>
      <c r="B1312">
        <v>1311</v>
      </c>
      <c r="C1312" t="s">
        <v>3872</v>
      </c>
      <c r="D1312" t="s">
        <v>1172</v>
      </c>
      <c r="E1312" t="s">
        <v>130</v>
      </c>
      <c r="F1312" t="s">
        <v>3671</v>
      </c>
      <c r="G1312" t="s">
        <v>1335</v>
      </c>
      <c r="H1312" t="s">
        <v>3236</v>
      </c>
      <c r="I1312" t="s">
        <v>245</v>
      </c>
    </row>
    <row r="1313" spans="1:9" x14ac:dyDescent="0.3">
      <c r="A1313">
        <v>1312</v>
      </c>
      <c r="B1313">
        <v>1312</v>
      </c>
      <c r="C1313" t="s">
        <v>3873</v>
      </c>
      <c r="D1313" t="s">
        <v>2329</v>
      </c>
      <c r="E1313" t="s">
        <v>687</v>
      </c>
      <c r="F1313" t="s">
        <v>311</v>
      </c>
      <c r="G1313" t="s">
        <v>2455</v>
      </c>
      <c r="H1313" t="s">
        <v>3874</v>
      </c>
      <c r="I1313" t="s">
        <v>3875</v>
      </c>
    </row>
    <row r="1314" spans="1:9" x14ac:dyDescent="0.3">
      <c r="A1314">
        <v>1313</v>
      </c>
      <c r="B1314">
        <v>1313</v>
      </c>
      <c r="C1314" t="s">
        <v>3876</v>
      </c>
      <c r="D1314" t="s">
        <v>104</v>
      </c>
      <c r="E1314" t="s">
        <v>23</v>
      </c>
      <c r="F1314" t="s">
        <v>1724</v>
      </c>
      <c r="G1314" t="s">
        <v>3862</v>
      </c>
      <c r="H1314" t="s">
        <v>2690</v>
      </c>
      <c r="I1314" t="s">
        <v>533</v>
      </c>
    </row>
    <row r="1315" spans="1:9" x14ac:dyDescent="0.3">
      <c r="A1315">
        <v>1314</v>
      </c>
      <c r="B1315">
        <v>1314</v>
      </c>
      <c r="C1315" t="s">
        <v>3877</v>
      </c>
      <c r="D1315" t="s">
        <v>1441</v>
      </c>
      <c r="E1315" t="s">
        <v>98</v>
      </c>
      <c r="F1315" t="s">
        <v>3167</v>
      </c>
      <c r="G1315" t="s">
        <v>1577</v>
      </c>
      <c r="H1315" t="s">
        <v>3391</v>
      </c>
      <c r="I1315" t="s">
        <v>3492</v>
      </c>
    </row>
    <row r="1316" spans="1:9" x14ac:dyDescent="0.3">
      <c r="A1316">
        <v>1315</v>
      </c>
      <c r="B1316">
        <v>1315</v>
      </c>
      <c r="C1316" t="s">
        <v>3878</v>
      </c>
      <c r="D1316" t="s">
        <v>10</v>
      </c>
      <c r="E1316" t="s">
        <v>151</v>
      </c>
      <c r="F1316" t="s">
        <v>2278</v>
      </c>
      <c r="G1316" t="s">
        <v>2239</v>
      </c>
      <c r="H1316" t="s">
        <v>1427</v>
      </c>
      <c r="I1316" t="s">
        <v>3378</v>
      </c>
    </row>
    <row r="1317" spans="1:9" x14ac:dyDescent="0.3">
      <c r="A1317">
        <v>1316</v>
      </c>
      <c r="B1317">
        <v>1316</v>
      </c>
      <c r="C1317" t="s">
        <v>3879</v>
      </c>
      <c r="D1317" t="s">
        <v>35</v>
      </c>
      <c r="E1317" t="s">
        <v>726</v>
      </c>
      <c r="F1317" t="s">
        <v>443</v>
      </c>
      <c r="G1317" t="s">
        <v>1556</v>
      </c>
      <c r="H1317" t="s">
        <v>2500</v>
      </c>
      <c r="I1317" t="s">
        <v>3321</v>
      </c>
    </row>
    <row r="1318" spans="1:9" x14ac:dyDescent="0.3">
      <c r="A1318">
        <v>1317</v>
      </c>
      <c r="B1318">
        <v>1317</v>
      </c>
      <c r="C1318" t="s">
        <v>3880</v>
      </c>
      <c r="D1318" t="s">
        <v>10</v>
      </c>
      <c r="E1318" t="s">
        <v>743</v>
      </c>
      <c r="F1318" t="s">
        <v>3419</v>
      </c>
      <c r="G1318" t="s">
        <v>2348</v>
      </c>
      <c r="H1318" t="s">
        <v>629</v>
      </c>
      <c r="I1318" t="s">
        <v>3481</v>
      </c>
    </row>
    <row r="1319" spans="1:9" x14ac:dyDescent="0.3">
      <c r="A1319">
        <v>1318</v>
      </c>
      <c r="B1319">
        <v>1318</v>
      </c>
      <c r="C1319" t="s">
        <v>3881</v>
      </c>
      <c r="D1319" t="s">
        <v>1925</v>
      </c>
      <c r="E1319" t="s">
        <v>365</v>
      </c>
      <c r="F1319" t="s">
        <v>2042</v>
      </c>
      <c r="G1319" t="s">
        <v>1958</v>
      </c>
      <c r="H1319" t="s">
        <v>3510</v>
      </c>
      <c r="I1319" t="s">
        <v>2355</v>
      </c>
    </row>
    <row r="1320" spans="1:9" x14ac:dyDescent="0.3">
      <c r="A1320">
        <v>1319</v>
      </c>
      <c r="B1320">
        <v>1319</v>
      </c>
      <c r="C1320" t="s">
        <v>3882</v>
      </c>
      <c r="D1320" t="s">
        <v>70</v>
      </c>
      <c r="E1320" t="s">
        <v>23</v>
      </c>
      <c r="F1320" t="s">
        <v>2832</v>
      </c>
      <c r="G1320" t="s">
        <v>3883</v>
      </c>
      <c r="H1320" t="s">
        <v>3884</v>
      </c>
      <c r="I1320" t="s">
        <v>722</v>
      </c>
    </row>
    <row r="1321" spans="1:9" x14ac:dyDescent="0.3">
      <c r="A1321">
        <v>1320</v>
      </c>
      <c r="B1321">
        <v>1320</v>
      </c>
      <c r="C1321" t="s">
        <v>3885</v>
      </c>
      <c r="D1321" t="s">
        <v>1172</v>
      </c>
      <c r="E1321" t="s">
        <v>706</v>
      </c>
      <c r="F1321" t="s">
        <v>1182</v>
      </c>
      <c r="G1321" t="s">
        <v>2348</v>
      </c>
      <c r="H1321" t="s">
        <v>804</v>
      </c>
      <c r="I1321" t="s">
        <v>1770</v>
      </c>
    </row>
    <row r="1322" spans="1:9" x14ac:dyDescent="0.3">
      <c r="A1322">
        <v>1321</v>
      </c>
      <c r="B1322">
        <v>1321</v>
      </c>
      <c r="C1322" t="s">
        <v>3886</v>
      </c>
      <c r="D1322" t="s">
        <v>10</v>
      </c>
      <c r="E1322" t="s">
        <v>634</v>
      </c>
      <c r="F1322" t="s">
        <v>2481</v>
      </c>
      <c r="G1322" t="s">
        <v>3551</v>
      </c>
      <c r="H1322" t="s">
        <v>2260</v>
      </c>
      <c r="I1322" t="s">
        <v>614</v>
      </c>
    </row>
    <row r="1323" spans="1:9" x14ac:dyDescent="0.3">
      <c r="A1323">
        <v>1322</v>
      </c>
      <c r="B1323">
        <v>1322</v>
      </c>
      <c r="C1323" t="s">
        <v>3887</v>
      </c>
      <c r="D1323" t="s">
        <v>249</v>
      </c>
      <c r="E1323" t="s">
        <v>510</v>
      </c>
      <c r="F1323" t="s">
        <v>3528</v>
      </c>
      <c r="G1323" t="s">
        <v>3680</v>
      </c>
      <c r="H1323" t="s">
        <v>2758</v>
      </c>
      <c r="I1323" t="s">
        <v>2376</v>
      </c>
    </row>
    <row r="1324" spans="1:9" x14ac:dyDescent="0.3">
      <c r="A1324">
        <v>1323</v>
      </c>
      <c r="B1324">
        <v>1323</v>
      </c>
      <c r="C1324" t="s">
        <v>3888</v>
      </c>
      <c r="D1324" t="s">
        <v>10</v>
      </c>
      <c r="E1324" t="s">
        <v>715</v>
      </c>
      <c r="F1324" t="s">
        <v>223</v>
      </c>
      <c r="G1324" t="s">
        <v>1671</v>
      </c>
      <c r="H1324" t="s">
        <v>3801</v>
      </c>
      <c r="I1324" t="s">
        <v>3419</v>
      </c>
    </row>
    <row r="1325" spans="1:9" x14ac:dyDescent="0.3">
      <c r="A1325">
        <v>1324</v>
      </c>
      <c r="B1325">
        <v>1324</v>
      </c>
      <c r="C1325" t="s">
        <v>3889</v>
      </c>
      <c r="D1325" t="s">
        <v>1992</v>
      </c>
      <c r="E1325" t="s">
        <v>365</v>
      </c>
      <c r="F1325" t="s">
        <v>1641</v>
      </c>
      <c r="G1325" t="s">
        <v>1286</v>
      </c>
      <c r="H1325" t="s">
        <v>3176</v>
      </c>
      <c r="I1325" t="s">
        <v>3768</v>
      </c>
    </row>
    <row r="1326" spans="1:9" x14ac:dyDescent="0.3">
      <c r="A1326">
        <v>1325</v>
      </c>
      <c r="B1326">
        <v>1325</v>
      </c>
      <c r="C1326" t="s">
        <v>3890</v>
      </c>
      <c r="D1326" t="s">
        <v>205</v>
      </c>
      <c r="E1326" t="s">
        <v>11</v>
      </c>
      <c r="F1326" t="s">
        <v>2466</v>
      </c>
      <c r="G1326" t="s">
        <v>2801</v>
      </c>
      <c r="H1326" t="s">
        <v>3891</v>
      </c>
      <c r="I1326" t="s">
        <v>413</v>
      </c>
    </row>
    <row r="1327" spans="1:9" x14ac:dyDescent="0.3">
      <c r="A1327">
        <v>1326</v>
      </c>
      <c r="B1327">
        <v>1326</v>
      </c>
      <c r="C1327" t="s">
        <v>3892</v>
      </c>
      <c r="D1327" t="s">
        <v>35</v>
      </c>
      <c r="E1327" t="s">
        <v>345</v>
      </c>
      <c r="F1327" t="s">
        <v>3893</v>
      </c>
      <c r="G1327" t="s">
        <v>2348</v>
      </c>
      <c r="H1327" t="s">
        <v>2643</v>
      </c>
      <c r="I1327" t="s">
        <v>2500</v>
      </c>
    </row>
    <row r="1328" spans="1:9" x14ac:dyDescent="0.3">
      <c r="A1328">
        <v>1327</v>
      </c>
      <c r="B1328">
        <v>1327</v>
      </c>
      <c r="C1328" t="s">
        <v>3894</v>
      </c>
      <c r="D1328" t="s">
        <v>10</v>
      </c>
      <c r="E1328" t="s">
        <v>58</v>
      </c>
      <c r="F1328" t="s">
        <v>915</v>
      </c>
      <c r="G1328" t="s">
        <v>1012</v>
      </c>
      <c r="H1328" t="s">
        <v>3000</v>
      </c>
      <c r="I1328" t="s">
        <v>2565</v>
      </c>
    </row>
    <row r="1329" spans="1:9" x14ac:dyDescent="0.3">
      <c r="A1329">
        <v>1328</v>
      </c>
      <c r="B1329">
        <v>1328</v>
      </c>
      <c r="C1329" t="s">
        <v>3895</v>
      </c>
      <c r="D1329" t="s">
        <v>10</v>
      </c>
      <c r="E1329" t="s">
        <v>11</v>
      </c>
      <c r="F1329" t="s">
        <v>673</v>
      </c>
      <c r="G1329" t="s">
        <v>1506</v>
      </c>
      <c r="H1329" t="s">
        <v>407</v>
      </c>
      <c r="I1329" t="s">
        <v>3321</v>
      </c>
    </row>
    <row r="1330" spans="1:9" x14ac:dyDescent="0.3">
      <c r="A1330">
        <v>1329</v>
      </c>
      <c r="B1330">
        <v>1329</v>
      </c>
      <c r="C1330" t="s">
        <v>3896</v>
      </c>
      <c r="D1330" t="s">
        <v>10</v>
      </c>
      <c r="E1330" t="s">
        <v>23</v>
      </c>
      <c r="F1330" t="s">
        <v>3624</v>
      </c>
      <c r="G1330" t="s">
        <v>1506</v>
      </c>
      <c r="H1330" t="s">
        <v>3897</v>
      </c>
      <c r="I1330" t="s">
        <v>542</v>
      </c>
    </row>
    <row r="1331" spans="1:9" x14ac:dyDescent="0.3">
      <c r="A1331">
        <v>1330</v>
      </c>
      <c r="B1331">
        <v>1330</v>
      </c>
      <c r="C1331" t="s">
        <v>3898</v>
      </c>
      <c r="D1331" t="s">
        <v>51</v>
      </c>
      <c r="E1331" t="s">
        <v>510</v>
      </c>
      <c r="F1331" t="s">
        <v>1293</v>
      </c>
      <c r="G1331" t="s">
        <v>3551</v>
      </c>
      <c r="H1331" t="s">
        <v>3307</v>
      </c>
      <c r="I1331" t="s">
        <v>702</v>
      </c>
    </row>
    <row r="1332" spans="1:9" x14ac:dyDescent="0.3">
      <c r="A1332">
        <v>1331</v>
      </c>
      <c r="B1332">
        <v>1331</v>
      </c>
      <c r="C1332" t="s">
        <v>3899</v>
      </c>
      <c r="D1332" t="s">
        <v>737</v>
      </c>
      <c r="E1332" t="s">
        <v>17</v>
      </c>
      <c r="F1332" t="s">
        <v>2088</v>
      </c>
      <c r="G1332" t="s">
        <v>1671</v>
      </c>
      <c r="H1332" t="s">
        <v>162</v>
      </c>
      <c r="I1332" t="s">
        <v>3017</v>
      </c>
    </row>
    <row r="1333" spans="1:9" x14ac:dyDescent="0.3">
      <c r="A1333">
        <v>1332</v>
      </c>
      <c r="B1333">
        <v>1332</v>
      </c>
      <c r="C1333" t="s">
        <v>3900</v>
      </c>
      <c r="D1333" t="s">
        <v>10</v>
      </c>
      <c r="E1333" t="s">
        <v>706</v>
      </c>
      <c r="F1333" t="s">
        <v>3414</v>
      </c>
      <c r="G1333" t="s">
        <v>2471</v>
      </c>
      <c r="H1333" t="s">
        <v>1401</v>
      </c>
      <c r="I1333" t="s">
        <v>512</v>
      </c>
    </row>
    <row r="1334" spans="1:9" x14ac:dyDescent="0.3">
      <c r="A1334">
        <v>1333</v>
      </c>
      <c r="B1334">
        <v>1333</v>
      </c>
      <c r="C1334" t="s">
        <v>3901</v>
      </c>
      <c r="D1334" t="s">
        <v>51</v>
      </c>
      <c r="E1334" t="s">
        <v>706</v>
      </c>
      <c r="F1334" t="s">
        <v>3019</v>
      </c>
      <c r="G1334" t="s">
        <v>3060</v>
      </c>
      <c r="H1334">
        <v>4</v>
      </c>
      <c r="I1334" t="s">
        <v>1102</v>
      </c>
    </row>
    <row r="1335" spans="1:9" x14ac:dyDescent="0.3">
      <c r="A1335">
        <v>1334</v>
      </c>
      <c r="B1335">
        <v>1334</v>
      </c>
      <c r="C1335" t="s">
        <v>3902</v>
      </c>
      <c r="D1335" t="s">
        <v>104</v>
      </c>
      <c r="E1335" t="s">
        <v>726</v>
      </c>
      <c r="F1335" t="s">
        <v>3864</v>
      </c>
      <c r="G1335" t="s">
        <v>3060</v>
      </c>
      <c r="H1335" t="s">
        <v>2136</v>
      </c>
      <c r="I1335" t="s">
        <v>443</v>
      </c>
    </row>
    <row r="1336" spans="1:9" x14ac:dyDescent="0.3">
      <c r="A1336">
        <v>1335</v>
      </c>
      <c r="B1336">
        <v>1335</v>
      </c>
      <c r="C1336" t="s">
        <v>3903</v>
      </c>
      <c r="D1336" t="s">
        <v>51</v>
      </c>
      <c r="E1336" t="s">
        <v>250</v>
      </c>
      <c r="F1336" t="s">
        <v>2041</v>
      </c>
      <c r="G1336" t="s">
        <v>1910</v>
      </c>
      <c r="H1336" t="s">
        <v>78</v>
      </c>
      <c r="I1336" t="s">
        <v>2274</v>
      </c>
    </row>
    <row r="1337" spans="1:9" x14ac:dyDescent="0.3">
      <c r="A1337">
        <v>1336</v>
      </c>
      <c r="B1337">
        <v>1336</v>
      </c>
      <c r="C1337" t="s">
        <v>3904</v>
      </c>
      <c r="D1337" t="s">
        <v>10</v>
      </c>
      <c r="E1337" t="s">
        <v>130</v>
      </c>
      <c r="F1337" t="s">
        <v>54</v>
      </c>
      <c r="G1337" t="s">
        <v>3376</v>
      </c>
      <c r="H1337" t="s">
        <v>3062</v>
      </c>
      <c r="I1337" t="s">
        <v>3853</v>
      </c>
    </row>
    <row r="1338" spans="1:9" x14ac:dyDescent="0.3">
      <c r="A1338">
        <v>1337</v>
      </c>
      <c r="B1338">
        <v>1337</v>
      </c>
      <c r="C1338" t="s">
        <v>3905</v>
      </c>
      <c r="D1338" t="s">
        <v>51</v>
      </c>
      <c r="E1338" t="s">
        <v>52</v>
      </c>
      <c r="F1338" t="s">
        <v>3422</v>
      </c>
      <c r="G1338" t="s">
        <v>1506</v>
      </c>
      <c r="H1338" t="s">
        <v>814</v>
      </c>
      <c r="I1338" t="s">
        <v>2050</v>
      </c>
    </row>
    <row r="1339" spans="1:9" x14ac:dyDescent="0.3">
      <c r="A1339">
        <v>1338</v>
      </c>
      <c r="B1339">
        <v>1338</v>
      </c>
      <c r="C1339" t="s">
        <v>3906</v>
      </c>
      <c r="D1339" t="s">
        <v>10</v>
      </c>
      <c r="E1339" t="s">
        <v>232</v>
      </c>
      <c r="F1339" t="s">
        <v>2716</v>
      </c>
      <c r="G1339" t="s">
        <v>1572</v>
      </c>
      <c r="H1339" t="s">
        <v>2350</v>
      </c>
      <c r="I1339" t="s">
        <v>3489</v>
      </c>
    </row>
    <row r="1340" spans="1:9" x14ac:dyDescent="0.3">
      <c r="A1340">
        <v>1339</v>
      </c>
      <c r="B1340">
        <v>1339</v>
      </c>
      <c r="C1340" t="s">
        <v>3907</v>
      </c>
      <c r="D1340" t="s">
        <v>10</v>
      </c>
      <c r="E1340" t="s">
        <v>58</v>
      </c>
      <c r="F1340" t="s">
        <v>754</v>
      </c>
      <c r="G1340" t="s">
        <v>1741</v>
      </c>
      <c r="H1340" t="s">
        <v>3746</v>
      </c>
      <c r="I1340" t="s">
        <v>2128</v>
      </c>
    </row>
    <row r="1341" spans="1:9" x14ac:dyDescent="0.3">
      <c r="A1341">
        <v>1340</v>
      </c>
      <c r="B1341">
        <v>1340</v>
      </c>
      <c r="C1341" t="s">
        <v>3908</v>
      </c>
      <c r="D1341" t="s">
        <v>10</v>
      </c>
      <c r="E1341" t="s">
        <v>11</v>
      </c>
      <c r="F1341" t="s">
        <v>1089</v>
      </c>
      <c r="G1341" t="s">
        <v>1506</v>
      </c>
      <c r="H1341" t="s">
        <v>1842</v>
      </c>
      <c r="I1341" t="s">
        <v>2173</v>
      </c>
    </row>
    <row r="1342" spans="1:9" x14ac:dyDescent="0.3">
      <c r="A1342">
        <v>1341</v>
      </c>
      <c r="B1342">
        <v>1341</v>
      </c>
      <c r="C1342" t="s">
        <v>3909</v>
      </c>
      <c r="D1342" t="s">
        <v>51</v>
      </c>
      <c r="E1342" t="s">
        <v>141</v>
      </c>
      <c r="F1342" t="s">
        <v>3344</v>
      </c>
      <c r="G1342" t="s">
        <v>1995</v>
      </c>
      <c r="H1342" t="s">
        <v>2995</v>
      </c>
      <c r="I1342" t="s">
        <v>3778</v>
      </c>
    </row>
    <row r="1343" spans="1:9" x14ac:dyDescent="0.3">
      <c r="A1343">
        <v>1342</v>
      </c>
      <c r="B1343">
        <v>1342</v>
      </c>
      <c r="C1343" t="s">
        <v>3910</v>
      </c>
      <c r="D1343" t="s">
        <v>521</v>
      </c>
      <c r="E1343" t="s">
        <v>464</v>
      </c>
      <c r="F1343" t="s">
        <v>3301</v>
      </c>
      <c r="G1343" t="s">
        <v>3060</v>
      </c>
      <c r="H1343" t="s">
        <v>749</v>
      </c>
      <c r="I1343" t="s">
        <v>586</v>
      </c>
    </row>
    <row r="1344" spans="1:9" x14ac:dyDescent="0.3">
      <c r="A1344">
        <v>1343</v>
      </c>
      <c r="B1344">
        <v>1343</v>
      </c>
      <c r="C1344" t="s">
        <v>3911</v>
      </c>
      <c r="D1344" t="s">
        <v>1172</v>
      </c>
      <c r="E1344" t="s">
        <v>706</v>
      </c>
      <c r="F1344" t="s">
        <v>865</v>
      </c>
      <c r="G1344" t="s">
        <v>1671</v>
      </c>
      <c r="H1344" t="s">
        <v>1164</v>
      </c>
      <c r="I1344" t="s">
        <v>2195</v>
      </c>
    </row>
    <row r="1345" spans="1:9" x14ac:dyDescent="0.3">
      <c r="A1345">
        <v>1344</v>
      </c>
      <c r="B1345">
        <v>1344</v>
      </c>
      <c r="C1345" t="s">
        <v>3912</v>
      </c>
      <c r="D1345" t="s">
        <v>1172</v>
      </c>
      <c r="E1345" t="s">
        <v>11</v>
      </c>
      <c r="F1345" t="s">
        <v>3262</v>
      </c>
      <c r="G1345" t="s">
        <v>1671</v>
      </c>
      <c r="H1345" t="s">
        <v>701</v>
      </c>
      <c r="I1345" t="s">
        <v>552</v>
      </c>
    </row>
    <row r="1346" spans="1:9" x14ac:dyDescent="0.3">
      <c r="A1346">
        <v>1345</v>
      </c>
      <c r="B1346">
        <v>1345</v>
      </c>
      <c r="C1346" t="s">
        <v>3913</v>
      </c>
      <c r="D1346" t="s">
        <v>10</v>
      </c>
      <c r="E1346" t="s">
        <v>743</v>
      </c>
      <c r="F1346" t="s">
        <v>460</v>
      </c>
      <c r="G1346" t="s">
        <v>1572</v>
      </c>
      <c r="H1346" t="s">
        <v>2815</v>
      </c>
      <c r="I1346" t="s">
        <v>234</v>
      </c>
    </row>
    <row r="1347" spans="1:9" x14ac:dyDescent="0.3">
      <c r="A1347">
        <v>1346</v>
      </c>
      <c r="B1347">
        <v>1346</v>
      </c>
      <c r="C1347" t="s">
        <v>3914</v>
      </c>
      <c r="D1347" t="s">
        <v>10</v>
      </c>
      <c r="E1347" t="s">
        <v>29</v>
      </c>
      <c r="F1347" t="s">
        <v>2179</v>
      </c>
      <c r="G1347" t="s">
        <v>2471</v>
      </c>
      <c r="H1347" t="s">
        <v>2783</v>
      </c>
      <c r="I1347" t="s">
        <v>910</v>
      </c>
    </row>
    <row r="1348" spans="1:9" x14ac:dyDescent="0.3">
      <c r="A1348">
        <v>1347</v>
      </c>
      <c r="B1348">
        <v>1347</v>
      </c>
      <c r="C1348" t="s">
        <v>3915</v>
      </c>
      <c r="D1348" t="s">
        <v>10</v>
      </c>
      <c r="E1348" t="s">
        <v>98</v>
      </c>
      <c r="F1348" t="s">
        <v>1512</v>
      </c>
      <c r="G1348" t="s">
        <v>3245</v>
      </c>
      <c r="H1348" t="s">
        <v>2520</v>
      </c>
      <c r="I1348" t="s">
        <v>3703</v>
      </c>
    </row>
    <row r="1349" spans="1:9" x14ac:dyDescent="0.3">
      <c r="A1349">
        <v>1348</v>
      </c>
      <c r="B1349">
        <v>1348</v>
      </c>
      <c r="C1349" t="s">
        <v>3916</v>
      </c>
      <c r="D1349" t="s">
        <v>35</v>
      </c>
      <c r="E1349" t="s">
        <v>715</v>
      </c>
      <c r="F1349" t="s">
        <v>2926</v>
      </c>
      <c r="G1349" t="s">
        <v>1118</v>
      </c>
      <c r="H1349" t="s">
        <v>1377</v>
      </c>
      <c r="I1349" t="s">
        <v>2897</v>
      </c>
    </row>
    <row r="1350" spans="1:9" x14ac:dyDescent="0.3">
      <c r="A1350">
        <v>1349</v>
      </c>
      <c r="B1350">
        <v>1349</v>
      </c>
      <c r="C1350" t="s">
        <v>3917</v>
      </c>
      <c r="D1350" t="s">
        <v>124</v>
      </c>
      <c r="E1350" t="s">
        <v>58</v>
      </c>
      <c r="F1350" t="s">
        <v>419</v>
      </c>
      <c r="G1350" t="s">
        <v>2092</v>
      </c>
      <c r="H1350" t="s">
        <v>3918</v>
      </c>
      <c r="I1350" t="s">
        <v>387</v>
      </c>
    </row>
    <row r="1351" spans="1:9" x14ac:dyDescent="0.3">
      <c r="A1351">
        <v>1350</v>
      </c>
      <c r="B1351">
        <v>1350</v>
      </c>
      <c r="C1351" t="s">
        <v>3919</v>
      </c>
      <c r="D1351" t="s">
        <v>1925</v>
      </c>
      <c r="E1351" t="s">
        <v>17</v>
      </c>
      <c r="F1351" t="s">
        <v>3920</v>
      </c>
      <c r="G1351" t="s">
        <v>2703</v>
      </c>
      <c r="H1351" t="s">
        <v>2014</v>
      </c>
      <c r="I1351" t="s">
        <v>1290</v>
      </c>
    </row>
    <row r="1352" spans="1:9" x14ac:dyDescent="0.3">
      <c r="A1352">
        <v>1351</v>
      </c>
      <c r="B1352">
        <v>1351</v>
      </c>
      <c r="C1352" t="s">
        <v>3921</v>
      </c>
      <c r="D1352" t="s">
        <v>51</v>
      </c>
      <c r="E1352" t="s">
        <v>58</v>
      </c>
      <c r="F1352" t="s">
        <v>3710</v>
      </c>
      <c r="G1352" t="s">
        <v>3376</v>
      </c>
      <c r="H1352" t="s">
        <v>3097</v>
      </c>
      <c r="I1352" t="s">
        <v>533</v>
      </c>
    </row>
    <row r="1353" spans="1:9" x14ac:dyDescent="0.3">
      <c r="A1353">
        <v>1352</v>
      </c>
      <c r="B1353">
        <v>1352</v>
      </c>
      <c r="C1353" t="s">
        <v>3922</v>
      </c>
      <c r="D1353" t="s">
        <v>35</v>
      </c>
      <c r="E1353" t="s">
        <v>715</v>
      </c>
      <c r="F1353" t="s">
        <v>1190</v>
      </c>
      <c r="G1353" t="s">
        <v>1118</v>
      </c>
      <c r="H1353" t="s">
        <v>3494</v>
      </c>
      <c r="I1353" t="s">
        <v>2534</v>
      </c>
    </row>
    <row r="1354" spans="1:9" x14ac:dyDescent="0.3">
      <c r="A1354">
        <v>1353</v>
      </c>
      <c r="B1354">
        <v>1353</v>
      </c>
      <c r="C1354" t="s">
        <v>3923</v>
      </c>
      <c r="D1354" t="s">
        <v>452</v>
      </c>
      <c r="E1354" t="s">
        <v>130</v>
      </c>
      <c r="F1354" t="s">
        <v>3696</v>
      </c>
      <c r="G1354" t="s">
        <v>3060</v>
      </c>
      <c r="H1354" t="s">
        <v>2403</v>
      </c>
      <c r="I1354" t="s">
        <v>3337</v>
      </c>
    </row>
    <row r="1355" spans="1:9" x14ac:dyDescent="0.3">
      <c r="A1355">
        <v>1354</v>
      </c>
      <c r="B1355">
        <v>1354</v>
      </c>
      <c r="C1355" t="s">
        <v>3924</v>
      </c>
      <c r="D1355" t="s">
        <v>10</v>
      </c>
      <c r="E1355" t="s">
        <v>243</v>
      </c>
      <c r="F1355" t="s">
        <v>361</v>
      </c>
      <c r="G1355" t="s">
        <v>2348</v>
      </c>
      <c r="H1355" t="s">
        <v>1494</v>
      </c>
      <c r="I1355" t="s">
        <v>3340</v>
      </c>
    </row>
    <row r="1356" spans="1:9" x14ac:dyDescent="0.3">
      <c r="A1356">
        <v>1355</v>
      </c>
      <c r="B1356">
        <v>1355</v>
      </c>
      <c r="C1356" t="s">
        <v>3925</v>
      </c>
      <c r="D1356" t="s">
        <v>2925</v>
      </c>
      <c r="E1356" t="s">
        <v>174</v>
      </c>
      <c r="F1356" t="s">
        <v>1268</v>
      </c>
      <c r="G1356" t="s">
        <v>1012</v>
      </c>
      <c r="H1356" t="s">
        <v>3926</v>
      </c>
      <c r="I1356" t="s">
        <v>1464</v>
      </c>
    </row>
    <row r="1357" spans="1:9" x14ac:dyDescent="0.3">
      <c r="A1357">
        <v>1356</v>
      </c>
      <c r="B1357">
        <v>1356</v>
      </c>
      <c r="C1357" t="s">
        <v>3927</v>
      </c>
      <c r="D1357" t="s">
        <v>10</v>
      </c>
      <c r="E1357" t="s">
        <v>743</v>
      </c>
      <c r="F1357" t="s">
        <v>1000</v>
      </c>
      <c r="G1357" t="s">
        <v>2376</v>
      </c>
      <c r="H1357" t="s">
        <v>3928</v>
      </c>
      <c r="I1357" t="s">
        <v>2403</v>
      </c>
    </row>
    <row r="1358" spans="1:9" x14ac:dyDescent="0.3">
      <c r="A1358">
        <v>1357</v>
      </c>
      <c r="B1358">
        <v>1357</v>
      </c>
      <c r="C1358" t="s">
        <v>3929</v>
      </c>
      <c r="D1358" t="s">
        <v>76</v>
      </c>
      <c r="E1358" t="s">
        <v>365</v>
      </c>
      <c r="F1358" t="s">
        <v>2769</v>
      </c>
      <c r="G1358" t="s">
        <v>2417</v>
      </c>
      <c r="H1358" t="s">
        <v>2984</v>
      </c>
      <c r="I1358">
        <v>1</v>
      </c>
    </row>
    <row r="1359" spans="1:9" x14ac:dyDescent="0.3">
      <c r="A1359">
        <v>1358</v>
      </c>
      <c r="B1359">
        <v>1358</v>
      </c>
      <c r="C1359" t="s">
        <v>3930</v>
      </c>
      <c r="D1359" t="s">
        <v>1172</v>
      </c>
      <c r="E1359" t="s">
        <v>11</v>
      </c>
      <c r="F1359" t="s">
        <v>294</v>
      </c>
      <c r="G1359" t="s">
        <v>1671</v>
      </c>
      <c r="H1359" t="s">
        <v>876</v>
      </c>
      <c r="I1359" t="s">
        <v>1021</v>
      </c>
    </row>
    <row r="1360" spans="1:9" x14ac:dyDescent="0.3">
      <c r="A1360">
        <v>1359</v>
      </c>
      <c r="B1360">
        <v>1359</v>
      </c>
      <c r="C1360" t="s">
        <v>3931</v>
      </c>
      <c r="D1360" t="s">
        <v>51</v>
      </c>
      <c r="E1360" t="s">
        <v>11</v>
      </c>
      <c r="F1360" t="s">
        <v>523</v>
      </c>
      <c r="G1360" t="s">
        <v>3843</v>
      </c>
      <c r="H1360" t="s">
        <v>3932</v>
      </c>
      <c r="I1360" t="s">
        <v>3840</v>
      </c>
    </row>
    <row r="1361" spans="1:9" x14ac:dyDescent="0.3">
      <c r="A1361">
        <v>1360</v>
      </c>
      <c r="B1361">
        <v>1360</v>
      </c>
      <c r="C1361" t="s">
        <v>3933</v>
      </c>
      <c r="D1361" t="s">
        <v>35</v>
      </c>
      <c r="E1361" t="s">
        <v>726</v>
      </c>
      <c r="F1361" t="s">
        <v>3853</v>
      </c>
      <c r="G1361" t="s">
        <v>1098</v>
      </c>
      <c r="H1361" t="s">
        <v>3404</v>
      </c>
      <c r="I1361" t="s">
        <v>3934</v>
      </c>
    </row>
    <row r="1362" spans="1:9" x14ac:dyDescent="0.3">
      <c r="A1362">
        <v>1361</v>
      </c>
      <c r="B1362">
        <v>1361</v>
      </c>
      <c r="C1362" t="s">
        <v>3935</v>
      </c>
      <c r="D1362" t="s">
        <v>10</v>
      </c>
      <c r="E1362" t="s">
        <v>11</v>
      </c>
      <c r="F1362" t="s">
        <v>1217</v>
      </c>
      <c r="G1362" t="s">
        <v>1577</v>
      </c>
      <c r="H1362" t="s">
        <v>1698</v>
      </c>
      <c r="I1362" t="s">
        <v>2820</v>
      </c>
    </row>
    <row r="1363" spans="1:9" x14ac:dyDescent="0.3">
      <c r="A1363">
        <v>1362</v>
      </c>
      <c r="B1363">
        <v>1362</v>
      </c>
      <c r="C1363" t="s">
        <v>3936</v>
      </c>
      <c r="D1363" t="s">
        <v>10</v>
      </c>
      <c r="E1363" t="s">
        <v>130</v>
      </c>
      <c r="F1363" t="s">
        <v>586</v>
      </c>
      <c r="G1363" t="s">
        <v>1506</v>
      </c>
      <c r="H1363" t="s">
        <v>2433</v>
      </c>
      <c r="I1363" t="s">
        <v>3432</v>
      </c>
    </row>
    <row r="1364" spans="1:9" x14ac:dyDescent="0.3">
      <c r="A1364">
        <v>1363</v>
      </c>
      <c r="B1364">
        <v>1363</v>
      </c>
      <c r="C1364" t="s">
        <v>3937</v>
      </c>
      <c r="D1364" t="s">
        <v>10</v>
      </c>
      <c r="E1364" t="s">
        <v>243</v>
      </c>
      <c r="F1364" t="s">
        <v>3864</v>
      </c>
      <c r="G1364" t="s">
        <v>1506</v>
      </c>
      <c r="H1364" t="s">
        <v>3378</v>
      </c>
      <c r="I1364" t="s">
        <v>460</v>
      </c>
    </row>
    <row r="1365" spans="1:9" x14ac:dyDescent="0.3">
      <c r="A1365">
        <v>1364</v>
      </c>
      <c r="B1365">
        <v>1364</v>
      </c>
      <c r="C1365" t="s">
        <v>3938</v>
      </c>
      <c r="D1365" t="s">
        <v>608</v>
      </c>
      <c r="E1365" t="s">
        <v>29</v>
      </c>
      <c r="F1365" t="s">
        <v>2753</v>
      </c>
      <c r="G1365" t="s">
        <v>1572</v>
      </c>
      <c r="H1365" t="s">
        <v>2442</v>
      </c>
      <c r="I1365" t="s">
        <v>891</v>
      </c>
    </row>
    <row r="1366" spans="1:9" x14ac:dyDescent="0.3">
      <c r="A1366">
        <v>1365</v>
      </c>
      <c r="B1366">
        <v>1365</v>
      </c>
      <c r="C1366" t="s">
        <v>3939</v>
      </c>
      <c r="D1366" t="s">
        <v>70</v>
      </c>
      <c r="E1366" t="s">
        <v>510</v>
      </c>
      <c r="F1366" t="s">
        <v>2435</v>
      </c>
      <c r="G1366" t="s">
        <v>3819</v>
      </c>
      <c r="H1366" t="s">
        <v>2117</v>
      </c>
      <c r="I1366" t="s">
        <v>1308</v>
      </c>
    </row>
    <row r="1367" spans="1:9" x14ac:dyDescent="0.3">
      <c r="A1367">
        <v>1366</v>
      </c>
      <c r="B1367">
        <v>1366</v>
      </c>
      <c r="C1367" t="s">
        <v>3940</v>
      </c>
      <c r="D1367" t="s">
        <v>10</v>
      </c>
      <c r="E1367" t="s">
        <v>64</v>
      </c>
      <c r="F1367" t="s">
        <v>614</v>
      </c>
      <c r="G1367" t="s">
        <v>1671</v>
      </c>
      <c r="H1367" t="s">
        <v>624</v>
      </c>
      <c r="I1367" t="s">
        <v>2633</v>
      </c>
    </row>
    <row r="1368" spans="1:9" x14ac:dyDescent="0.3">
      <c r="A1368">
        <v>1367</v>
      </c>
      <c r="B1368">
        <v>1367</v>
      </c>
      <c r="C1368" t="s">
        <v>3941</v>
      </c>
      <c r="D1368" t="s">
        <v>205</v>
      </c>
      <c r="E1368" t="s">
        <v>11</v>
      </c>
      <c r="F1368" t="s">
        <v>722</v>
      </c>
      <c r="G1368" t="s">
        <v>3376</v>
      </c>
      <c r="H1368" t="s">
        <v>2238</v>
      </c>
      <c r="I1368" t="s">
        <v>2578</v>
      </c>
    </row>
    <row r="1369" spans="1:9" x14ac:dyDescent="0.3">
      <c r="A1369">
        <v>1368</v>
      </c>
      <c r="B1369">
        <v>1368</v>
      </c>
      <c r="C1369" t="s">
        <v>3942</v>
      </c>
      <c r="D1369" t="s">
        <v>10</v>
      </c>
      <c r="E1369" t="s">
        <v>11</v>
      </c>
      <c r="F1369" t="s">
        <v>856</v>
      </c>
      <c r="G1369" t="s">
        <v>1506</v>
      </c>
      <c r="H1369" t="s">
        <v>3438</v>
      </c>
      <c r="I1369" t="s">
        <v>3866</v>
      </c>
    </row>
    <row r="1370" spans="1:9" x14ac:dyDescent="0.3">
      <c r="A1370">
        <v>1369</v>
      </c>
      <c r="B1370">
        <v>1369</v>
      </c>
      <c r="C1370" t="s">
        <v>3943</v>
      </c>
      <c r="D1370" t="s">
        <v>35</v>
      </c>
      <c r="E1370" t="s">
        <v>58</v>
      </c>
      <c r="F1370" t="s">
        <v>1068</v>
      </c>
      <c r="G1370" t="s">
        <v>1506</v>
      </c>
      <c r="H1370" t="s">
        <v>3473</v>
      </c>
      <c r="I1370" t="s">
        <v>3301</v>
      </c>
    </row>
    <row r="1371" spans="1:9" x14ac:dyDescent="0.3">
      <c r="A1371">
        <v>1370</v>
      </c>
      <c r="B1371">
        <v>1370</v>
      </c>
      <c r="C1371" t="s">
        <v>3944</v>
      </c>
      <c r="D1371" t="s">
        <v>696</v>
      </c>
      <c r="E1371" t="s">
        <v>726</v>
      </c>
      <c r="F1371" t="s">
        <v>1474</v>
      </c>
      <c r="G1371" t="s">
        <v>645</v>
      </c>
      <c r="H1371" t="s">
        <v>2518</v>
      </c>
      <c r="I1371" t="s">
        <v>2848</v>
      </c>
    </row>
    <row r="1372" spans="1:9" x14ac:dyDescent="0.3">
      <c r="A1372">
        <v>1371</v>
      </c>
      <c r="B1372">
        <v>1371</v>
      </c>
      <c r="C1372" t="s">
        <v>3945</v>
      </c>
      <c r="D1372" t="s">
        <v>124</v>
      </c>
      <c r="E1372" t="s">
        <v>510</v>
      </c>
      <c r="F1372" t="s">
        <v>3209</v>
      </c>
      <c r="G1372" t="s">
        <v>2471</v>
      </c>
      <c r="H1372" t="s">
        <v>245</v>
      </c>
      <c r="I1372" t="s">
        <v>3485</v>
      </c>
    </row>
    <row r="1373" spans="1:9" x14ac:dyDescent="0.3">
      <c r="A1373">
        <v>1372</v>
      </c>
      <c r="B1373">
        <v>1372</v>
      </c>
      <c r="C1373" t="s">
        <v>3946</v>
      </c>
      <c r="D1373" t="s">
        <v>76</v>
      </c>
      <c r="E1373" t="s">
        <v>792</v>
      </c>
      <c r="F1373" t="s">
        <v>2037</v>
      </c>
      <c r="G1373" t="s">
        <v>2376</v>
      </c>
      <c r="H1373" t="s">
        <v>3277</v>
      </c>
      <c r="I1373" t="s">
        <v>403</v>
      </c>
    </row>
    <row r="1374" spans="1:9" x14ac:dyDescent="0.3">
      <c r="A1374">
        <v>1373</v>
      </c>
      <c r="B1374">
        <v>1373</v>
      </c>
      <c r="C1374" t="s">
        <v>3947</v>
      </c>
      <c r="D1374" t="s">
        <v>521</v>
      </c>
      <c r="E1374" t="s">
        <v>11</v>
      </c>
      <c r="F1374" t="s">
        <v>294</v>
      </c>
      <c r="G1374" t="s">
        <v>1995</v>
      </c>
      <c r="H1374" t="s">
        <v>3948</v>
      </c>
      <c r="I1374" t="s">
        <v>3583</v>
      </c>
    </row>
    <row r="1375" spans="1:9" x14ac:dyDescent="0.3">
      <c r="A1375">
        <v>1374</v>
      </c>
      <c r="B1375">
        <v>1374</v>
      </c>
      <c r="C1375" t="s">
        <v>3949</v>
      </c>
      <c r="D1375" t="s">
        <v>10</v>
      </c>
      <c r="E1375" t="s">
        <v>58</v>
      </c>
      <c r="F1375" t="s">
        <v>191</v>
      </c>
      <c r="G1375" t="s">
        <v>1572</v>
      </c>
      <c r="H1375" t="s">
        <v>1386</v>
      </c>
      <c r="I1375" t="s">
        <v>3167</v>
      </c>
    </row>
    <row r="1376" spans="1:9" x14ac:dyDescent="0.3">
      <c r="A1376">
        <v>1375</v>
      </c>
      <c r="B1376">
        <v>1375</v>
      </c>
      <c r="C1376" t="s">
        <v>3950</v>
      </c>
      <c r="D1376" t="s">
        <v>10</v>
      </c>
      <c r="E1376" t="s">
        <v>250</v>
      </c>
      <c r="F1376" t="s">
        <v>851</v>
      </c>
      <c r="G1376" t="s">
        <v>2376</v>
      </c>
      <c r="H1376" t="s">
        <v>3059</v>
      </c>
      <c r="I1376" t="s">
        <v>963</v>
      </c>
    </row>
    <row r="1377" spans="1:9" x14ac:dyDescent="0.3">
      <c r="A1377">
        <v>1376</v>
      </c>
      <c r="B1377">
        <v>1376</v>
      </c>
      <c r="C1377" t="s">
        <v>3951</v>
      </c>
      <c r="D1377" t="s">
        <v>10</v>
      </c>
      <c r="E1377" t="s">
        <v>345</v>
      </c>
      <c r="F1377" t="s">
        <v>377</v>
      </c>
      <c r="G1377" t="s">
        <v>1741</v>
      </c>
      <c r="H1377" t="s">
        <v>1611</v>
      </c>
      <c r="I1377" t="s">
        <v>2890</v>
      </c>
    </row>
    <row r="1378" spans="1:9" x14ac:dyDescent="0.3">
      <c r="A1378">
        <v>1377</v>
      </c>
      <c r="B1378">
        <v>1377</v>
      </c>
      <c r="C1378" t="s">
        <v>3952</v>
      </c>
      <c r="D1378" t="s">
        <v>2415</v>
      </c>
      <c r="E1378" t="s">
        <v>11</v>
      </c>
      <c r="F1378" t="s">
        <v>3464</v>
      </c>
      <c r="G1378" t="s">
        <v>2982</v>
      </c>
      <c r="H1378" t="s">
        <v>3953</v>
      </c>
      <c r="I1378" t="s">
        <v>1029</v>
      </c>
    </row>
    <row r="1379" spans="1:9" x14ac:dyDescent="0.3">
      <c r="A1379">
        <v>1378</v>
      </c>
      <c r="B1379">
        <v>1378</v>
      </c>
      <c r="C1379" t="s">
        <v>3954</v>
      </c>
      <c r="D1379" t="s">
        <v>521</v>
      </c>
      <c r="E1379" t="s">
        <v>58</v>
      </c>
      <c r="F1379" t="s">
        <v>2096</v>
      </c>
      <c r="G1379" t="s">
        <v>2488</v>
      </c>
      <c r="H1379" t="s">
        <v>2067</v>
      </c>
      <c r="I1379" t="s">
        <v>2119</v>
      </c>
    </row>
    <row r="1380" spans="1:9" x14ac:dyDescent="0.3">
      <c r="A1380">
        <v>1379</v>
      </c>
      <c r="B1380">
        <v>1379</v>
      </c>
      <c r="C1380" t="s">
        <v>3955</v>
      </c>
      <c r="D1380" t="s">
        <v>76</v>
      </c>
      <c r="E1380" t="s">
        <v>64</v>
      </c>
      <c r="F1380" t="s">
        <v>1622</v>
      </c>
      <c r="G1380" t="s">
        <v>1958</v>
      </c>
      <c r="H1380" t="s">
        <v>3085</v>
      </c>
      <c r="I1380" t="s">
        <v>191</v>
      </c>
    </row>
    <row r="1381" spans="1:9" x14ac:dyDescent="0.3">
      <c r="A1381">
        <v>1380</v>
      </c>
      <c r="B1381">
        <v>1380</v>
      </c>
      <c r="C1381" t="s">
        <v>3956</v>
      </c>
      <c r="D1381" t="s">
        <v>1172</v>
      </c>
      <c r="E1381" t="s">
        <v>58</v>
      </c>
      <c r="F1381" t="s">
        <v>1123</v>
      </c>
      <c r="G1381" t="s">
        <v>1506</v>
      </c>
      <c r="H1381" t="s">
        <v>3137</v>
      </c>
      <c r="I1381" t="s">
        <v>2112</v>
      </c>
    </row>
    <row r="1382" spans="1:9" x14ac:dyDescent="0.3">
      <c r="A1382">
        <v>1381</v>
      </c>
      <c r="B1382">
        <v>1381</v>
      </c>
      <c r="C1382" t="s">
        <v>3957</v>
      </c>
      <c r="D1382" t="s">
        <v>10</v>
      </c>
      <c r="E1382" t="s">
        <v>151</v>
      </c>
      <c r="F1382" t="s">
        <v>2518</v>
      </c>
      <c r="G1382" t="s">
        <v>2092</v>
      </c>
      <c r="H1382" t="s">
        <v>2203</v>
      </c>
      <c r="I1382" t="s">
        <v>2439</v>
      </c>
    </row>
    <row r="1383" spans="1:9" x14ac:dyDescent="0.3">
      <c r="A1383">
        <v>1382</v>
      </c>
      <c r="B1383">
        <v>1382</v>
      </c>
      <c r="C1383" t="s">
        <v>3958</v>
      </c>
      <c r="D1383" t="s">
        <v>10</v>
      </c>
      <c r="E1383" t="s">
        <v>510</v>
      </c>
      <c r="F1383" t="s">
        <v>2136</v>
      </c>
      <c r="G1383" t="s">
        <v>2491</v>
      </c>
      <c r="H1383" t="s">
        <v>3532</v>
      </c>
      <c r="I1383" t="s">
        <v>2763</v>
      </c>
    </row>
    <row r="1384" spans="1:9" x14ac:dyDescent="0.3">
      <c r="A1384">
        <v>1383</v>
      </c>
      <c r="B1384">
        <v>1383</v>
      </c>
      <c r="C1384" t="s">
        <v>3959</v>
      </c>
      <c r="D1384" t="s">
        <v>51</v>
      </c>
      <c r="E1384" t="s">
        <v>130</v>
      </c>
      <c r="F1384" t="s">
        <v>2203</v>
      </c>
      <c r="G1384" t="s">
        <v>3065</v>
      </c>
      <c r="H1384" t="s">
        <v>2260</v>
      </c>
      <c r="I1384" t="s">
        <v>2518</v>
      </c>
    </row>
    <row r="1385" spans="1:9" x14ac:dyDescent="0.3">
      <c r="A1385">
        <v>1384</v>
      </c>
      <c r="B1385">
        <v>1384</v>
      </c>
      <c r="C1385" t="s">
        <v>3960</v>
      </c>
      <c r="D1385" t="s">
        <v>10</v>
      </c>
      <c r="E1385" t="s">
        <v>250</v>
      </c>
      <c r="F1385" t="s">
        <v>733</v>
      </c>
      <c r="G1385" t="s">
        <v>1506</v>
      </c>
      <c r="H1385" t="s">
        <v>624</v>
      </c>
      <c r="I1385" t="s">
        <v>2836</v>
      </c>
    </row>
    <row r="1386" spans="1:9" x14ac:dyDescent="0.3">
      <c r="A1386">
        <v>1385</v>
      </c>
      <c r="B1386">
        <v>1385</v>
      </c>
      <c r="C1386" t="s">
        <v>3961</v>
      </c>
      <c r="D1386" t="s">
        <v>10</v>
      </c>
      <c r="E1386" t="s">
        <v>64</v>
      </c>
      <c r="F1386" t="s">
        <v>2695</v>
      </c>
      <c r="G1386" t="s">
        <v>1572</v>
      </c>
      <c r="H1386" t="s">
        <v>2565</v>
      </c>
      <c r="I1386" t="s">
        <v>3002</v>
      </c>
    </row>
    <row r="1387" spans="1:9" x14ac:dyDescent="0.3">
      <c r="A1387">
        <v>1386</v>
      </c>
      <c r="B1387">
        <v>1386</v>
      </c>
      <c r="C1387" t="s">
        <v>3962</v>
      </c>
      <c r="D1387" t="s">
        <v>696</v>
      </c>
      <c r="E1387" t="s">
        <v>365</v>
      </c>
      <c r="F1387" t="s">
        <v>1534</v>
      </c>
      <c r="G1387" t="s">
        <v>3680</v>
      </c>
      <c r="H1387" t="s">
        <v>3530</v>
      </c>
      <c r="I1387" t="s">
        <v>191</v>
      </c>
    </row>
    <row r="1388" spans="1:9" x14ac:dyDescent="0.3">
      <c r="A1388">
        <v>1387</v>
      </c>
      <c r="B1388">
        <v>1387</v>
      </c>
      <c r="C1388" t="s">
        <v>3963</v>
      </c>
      <c r="D1388" t="s">
        <v>51</v>
      </c>
      <c r="E1388" t="s">
        <v>11</v>
      </c>
      <c r="F1388" t="s">
        <v>3416</v>
      </c>
      <c r="G1388" t="s">
        <v>3376</v>
      </c>
      <c r="H1388" t="s">
        <v>3964</v>
      </c>
      <c r="I1388" t="s">
        <v>377</v>
      </c>
    </row>
    <row r="1389" spans="1:9" x14ac:dyDescent="0.3">
      <c r="A1389">
        <v>1388</v>
      </c>
      <c r="B1389">
        <v>1388</v>
      </c>
      <c r="C1389" t="s">
        <v>3965</v>
      </c>
      <c r="D1389" t="s">
        <v>10</v>
      </c>
      <c r="E1389" t="s">
        <v>11</v>
      </c>
      <c r="F1389" t="s">
        <v>891</v>
      </c>
      <c r="G1389" t="s">
        <v>3060</v>
      </c>
      <c r="H1389" t="s">
        <v>3966</v>
      </c>
      <c r="I1389" t="s">
        <v>2608</v>
      </c>
    </row>
    <row r="1390" spans="1:9" x14ac:dyDescent="0.3">
      <c r="A1390">
        <v>1389</v>
      </c>
      <c r="B1390">
        <v>1389</v>
      </c>
      <c r="C1390" t="s">
        <v>3967</v>
      </c>
      <c r="D1390" t="s">
        <v>104</v>
      </c>
      <c r="E1390" t="s">
        <v>510</v>
      </c>
      <c r="F1390" t="s">
        <v>89</v>
      </c>
      <c r="G1390">
        <v>0</v>
      </c>
      <c r="H1390" t="s">
        <v>3364</v>
      </c>
      <c r="I1390" t="s">
        <v>772</v>
      </c>
    </row>
    <row r="1391" spans="1:9" x14ac:dyDescent="0.3">
      <c r="A1391">
        <v>1390</v>
      </c>
      <c r="B1391">
        <v>1390</v>
      </c>
      <c r="C1391" t="s">
        <v>3968</v>
      </c>
      <c r="D1391" t="s">
        <v>10</v>
      </c>
      <c r="E1391" t="s">
        <v>130</v>
      </c>
      <c r="F1391" t="s">
        <v>3758</v>
      </c>
      <c r="G1391" t="s">
        <v>1118</v>
      </c>
      <c r="H1391" t="s">
        <v>3742</v>
      </c>
      <c r="I1391" t="s">
        <v>3776</v>
      </c>
    </row>
    <row r="1392" spans="1:9" x14ac:dyDescent="0.3">
      <c r="A1392">
        <v>1391</v>
      </c>
      <c r="B1392">
        <v>1391</v>
      </c>
      <c r="C1392" t="s">
        <v>3969</v>
      </c>
      <c r="D1392" t="s">
        <v>51</v>
      </c>
      <c r="E1392" t="s">
        <v>58</v>
      </c>
      <c r="F1392" t="s">
        <v>1308</v>
      </c>
      <c r="G1392" t="s">
        <v>3245</v>
      </c>
      <c r="H1392" t="s">
        <v>3970</v>
      </c>
      <c r="I1392" t="s">
        <v>3041</v>
      </c>
    </row>
    <row r="1393" spans="1:9" x14ac:dyDescent="0.3">
      <c r="A1393">
        <v>1392</v>
      </c>
      <c r="B1393">
        <v>1392</v>
      </c>
      <c r="C1393" t="s">
        <v>3971</v>
      </c>
      <c r="D1393" t="s">
        <v>2172</v>
      </c>
      <c r="E1393" t="s">
        <v>151</v>
      </c>
      <c r="F1393" t="s">
        <v>754</v>
      </c>
      <c r="G1393" t="s">
        <v>1577</v>
      </c>
      <c r="H1393" t="s">
        <v>3557</v>
      </c>
      <c r="I1393" t="s">
        <v>3265</v>
      </c>
    </row>
    <row r="1394" spans="1:9" x14ac:dyDescent="0.3">
      <c r="A1394">
        <v>1393</v>
      </c>
      <c r="B1394">
        <v>1393</v>
      </c>
      <c r="C1394" t="s">
        <v>3972</v>
      </c>
      <c r="D1394" t="s">
        <v>1172</v>
      </c>
      <c r="E1394" t="s">
        <v>634</v>
      </c>
      <c r="F1394" t="s">
        <v>2088</v>
      </c>
      <c r="G1394" t="s">
        <v>2388</v>
      </c>
      <c r="H1394" t="s">
        <v>3973</v>
      </c>
      <c r="I1394" t="s">
        <v>2442</v>
      </c>
    </row>
    <row r="1395" spans="1:9" x14ac:dyDescent="0.3">
      <c r="A1395">
        <v>1394</v>
      </c>
      <c r="B1395">
        <v>1394</v>
      </c>
      <c r="C1395" t="s">
        <v>3974</v>
      </c>
      <c r="D1395" t="s">
        <v>10</v>
      </c>
      <c r="E1395" t="s">
        <v>11</v>
      </c>
      <c r="F1395" t="s">
        <v>1249</v>
      </c>
      <c r="G1395" t="s">
        <v>3060</v>
      </c>
      <c r="H1395" t="s">
        <v>3975</v>
      </c>
      <c r="I1395" t="s">
        <v>2460</v>
      </c>
    </row>
    <row r="1396" spans="1:9" x14ac:dyDescent="0.3">
      <c r="A1396">
        <v>1395</v>
      </c>
      <c r="B1396">
        <v>1395</v>
      </c>
      <c r="C1396" t="s">
        <v>3976</v>
      </c>
      <c r="D1396" t="s">
        <v>51</v>
      </c>
      <c r="E1396" t="s">
        <v>687</v>
      </c>
      <c r="F1396" t="s">
        <v>3340</v>
      </c>
      <c r="G1396" t="s">
        <v>2801</v>
      </c>
      <c r="H1396" t="s">
        <v>2177</v>
      </c>
      <c r="I1396" t="s">
        <v>3746</v>
      </c>
    </row>
    <row r="1397" spans="1:9" x14ac:dyDescent="0.3">
      <c r="A1397">
        <v>1396</v>
      </c>
      <c r="B1397">
        <v>1396</v>
      </c>
      <c r="C1397" t="s">
        <v>3977</v>
      </c>
      <c r="D1397" t="s">
        <v>10</v>
      </c>
      <c r="E1397" t="s">
        <v>743</v>
      </c>
      <c r="F1397" t="s">
        <v>3978</v>
      </c>
      <c r="G1397" t="s">
        <v>2348</v>
      </c>
      <c r="H1397" t="s">
        <v>3277</v>
      </c>
      <c r="I1397" t="s">
        <v>2927</v>
      </c>
    </row>
    <row r="1398" spans="1:9" x14ac:dyDescent="0.3">
      <c r="A1398">
        <v>1397</v>
      </c>
      <c r="B1398">
        <v>1397</v>
      </c>
      <c r="C1398" t="s">
        <v>3979</v>
      </c>
      <c r="D1398" t="s">
        <v>10</v>
      </c>
      <c r="E1398" t="s">
        <v>634</v>
      </c>
      <c r="F1398" t="s">
        <v>2651</v>
      </c>
      <c r="G1398" t="s">
        <v>2488</v>
      </c>
      <c r="H1398" t="s">
        <v>1248</v>
      </c>
      <c r="I1398" t="s">
        <v>191</v>
      </c>
    </row>
    <row r="1399" spans="1:9" x14ac:dyDescent="0.3">
      <c r="A1399">
        <v>1398</v>
      </c>
      <c r="B1399">
        <v>1398</v>
      </c>
      <c r="C1399" t="s">
        <v>3980</v>
      </c>
      <c r="D1399" t="s">
        <v>35</v>
      </c>
      <c r="E1399" t="s">
        <v>715</v>
      </c>
      <c r="F1399" t="s">
        <v>501</v>
      </c>
      <c r="G1399" t="s">
        <v>1958</v>
      </c>
      <c r="H1399" t="s">
        <v>3229</v>
      </c>
      <c r="I1399" t="s">
        <v>3566</v>
      </c>
    </row>
    <row r="1400" spans="1:9" x14ac:dyDescent="0.3">
      <c r="A1400">
        <v>1399</v>
      </c>
      <c r="B1400">
        <v>1399</v>
      </c>
      <c r="C1400" t="s">
        <v>3981</v>
      </c>
      <c r="D1400" t="s">
        <v>10</v>
      </c>
      <c r="E1400" t="s">
        <v>464</v>
      </c>
      <c r="F1400" t="s">
        <v>2698</v>
      </c>
      <c r="G1400" t="s">
        <v>2471</v>
      </c>
      <c r="H1400" t="s">
        <v>3982</v>
      </c>
      <c r="I1400" t="s">
        <v>2529</v>
      </c>
    </row>
    <row r="1401" spans="1:9" x14ac:dyDescent="0.3">
      <c r="A1401">
        <v>1400</v>
      </c>
      <c r="B1401">
        <v>1400</v>
      </c>
      <c r="C1401" t="s">
        <v>3983</v>
      </c>
      <c r="D1401" t="s">
        <v>10</v>
      </c>
      <c r="E1401" t="s">
        <v>174</v>
      </c>
      <c r="F1401" t="s">
        <v>3758</v>
      </c>
      <c r="G1401" t="s">
        <v>2092</v>
      </c>
      <c r="H1401" t="s">
        <v>2995</v>
      </c>
      <c r="I1401" t="s">
        <v>3984</v>
      </c>
    </row>
    <row r="1402" spans="1:9" x14ac:dyDescent="0.3">
      <c r="A1402">
        <v>1401</v>
      </c>
      <c r="B1402">
        <v>1401</v>
      </c>
      <c r="C1402" t="s">
        <v>3985</v>
      </c>
      <c r="D1402" t="s">
        <v>51</v>
      </c>
      <c r="E1402" t="s">
        <v>11</v>
      </c>
      <c r="F1402" t="s">
        <v>728</v>
      </c>
      <c r="G1402" t="s">
        <v>2092</v>
      </c>
      <c r="H1402" t="s">
        <v>3986</v>
      </c>
      <c r="I1402" t="s">
        <v>3036</v>
      </c>
    </row>
    <row r="1403" spans="1:9" x14ac:dyDescent="0.3">
      <c r="A1403">
        <v>1402</v>
      </c>
      <c r="B1403">
        <v>1402</v>
      </c>
      <c r="C1403" t="s">
        <v>3987</v>
      </c>
      <c r="D1403" t="s">
        <v>249</v>
      </c>
      <c r="E1403" t="s">
        <v>510</v>
      </c>
      <c r="F1403" t="s">
        <v>3017</v>
      </c>
      <c r="G1403" t="s">
        <v>2801</v>
      </c>
      <c r="H1403" t="s">
        <v>3988</v>
      </c>
      <c r="I1403" t="s">
        <v>3573</v>
      </c>
    </row>
    <row r="1404" spans="1:9" x14ac:dyDescent="0.3">
      <c r="A1404">
        <v>1403</v>
      </c>
      <c r="B1404">
        <v>1403</v>
      </c>
      <c r="C1404" t="s">
        <v>3989</v>
      </c>
      <c r="D1404" t="s">
        <v>51</v>
      </c>
      <c r="E1404" t="s">
        <v>11</v>
      </c>
      <c r="F1404" t="s">
        <v>3875</v>
      </c>
      <c r="G1404" t="s">
        <v>3376</v>
      </c>
      <c r="H1404" t="s">
        <v>3990</v>
      </c>
      <c r="I1404" t="s">
        <v>3140</v>
      </c>
    </row>
    <row r="1405" spans="1:9" x14ac:dyDescent="0.3">
      <c r="A1405">
        <v>1404</v>
      </c>
      <c r="B1405">
        <v>1404</v>
      </c>
      <c r="C1405" t="s">
        <v>3991</v>
      </c>
      <c r="D1405" t="s">
        <v>104</v>
      </c>
      <c r="E1405" t="s">
        <v>29</v>
      </c>
      <c r="F1405" t="s">
        <v>1772</v>
      </c>
      <c r="G1405" t="s">
        <v>2732</v>
      </c>
      <c r="H1405" t="s">
        <v>3470</v>
      </c>
      <c r="I1405" t="s">
        <v>3059</v>
      </c>
    </row>
    <row r="1406" spans="1:9" x14ac:dyDescent="0.3">
      <c r="A1406">
        <v>1405</v>
      </c>
      <c r="B1406">
        <v>1405</v>
      </c>
      <c r="C1406" t="s">
        <v>3992</v>
      </c>
      <c r="D1406" t="s">
        <v>10</v>
      </c>
      <c r="E1406" t="s">
        <v>64</v>
      </c>
      <c r="F1406" t="s">
        <v>2231</v>
      </c>
      <c r="G1406" t="s">
        <v>1995</v>
      </c>
      <c r="H1406" t="s">
        <v>754</v>
      </c>
      <c r="I1406" t="s">
        <v>2565</v>
      </c>
    </row>
    <row r="1407" spans="1:9" x14ac:dyDescent="0.3">
      <c r="A1407">
        <v>1406</v>
      </c>
      <c r="B1407">
        <v>1406</v>
      </c>
      <c r="C1407" t="s">
        <v>3993</v>
      </c>
      <c r="D1407" t="s">
        <v>10</v>
      </c>
      <c r="E1407" t="s">
        <v>243</v>
      </c>
      <c r="F1407" t="s">
        <v>326</v>
      </c>
      <c r="G1407" t="s">
        <v>2348</v>
      </c>
      <c r="H1407" t="s">
        <v>3451</v>
      </c>
      <c r="I1407" t="s">
        <v>2451</v>
      </c>
    </row>
    <row r="1408" spans="1:9" x14ac:dyDescent="0.3">
      <c r="A1408">
        <v>1407</v>
      </c>
      <c r="B1408">
        <v>1407</v>
      </c>
      <c r="C1408" t="s">
        <v>3994</v>
      </c>
      <c r="D1408" t="s">
        <v>10</v>
      </c>
      <c r="E1408" t="s">
        <v>64</v>
      </c>
      <c r="F1408" t="s">
        <v>2481</v>
      </c>
      <c r="G1408" t="s">
        <v>2801</v>
      </c>
      <c r="H1408" t="s">
        <v>1852</v>
      </c>
      <c r="I1408" t="s">
        <v>717</v>
      </c>
    </row>
    <row r="1409" spans="1:9" x14ac:dyDescent="0.3">
      <c r="A1409">
        <v>1408</v>
      </c>
      <c r="B1409">
        <v>1408</v>
      </c>
      <c r="C1409" t="s">
        <v>3995</v>
      </c>
      <c r="D1409" t="s">
        <v>1632</v>
      </c>
      <c r="E1409" t="s">
        <v>23</v>
      </c>
      <c r="F1409" t="s">
        <v>2888</v>
      </c>
      <c r="G1409" t="s">
        <v>3680</v>
      </c>
      <c r="H1409" t="s">
        <v>1722</v>
      </c>
      <c r="I1409" t="s">
        <v>3085</v>
      </c>
    </row>
    <row r="1410" spans="1:9" x14ac:dyDescent="0.3">
      <c r="A1410">
        <v>1409</v>
      </c>
      <c r="B1410">
        <v>1409</v>
      </c>
      <c r="C1410" t="s">
        <v>3996</v>
      </c>
      <c r="D1410" t="s">
        <v>249</v>
      </c>
      <c r="E1410" t="s">
        <v>52</v>
      </c>
      <c r="F1410" t="s">
        <v>1846</v>
      </c>
      <c r="G1410" t="s">
        <v>1910</v>
      </c>
      <c r="H1410" t="s">
        <v>3553</v>
      </c>
      <c r="I1410" t="s">
        <v>2455</v>
      </c>
    </row>
    <row r="1411" spans="1:9" x14ac:dyDescent="0.3">
      <c r="A1411">
        <v>1410</v>
      </c>
      <c r="B1411">
        <v>1410</v>
      </c>
      <c r="C1411" t="s">
        <v>3997</v>
      </c>
      <c r="D1411" t="s">
        <v>3998</v>
      </c>
      <c r="E1411" t="s">
        <v>151</v>
      </c>
      <c r="F1411" t="s">
        <v>3416</v>
      </c>
      <c r="G1411" t="s">
        <v>1202</v>
      </c>
      <c r="H1411" t="s">
        <v>3999</v>
      </c>
      <c r="I1411" t="s">
        <v>3458</v>
      </c>
    </row>
    <row r="1412" spans="1:9" x14ac:dyDescent="0.3">
      <c r="A1412">
        <v>1411</v>
      </c>
      <c r="B1412">
        <v>1411</v>
      </c>
      <c r="C1412" t="s">
        <v>4000</v>
      </c>
      <c r="D1412" t="s">
        <v>10</v>
      </c>
      <c r="E1412" t="s">
        <v>98</v>
      </c>
      <c r="F1412" t="s">
        <v>4001</v>
      </c>
      <c r="G1412" t="s">
        <v>3213</v>
      </c>
      <c r="H1412">
        <v>4</v>
      </c>
      <c r="I1412" t="s">
        <v>1102</v>
      </c>
    </row>
    <row r="1413" spans="1:9" x14ac:dyDescent="0.3">
      <c r="A1413">
        <v>1412</v>
      </c>
      <c r="B1413">
        <v>1412</v>
      </c>
      <c r="C1413" t="s">
        <v>4002</v>
      </c>
      <c r="D1413" t="s">
        <v>10</v>
      </c>
      <c r="E1413" t="s">
        <v>58</v>
      </c>
      <c r="F1413" t="s">
        <v>1556</v>
      </c>
      <c r="G1413" t="s">
        <v>1671</v>
      </c>
      <c r="H1413" t="s">
        <v>4003</v>
      </c>
      <c r="I1413" t="s">
        <v>428</v>
      </c>
    </row>
    <row r="1414" spans="1:9" x14ac:dyDescent="0.3">
      <c r="A1414">
        <v>1413</v>
      </c>
      <c r="B1414">
        <v>1413</v>
      </c>
      <c r="C1414" t="s">
        <v>4004</v>
      </c>
      <c r="D1414" t="s">
        <v>51</v>
      </c>
      <c r="E1414" t="s">
        <v>365</v>
      </c>
      <c r="F1414" t="s">
        <v>2546</v>
      </c>
      <c r="G1414" t="s">
        <v>2092</v>
      </c>
      <c r="H1414" t="s">
        <v>2854</v>
      </c>
      <c r="I1414" t="s">
        <v>2192</v>
      </c>
    </row>
    <row r="1415" spans="1:9" x14ac:dyDescent="0.3">
      <c r="A1415">
        <v>1414</v>
      </c>
      <c r="B1415">
        <v>1414</v>
      </c>
      <c r="C1415" t="s">
        <v>4005</v>
      </c>
      <c r="D1415" t="s">
        <v>249</v>
      </c>
      <c r="E1415" t="s">
        <v>130</v>
      </c>
      <c r="F1415" t="s">
        <v>3926</v>
      </c>
      <c r="G1415" t="s">
        <v>1335</v>
      </c>
      <c r="H1415" t="s">
        <v>2698</v>
      </c>
      <c r="I1415" t="s">
        <v>2278</v>
      </c>
    </row>
    <row r="1416" spans="1:9" x14ac:dyDescent="0.3">
      <c r="A1416">
        <v>1415</v>
      </c>
      <c r="B1416">
        <v>1415</v>
      </c>
      <c r="C1416" t="s">
        <v>4006</v>
      </c>
      <c r="D1416" t="s">
        <v>1079</v>
      </c>
      <c r="E1416" t="s">
        <v>365</v>
      </c>
      <c r="F1416" t="s">
        <v>1225</v>
      </c>
      <c r="G1416" t="s">
        <v>1967</v>
      </c>
      <c r="H1416" t="s">
        <v>454</v>
      </c>
      <c r="I1416" t="s">
        <v>3414</v>
      </c>
    </row>
    <row r="1417" spans="1:9" x14ac:dyDescent="0.3">
      <c r="A1417">
        <v>1416</v>
      </c>
      <c r="B1417">
        <v>1416</v>
      </c>
      <c r="C1417" t="s">
        <v>4007</v>
      </c>
      <c r="D1417" t="s">
        <v>205</v>
      </c>
      <c r="E1417" t="s">
        <v>365</v>
      </c>
      <c r="F1417" t="s">
        <v>2942</v>
      </c>
      <c r="G1417" t="s">
        <v>2455</v>
      </c>
      <c r="H1417" t="s">
        <v>3264</v>
      </c>
      <c r="I1417" t="s">
        <v>3982</v>
      </c>
    </row>
    <row r="1418" spans="1:9" x14ac:dyDescent="0.3">
      <c r="A1418">
        <v>1417</v>
      </c>
      <c r="B1418">
        <v>1417</v>
      </c>
      <c r="C1418" t="s">
        <v>4008</v>
      </c>
      <c r="D1418" t="s">
        <v>51</v>
      </c>
      <c r="E1418" t="s">
        <v>743</v>
      </c>
      <c r="F1418" t="s">
        <v>2258</v>
      </c>
      <c r="G1418" t="s">
        <v>3065</v>
      </c>
      <c r="H1418" t="s">
        <v>2762</v>
      </c>
      <c r="I1418" t="s">
        <v>1359</v>
      </c>
    </row>
    <row r="1419" spans="1:9" x14ac:dyDescent="0.3">
      <c r="A1419">
        <v>1418</v>
      </c>
      <c r="B1419">
        <v>1418</v>
      </c>
      <c r="C1419" t="s">
        <v>4009</v>
      </c>
      <c r="D1419" t="s">
        <v>51</v>
      </c>
      <c r="E1419" t="s">
        <v>706</v>
      </c>
      <c r="F1419" t="s">
        <v>2098</v>
      </c>
      <c r="G1419" t="s">
        <v>1716</v>
      </c>
      <c r="H1419" t="s">
        <v>454</v>
      </c>
      <c r="I1419" t="s">
        <v>2192</v>
      </c>
    </row>
    <row r="1420" spans="1:9" x14ac:dyDescent="0.3">
      <c r="A1420">
        <v>1419</v>
      </c>
      <c r="B1420">
        <v>1419</v>
      </c>
      <c r="C1420" t="s">
        <v>4010</v>
      </c>
      <c r="D1420" t="s">
        <v>10</v>
      </c>
      <c r="E1420" t="s">
        <v>141</v>
      </c>
      <c r="F1420" t="s">
        <v>823</v>
      </c>
      <c r="G1420" t="s">
        <v>1671</v>
      </c>
      <c r="H1420" t="s">
        <v>3229</v>
      </c>
      <c r="I1420" t="s">
        <v>4011</v>
      </c>
    </row>
    <row r="1421" spans="1:9" x14ac:dyDescent="0.3">
      <c r="A1421">
        <v>1420</v>
      </c>
      <c r="B1421">
        <v>1420</v>
      </c>
      <c r="C1421" t="s">
        <v>4012</v>
      </c>
      <c r="D1421" t="s">
        <v>35</v>
      </c>
      <c r="E1421" t="s">
        <v>232</v>
      </c>
      <c r="F1421" t="s">
        <v>501</v>
      </c>
      <c r="G1421" t="s">
        <v>3551</v>
      </c>
      <c r="H1421" t="s">
        <v>3505</v>
      </c>
      <c r="I1421" t="s">
        <v>2610</v>
      </c>
    </row>
    <row r="1422" spans="1:9" x14ac:dyDescent="0.3">
      <c r="A1422">
        <v>1421</v>
      </c>
      <c r="B1422">
        <v>1421</v>
      </c>
      <c r="C1422" t="s">
        <v>4013</v>
      </c>
      <c r="D1422" t="s">
        <v>10</v>
      </c>
      <c r="E1422" t="s">
        <v>58</v>
      </c>
      <c r="F1422" t="s">
        <v>433</v>
      </c>
      <c r="G1422" t="s">
        <v>1577</v>
      </c>
      <c r="H1422" t="s">
        <v>2339</v>
      </c>
      <c r="I1422" t="s">
        <v>2997</v>
      </c>
    </row>
    <row r="1423" spans="1:9" x14ac:dyDescent="0.3">
      <c r="A1423">
        <v>1422</v>
      </c>
      <c r="B1423">
        <v>1422</v>
      </c>
      <c r="C1423" t="s">
        <v>4014</v>
      </c>
      <c r="D1423" t="s">
        <v>1441</v>
      </c>
      <c r="E1423" t="s">
        <v>11</v>
      </c>
      <c r="F1423" t="s">
        <v>749</v>
      </c>
      <c r="G1423" t="s">
        <v>3719</v>
      </c>
      <c r="H1423" t="s">
        <v>1341</v>
      </c>
      <c r="I1423" t="s">
        <v>3451</v>
      </c>
    </row>
    <row r="1424" spans="1:9" x14ac:dyDescent="0.3">
      <c r="A1424">
        <v>1423</v>
      </c>
      <c r="B1424">
        <v>1423</v>
      </c>
      <c r="C1424" t="s">
        <v>4015</v>
      </c>
      <c r="D1424" t="s">
        <v>35</v>
      </c>
      <c r="E1424" t="s">
        <v>706</v>
      </c>
      <c r="F1424" t="s">
        <v>683</v>
      </c>
      <c r="G1424" t="s">
        <v>1716</v>
      </c>
      <c r="H1424" t="s">
        <v>3451</v>
      </c>
      <c r="I1424" t="s">
        <v>2379</v>
      </c>
    </row>
    <row r="1425" spans="1:9" x14ac:dyDescent="0.3">
      <c r="A1425">
        <v>1424</v>
      </c>
      <c r="B1425">
        <v>1424</v>
      </c>
      <c r="C1425" t="s">
        <v>4016</v>
      </c>
      <c r="D1425" t="s">
        <v>35</v>
      </c>
      <c r="E1425" t="s">
        <v>58</v>
      </c>
      <c r="F1425" t="s">
        <v>3485</v>
      </c>
      <c r="G1425" t="s">
        <v>2732</v>
      </c>
      <c r="H1425" t="s">
        <v>1207</v>
      </c>
      <c r="I1425" t="s">
        <v>143</v>
      </c>
    </row>
    <row r="1426" spans="1:9" x14ac:dyDescent="0.3">
      <c r="A1426">
        <v>1425</v>
      </c>
      <c r="B1426">
        <v>1425</v>
      </c>
      <c r="C1426" t="s">
        <v>4017</v>
      </c>
      <c r="D1426" t="s">
        <v>10</v>
      </c>
      <c r="E1426" t="s">
        <v>365</v>
      </c>
      <c r="F1426" t="s">
        <v>2952</v>
      </c>
      <c r="G1426">
        <v>0</v>
      </c>
      <c r="H1426" t="s">
        <v>2073</v>
      </c>
      <c r="I1426" t="s">
        <v>1012</v>
      </c>
    </row>
    <row r="1427" spans="1:9" x14ac:dyDescent="0.3">
      <c r="A1427">
        <v>1426</v>
      </c>
      <c r="B1427">
        <v>1426</v>
      </c>
      <c r="C1427" t="s">
        <v>4018</v>
      </c>
      <c r="D1427" t="s">
        <v>51</v>
      </c>
      <c r="E1427" t="s">
        <v>58</v>
      </c>
      <c r="F1427" t="s">
        <v>239</v>
      </c>
      <c r="G1427" t="s">
        <v>1884</v>
      </c>
      <c r="H1427" t="s">
        <v>4019</v>
      </c>
      <c r="I1427" t="s">
        <v>1259</v>
      </c>
    </row>
    <row r="1428" spans="1:9" x14ac:dyDescent="0.3">
      <c r="A1428">
        <v>1427</v>
      </c>
      <c r="B1428">
        <v>1427</v>
      </c>
      <c r="C1428" t="s">
        <v>4020</v>
      </c>
      <c r="D1428" t="s">
        <v>216</v>
      </c>
      <c r="E1428" t="s">
        <v>706</v>
      </c>
      <c r="F1428" t="s">
        <v>3002</v>
      </c>
      <c r="G1428" t="s">
        <v>2348</v>
      </c>
      <c r="H1428" t="s">
        <v>692</v>
      </c>
      <c r="I1428" t="s">
        <v>2872</v>
      </c>
    </row>
    <row r="1429" spans="1:9" x14ac:dyDescent="0.3">
      <c r="A1429">
        <v>1428</v>
      </c>
      <c r="B1429">
        <v>1428</v>
      </c>
      <c r="C1429" t="s">
        <v>4021</v>
      </c>
      <c r="D1429" t="s">
        <v>70</v>
      </c>
      <c r="E1429" t="s">
        <v>687</v>
      </c>
      <c r="F1429" t="s">
        <v>2266</v>
      </c>
      <c r="G1429" t="s">
        <v>3245</v>
      </c>
      <c r="H1429" t="s">
        <v>3684</v>
      </c>
      <c r="I1429" t="s">
        <v>2332</v>
      </c>
    </row>
    <row r="1430" spans="1:9" x14ac:dyDescent="0.3">
      <c r="A1430">
        <v>1429</v>
      </c>
      <c r="B1430">
        <v>1429</v>
      </c>
      <c r="C1430" t="s">
        <v>4022</v>
      </c>
      <c r="D1430" t="s">
        <v>417</v>
      </c>
      <c r="E1430" t="s">
        <v>634</v>
      </c>
      <c r="F1430" t="s">
        <v>905</v>
      </c>
      <c r="G1430" t="s">
        <v>2471</v>
      </c>
      <c r="H1430" t="s">
        <v>586</v>
      </c>
      <c r="I1430" t="s">
        <v>1906</v>
      </c>
    </row>
    <row r="1431" spans="1:9" x14ac:dyDescent="0.3">
      <c r="A1431">
        <v>1430</v>
      </c>
      <c r="B1431">
        <v>1430</v>
      </c>
      <c r="C1431" t="s">
        <v>4023</v>
      </c>
      <c r="D1431" t="s">
        <v>452</v>
      </c>
      <c r="E1431" t="s">
        <v>58</v>
      </c>
      <c r="F1431" t="s">
        <v>1094</v>
      </c>
      <c r="G1431" t="s">
        <v>1716</v>
      </c>
      <c r="H1431" t="s">
        <v>995</v>
      </c>
      <c r="I1431" t="s">
        <v>2299</v>
      </c>
    </row>
    <row r="1432" spans="1:9" x14ac:dyDescent="0.3">
      <c r="A1432">
        <v>1431</v>
      </c>
      <c r="B1432">
        <v>1431</v>
      </c>
      <c r="C1432" t="s">
        <v>4024</v>
      </c>
      <c r="D1432" t="s">
        <v>10</v>
      </c>
      <c r="E1432" t="s">
        <v>141</v>
      </c>
      <c r="F1432" t="s">
        <v>3449</v>
      </c>
      <c r="G1432" t="s">
        <v>2348</v>
      </c>
      <c r="H1432" t="s">
        <v>218</v>
      </c>
      <c r="I1432" t="s">
        <v>2654</v>
      </c>
    </row>
    <row r="1433" spans="1:9" x14ac:dyDescent="0.3">
      <c r="A1433">
        <v>1432</v>
      </c>
      <c r="B1433">
        <v>1432</v>
      </c>
      <c r="C1433" t="s">
        <v>4025</v>
      </c>
      <c r="D1433" t="s">
        <v>417</v>
      </c>
      <c r="E1433" t="s">
        <v>64</v>
      </c>
      <c r="F1433" t="s">
        <v>838</v>
      </c>
      <c r="G1433" t="s">
        <v>1572</v>
      </c>
      <c r="H1433" t="s">
        <v>3068</v>
      </c>
      <c r="I1433" t="s">
        <v>72</v>
      </c>
    </row>
    <row r="1434" spans="1:9" x14ac:dyDescent="0.3">
      <c r="A1434">
        <v>1433</v>
      </c>
      <c r="B1434">
        <v>1433</v>
      </c>
      <c r="C1434" t="s">
        <v>4026</v>
      </c>
      <c r="D1434" t="s">
        <v>35</v>
      </c>
      <c r="E1434" t="s">
        <v>345</v>
      </c>
      <c r="F1434" t="s">
        <v>947</v>
      </c>
      <c r="G1434" t="s">
        <v>1671</v>
      </c>
      <c r="H1434" t="s">
        <v>899</v>
      </c>
      <c r="I1434" t="s">
        <v>3451</v>
      </c>
    </row>
    <row r="1435" spans="1:9" x14ac:dyDescent="0.3">
      <c r="A1435">
        <v>1434</v>
      </c>
      <c r="B1435">
        <v>1434</v>
      </c>
      <c r="C1435" t="s">
        <v>4027</v>
      </c>
      <c r="D1435" t="s">
        <v>10</v>
      </c>
      <c r="E1435" t="s">
        <v>64</v>
      </c>
      <c r="F1435" t="s">
        <v>486</v>
      </c>
      <c r="G1435" t="s">
        <v>1716</v>
      </c>
      <c r="H1435" t="s">
        <v>567</v>
      </c>
      <c r="I1435" t="s">
        <v>2266</v>
      </c>
    </row>
    <row r="1436" spans="1:9" x14ac:dyDescent="0.3">
      <c r="A1436">
        <v>1435</v>
      </c>
      <c r="B1436">
        <v>1435</v>
      </c>
      <c r="C1436" t="s">
        <v>4028</v>
      </c>
      <c r="D1436" t="s">
        <v>35</v>
      </c>
      <c r="E1436" t="s">
        <v>64</v>
      </c>
      <c r="F1436" t="s">
        <v>234</v>
      </c>
      <c r="G1436" t="s">
        <v>1118</v>
      </c>
      <c r="H1436">
        <v>2</v>
      </c>
      <c r="I1436" t="s">
        <v>2500</v>
      </c>
    </row>
    <row r="1437" spans="1:9" x14ac:dyDescent="0.3">
      <c r="A1437">
        <v>1436</v>
      </c>
      <c r="B1437">
        <v>1436</v>
      </c>
      <c r="C1437" t="s">
        <v>4029</v>
      </c>
      <c r="D1437" t="s">
        <v>216</v>
      </c>
      <c r="E1437" t="s">
        <v>58</v>
      </c>
      <c r="F1437" t="s">
        <v>1164</v>
      </c>
      <c r="G1437" t="s">
        <v>1958</v>
      </c>
      <c r="H1437" t="s">
        <v>2537</v>
      </c>
      <c r="I1437" t="s">
        <v>3384</v>
      </c>
    </row>
    <row r="1438" spans="1:9" x14ac:dyDescent="0.3">
      <c r="A1438">
        <v>1437</v>
      </c>
      <c r="B1438">
        <v>1437</v>
      </c>
      <c r="C1438" t="s">
        <v>4030</v>
      </c>
      <c r="D1438" t="s">
        <v>205</v>
      </c>
      <c r="E1438" t="s">
        <v>23</v>
      </c>
      <c r="F1438" t="s">
        <v>2932</v>
      </c>
      <c r="G1438" t="s">
        <v>2842</v>
      </c>
      <c r="H1438" t="s">
        <v>2169</v>
      </c>
      <c r="I1438" t="s">
        <v>2502</v>
      </c>
    </row>
    <row r="1439" spans="1:9" x14ac:dyDescent="0.3">
      <c r="A1439">
        <v>1438</v>
      </c>
      <c r="B1439">
        <v>1438</v>
      </c>
      <c r="C1439" t="s">
        <v>4031</v>
      </c>
      <c r="D1439" t="s">
        <v>35</v>
      </c>
      <c r="E1439" t="s">
        <v>232</v>
      </c>
      <c r="F1439" t="s">
        <v>2958</v>
      </c>
      <c r="G1439" t="s">
        <v>2455</v>
      </c>
      <c r="H1439" t="s">
        <v>201</v>
      </c>
      <c r="I1439" t="s">
        <v>2549</v>
      </c>
    </row>
    <row r="1440" spans="1:9" x14ac:dyDescent="0.3">
      <c r="A1440">
        <v>1439</v>
      </c>
      <c r="B1440">
        <v>1439</v>
      </c>
      <c r="C1440" t="s">
        <v>4032</v>
      </c>
      <c r="D1440" t="s">
        <v>51</v>
      </c>
      <c r="E1440" t="s">
        <v>687</v>
      </c>
      <c r="F1440" t="s">
        <v>3646</v>
      </c>
      <c r="G1440" t="s">
        <v>1572</v>
      </c>
      <c r="H1440" t="s">
        <v>2058</v>
      </c>
      <c r="I1440" t="s">
        <v>2190</v>
      </c>
    </row>
    <row r="1441" spans="1:9" x14ac:dyDescent="0.3">
      <c r="A1441">
        <v>1440</v>
      </c>
      <c r="B1441">
        <v>1440</v>
      </c>
      <c r="C1441" t="s">
        <v>4033</v>
      </c>
      <c r="D1441" t="s">
        <v>1679</v>
      </c>
      <c r="E1441" t="s">
        <v>130</v>
      </c>
      <c r="F1441" t="s">
        <v>533</v>
      </c>
      <c r="G1441" t="s">
        <v>1577</v>
      </c>
      <c r="H1441" t="s">
        <v>670</v>
      </c>
      <c r="I1441" t="s">
        <v>438</v>
      </c>
    </row>
    <row r="1442" spans="1:9" x14ac:dyDescent="0.3">
      <c r="A1442">
        <v>1441</v>
      </c>
      <c r="B1442">
        <v>1441</v>
      </c>
      <c r="C1442" t="s">
        <v>4034</v>
      </c>
      <c r="D1442" t="s">
        <v>10</v>
      </c>
      <c r="E1442" t="s">
        <v>345</v>
      </c>
      <c r="F1442" t="s">
        <v>3455</v>
      </c>
      <c r="G1442" t="s">
        <v>1870</v>
      </c>
      <c r="H1442" t="s">
        <v>4035</v>
      </c>
      <c r="I1442" t="s">
        <v>2986</v>
      </c>
    </row>
    <row r="1443" spans="1:9" x14ac:dyDescent="0.3">
      <c r="A1443">
        <v>1442</v>
      </c>
      <c r="B1443">
        <v>1442</v>
      </c>
      <c r="C1443" t="s">
        <v>4036</v>
      </c>
      <c r="D1443" t="s">
        <v>35</v>
      </c>
      <c r="E1443" t="s">
        <v>365</v>
      </c>
      <c r="F1443" t="s">
        <v>2442</v>
      </c>
      <c r="G1443" t="s">
        <v>2009</v>
      </c>
      <c r="H1443" t="s">
        <v>2662</v>
      </c>
      <c r="I1443" t="s">
        <v>3285</v>
      </c>
    </row>
    <row r="1444" spans="1:9" x14ac:dyDescent="0.3">
      <c r="A1444">
        <v>1443</v>
      </c>
      <c r="B1444">
        <v>1443</v>
      </c>
      <c r="C1444" t="s">
        <v>4037</v>
      </c>
      <c r="D1444" t="s">
        <v>51</v>
      </c>
      <c r="E1444" t="s">
        <v>464</v>
      </c>
      <c r="F1444" t="s">
        <v>738</v>
      </c>
      <c r="G1444" t="s">
        <v>3259</v>
      </c>
      <c r="H1444" t="s">
        <v>2762</v>
      </c>
      <c r="I1444" t="s">
        <v>3801</v>
      </c>
    </row>
    <row r="1445" spans="1:9" x14ac:dyDescent="0.3">
      <c r="A1445">
        <v>1444</v>
      </c>
      <c r="B1445">
        <v>1444</v>
      </c>
      <c r="C1445" t="s">
        <v>4038</v>
      </c>
      <c r="D1445" t="s">
        <v>3592</v>
      </c>
      <c r="E1445" t="s">
        <v>151</v>
      </c>
      <c r="F1445" t="s">
        <v>3365</v>
      </c>
      <c r="G1445" t="s">
        <v>2376</v>
      </c>
      <c r="H1445" t="s">
        <v>2576</v>
      </c>
      <c r="I1445" t="s">
        <v>2534</v>
      </c>
    </row>
    <row r="1446" spans="1:9" x14ac:dyDescent="0.3">
      <c r="A1446">
        <v>1445</v>
      </c>
      <c r="B1446">
        <v>1445</v>
      </c>
      <c r="C1446" t="s">
        <v>4039</v>
      </c>
      <c r="D1446" t="s">
        <v>1617</v>
      </c>
      <c r="E1446" t="s">
        <v>365</v>
      </c>
      <c r="F1446" t="s">
        <v>3510</v>
      </c>
      <c r="G1446" t="s">
        <v>2348</v>
      </c>
      <c r="H1446" t="s">
        <v>2879</v>
      </c>
      <c r="I1446" t="s">
        <v>3021</v>
      </c>
    </row>
    <row r="1447" spans="1:9" x14ac:dyDescent="0.3">
      <c r="A1447">
        <v>1446</v>
      </c>
      <c r="B1447">
        <v>1446</v>
      </c>
      <c r="C1447" t="s">
        <v>4040</v>
      </c>
      <c r="D1447" t="s">
        <v>10</v>
      </c>
      <c r="E1447" t="s">
        <v>64</v>
      </c>
      <c r="F1447" t="s">
        <v>2393</v>
      </c>
      <c r="G1447" t="s">
        <v>3608</v>
      </c>
      <c r="H1447" t="s">
        <v>2345</v>
      </c>
      <c r="I1447" t="s">
        <v>833</v>
      </c>
    </row>
    <row r="1448" spans="1:9" x14ac:dyDescent="0.3">
      <c r="A1448">
        <v>1447</v>
      </c>
      <c r="B1448">
        <v>1447</v>
      </c>
      <c r="C1448" t="s">
        <v>4041</v>
      </c>
      <c r="D1448" t="s">
        <v>1441</v>
      </c>
      <c r="E1448" t="s">
        <v>98</v>
      </c>
      <c r="F1448" t="s">
        <v>2904</v>
      </c>
      <c r="G1448" t="s">
        <v>1118</v>
      </c>
      <c r="H1448" t="s">
        <v>501</v>
      </c>
      <c r="I1448" t="s">
        <v>3652</v>
      </c>
    </row>
    <row r="1449" spans="1:9" x14ac:dyDescent="0.3">
      <c r="A1449">
        <v>1448</v>
      </c>
      <c r="B1449">
        <v>1448</v>
      </c>
      <c r="C1449" t="s">
        <v>4042</v>
      </c>
      <c r="D1449" t="s">
        <v>51</v>
      </c>
      <c r="E1449" t="s">
        <v>141</v>
      </c>
      <c r="F1449" t="s">
        <v>387</v>
      </c>
      <c r="G1449" t="s">
        <v>1958</v>
      </c>
      <c r="H1449" t="s">
        <v>1878</v>
      </c>
      <c r="I1449">
        <v>5</v>
      </c>
    </row>
    <row r="1450" spans="1:9" x14ac:dyDescent="0.3">
      <c r="A1450">
        <v>1449</v>
      </c>
      <c r="B1450">
        <v>1449</v>
      </c>
      <c r="C1450" t="s">
        <v>4043</v>
      </c>
      <c r="D1450" t="s">
        <v>249</v>
      </c>
      <c r="E1450" t="s">
        <v>365</v>
      </c>
      <c r="F1450" t="s">
        <v>2788</v>
      </c>
      <c r="G1450" t="s">
        <v>1572</v>
      </c>
      <c r="H1450" t="s">
        <v>2274</v>
      </c>
      <c r="I1450" t="s">
        <v>754</v>
      </c>
    </row>
    <row r="1451" spans="1:9" x14ac:dyDescent="0.3">
      <c r="A1451">
        <v>1450</v>
      </c>
      <c r="B1451">
        <v>1450</v>
      </c>
      <c r="C1451" t="s">
        <v>4044</v>
      </c>
      <c r="D1451" t="s">
        <v>10</v>
      </c>
      <c r="E1451" t="s">
        <v>52</v>
      </c>
      <c r="F1451" t="s">
        <v>2601</v>
      </c>
      <c r="G1451" t="s">
        <v>3054</v>
      </c>
      <c r="H1451" t="s">
        <v>3803</v>
      </c>
      <c r="I1451" t="s">
        <v>3551</v>
      </c>
    </row>
    <row r="1452" spans="1:9" x14ac:dyDescent="0.3">
      <c r="A1452">
        <v>1451</v>
      </c>
      <c r="B1452">
        <v>1451</v>
      </c>
      <c r="C1452" t="s">
        <v>4045</v>
      </c>
      <c r="D1452" t="s">
        <v>458</v>
      </c>
      <c r="E1452" t="s">
        <v>634</v>
      </c>
      <c r="F1452" t="s">
        <v>316</v>
      </c>
      <c r="G1452" t="s">
        <v>1716</v>
      </c>
      <c r="H1452" t="s">
        <v>3492</v>
      </c>
      <c r="I1452" t="s">
        <v>3250</v>
      </c>
    </row>
    <row r="1453" spans="1:9" x14ac:dyDescent="0.3">
      <c r="A1453">
        <v>1452</v>
      </c>
      <c r="B1453">
        <v>1452</v>
      </c>
      <c r="C1453" t="s">
        <v>4046</v>
      </c>
      <c r="D1453" t="s">
        <v>2672</v>
      </c>
      <c r="E1453" t="s">
        <v>130</v>
      </c>
      <c r="F1453" t="s">
        <v>3999</v>
      </c>
      <c r="G1453" t="s">
        <v>1741</v>
      </c>
      <c r="H1453" t="s">
        <v>1359</v>
      </c>
      <c r="I1453" t="s">
        <v>3378</v>
      </c>
    </row>
    <row r="1454" spans="1:9" x14ac:dyDescent="0.3">
      <c r="A1454">
        <v>1453</v>
      </c>
      <c r="B1454">
        <v>1453</v>
      </c>
      <c r="C1454" t="s">
        <v>4047</v>
      </c>
      <c r="D1454" t="s">
        <v>10</v>
      </c>
      <c r="E1454" t="s">
        <v>130</v>
      </c>
      <c r="F1454" t="s">
        <v>372</v>
      </c>
      <c r="G1454" t="s">
        <v>1506</v>
      </c>
      <c r="H1454" t="s">
        <v>2888</v>
      </c>
      <c r="I1454" t="s">
        <v>3190</v>
      </c>
    </row>
    <row r="1455" spans="1:9" x14ac:dyDescent="0.3">
      <c r="A1455">
        <v>1454</v>
      </c>
      <c r="B1455">
        <v>1454</v>
      </c>
      <c r="C1455" t="s">
        <v>4048</v>
      </c>
      <c r="D1455" t="s">
        <v>10</v>
      </c>
      <c r="E1455" t="s">
        <v>726</v>
      </c>
      <c r="F1455" t="s">
        <v>3492</v>
      </c>
      <c r="G1455" t="s">
        <v>1967</v>
      </c>
      <c r="H1455" t="s">
        <v>3866</v>
      </c>
      <c r="I1455" t="s">
        <v>3866</v>
      </c>
    </row>
    <row r="1456" spans="1:9" x14ac:dyDescent="0.3">
      <c r="A1456">
        <v>1455</v>
      </c>
      <c r="B1456">
        <v>1455</v>
      </c>
      <c r="C1456" t="s">
        <v>4049</v>
      </c>
      <c r="D1456" t="s">
        <v>10</v>
      </c>
      <c r="E1456" t="s">
        <v>23</v>
      </c>
      <c r="F1456" t="s">
        <v>4050</v>
      </c>
      <c r="G1456" t="s">
        <v>2471</v>
      </c>
      <c r="H1456" t="s">
        <v>1514</v>
      </c>
      <c r="I1456" t="s">
        <v>234</v>
      </c>
    </row>
    <row r="1457" spans="1:9" x14ac:dyDescent="0.3">
      <c r="A1457">
        <v>1456</v>
      </c>
      <c r="B1457">
        <v>1456</v>
      </c>
      <c r="C1457" t="s">
        <v>4051</v>
      </c>
      <c r="D1457" t="s">
        <v>584</v>
      </c>
      <c r="E1457" t="s">
        <v>726</v>
      </c>
      <c r="F1457" t="s">
        <v>3008</v>
      </c>
      <c r="G1457" t="s">
        <v>2543</v>
      </c>
      <c r="H1457" t="s">
        <v>2766</v>
      </c>
      <c r="I1457" t="s">
        <v>326</v>
      </c>
    </row>
    <row r="1458" spans="1:9" x14ac:dyDescent="0.3">
      <c r="A1458">
        <v>1457</v>
      </c>
      <c r="B1458">
        <v>1457</v>
      </c>
      <c r="C1458" t="s">
        <v>4052</v>
      </c>
      <c r="D1458" t="s">
        <v>10</v>
      </c>
      <c r="E1458" t="s">
        <v>11</v>
      </c>
      <c r="F1458" t="s">
        <v>3041</v>
      </c>
      <c r="G1458" t="s">
        <v>1506</v>
      </c>
      <c r="H1458" t="s">
        <v>4053</v>
      </c>
      <c r="I1458" t="s">
        <v>486</v>
      </c>
    </row>
    <row r="1459" spans="1:9" x14ac:dyDescent="0.3">
      <c r="A1459">
        <v>1458</v>
      </c>
      <c r="B1459">
        <v>1458</v>
      </c>
      <c r="C1459" t="s">
        <v>4054</v>
      </c>
      <c r="D1459" t="s">
        <v>10</v>
      </c>
      <c r="E1459" t="s">
        <v>23</v>
      </c>
      <c r="F1459" t="s">
        <v>838</v>
      </c>
      <c r="G1459" t="s">
        <v>4055</v>
      </c>
      <c r="H1459" t="s">
        <v>4056</v>
      </c>
      <c r="I1459" t="s">
        <v>4057</v>
      </c>
    </row>
    <row r="1460" spans="1:9" x14ac:dyDescent="0.3">
      <c r="A1460">
        <v>1459</v>
      </c>
      <c r="B1460">
        <v>1459</v>
      </c>
      <c r="C1460" t="s">
        <v>4058</v>
      </c>
      <c r="D1460" t="s">
        <v>51</v>
      </c>
      <c r="E1460" t="s">
        <v>58</v>
      </c>
      <c r="F1460" t="s">
        <v>3236</v>
      </c>
      <c r="G1460" t="s">
        <v>2982</v>
      </c>
      <c r="H1460" t="s">
        <v>1209</v>
      </c>
      <c r="I1460" t="s">
        <v>2755</v>
      </c>
    </row>
    <row r="1461" spans="1:9" x14ac:dyDescent="0.3">
      <c r="A1461">
        <v>1460</v>
      </c>
      <c r="B1461">
        <v>1460</v>
      </c>
      <c r="C1461" t="s">
        <v>4059</v>
      </c>
      <c r="D1461" t="s">
        <v>1617</v>
      </c>
      <c r="E1461" t="s">
        <v>17</v>
      </c>
      <c r="F1461" t="s">
        <v>2942</v>
      </c>
      <c r="G1461" t="s">
        <v>1506</v>
      </c>
      <c r="H1461" t="s">
        <v>2698</v>
      </c>
      <c r="I1461" t="s">
        <v>528</v>
      </c>
    </row>
    <row r="1462" spans="1:9" x14ac:dyDescent="0.3">
      <c r="A1462">
        <v>1461</v>
      </c>
      <c r="B1462">
        <v>1461</v>
      </c>
      <c r="C1462" t="s">
        <v>4060</v>
      </c>
      <c r="D1462" t="s">
        <v>51</v>
      </c>
      <c r="E1462" t="s">
        <v>706</v>
      </c>
      <c r="F1462" t="s">
        <v>2986</v>
      </c>
      <c r="G1462" t="s">
        <v>2471</v>
      </c>
      <c r="H1462" t="s">
        <v>2115</v>
      </c>
      <c r="I1462" t="s">
        <v>3378</v>
      </c>
    </row>
    <row r="1463" spans="1:9" x14ac:dyDescent="0.3">
      <c r="A1463">
        <v>1462</v>
      </c>
      <c r="B1463">
        <v>1462</v>
      </c>
      <c r="C1463" t="s">
        <v>4061</v>
      </c>
      <c r="D1463" t="s">
        <v>10</v>
      </c>
      <c r="E1463" t="s">
        <v>64</v>
      </c>
      <c r="F1463">
        <v>3</v>
      </c>
      <c r="G1463" t="s">
        <v>1506</v>
      </c>
      <c r="H1463" t="s">
        <v>3365</v>
      </c>
      <c r="I1463" t="s">
        <v>2958</v>
      </c>
    </row>
    <row r="1464" spans="1:9" x14ac:dyDescent="0.3">
      <c r="A1464">
        <v>1463</v>
      </c>
      <c r="B1464">
        <v>1463</v>
      </c>
      <c r="C1464" t="s">
        <v>4062</v>
      </c>
      <c r="D1464" t="s">
        <v>249</v>
      </c>
      <c r="E1464" t="s">
        <v>98</v>
      </c>
      <c r="F1464" t="s">
        <v>619</v>
      </c>
      <c r="G1464" t="s">
        <v>1671</v>
      </c>
      <c r="H1464">
        <v>3</v>
      </c>
      <c r="I1464" t="s">
        <v>3190</v>
      </c>
    </row>
    <row r="1465" spans="1:9" x14ac:dyDescent="0.3">
      <c r="A1465">
        <v>1464</v>
      </c>
      <c r="B1465">
        <v>1464</v>
      </c>
      <c r="C1465" t="s">
        <v>4063</v>
      </c>
      <c r="D1465" t="s">
        <v>10</v>
      </c>
      <c r="E1465" t="s">
        <v>11</v>
      </c>
      <c r="F1465" t="s">
        <v>1568</v>
      </c>
      <c r="G1465" t="s">
        <v>3060</v>
      </c>
      <c r="H1465" t="s">
        <v>2311</v>
      </c>
      <c r="I1465" t="s">
        <v>3557</v>
      </c>
    </row>
    <row r="1466" spans="1:9" x14ac:dyDescent="0.3">
      <c r="A1466">
        <v>1465</v>
      </c>
      <c r="B1466">
        <v>1465</v>
      </c>
      <c r="C1466" t="s">
        <v>4064</v>
      </c>
      <c r="D1466" t="s">
        <v>10</v>
      </c>
      <c r="E1466" t="s">
        <v>23</v>
      </c>
      <c r="F1466" t="s">
        <v>3485</v>
      </c>
      <c r="G1466" t="s">
        <v>1506</v>
      </c>
      <c r="H1466" t="s">
        <v>3657</v>
      </c>
      <c r="I1466" t="s">
        <v>3806</v>
      </c>
    </row>
    <row r="1467" spans="1:9" x14ac:dyDescent="0.3">
      <c r="A1467">
        <v>1466</v>
      </c>
      <c r="B1467">
        <v>1466</v>
      </c>
      <c r="C1467" t="s">
        <v>4065</v>
      </c>
      <c r="D1467" t="s">
        <v>76</v>
      </c>
      <c r="E1467" t="s">
        <v>706</v>
      </c>
      <c r="F1467" t="s">
        <v>4066</v>
      </c>
      <c r="G1467" t="s">
        <v>2555</v>
      </c>
      <c r="H1467" t="s">
        <v>3034</v>
      </c>
      <c r="I1467" t="s">
        <v>692</v>
      </c>
    </row>
    <row r="1468" spans="1:9" x14ac:dyDescent="0.3">
      <c r="A1468">
        <v>1467</v>
      </c>
      <c r="B1468">
        <v>1467</v>
      </c>
      <c r="C1468" t="s">
        <v>4067</v>
      </c>
      <c r="D1468" t="s">
        <v>1679</v>
      </c>
      <c r="E1468" t="s">
        <v>58</v>
      </c>
      <c r="F1468" t="s">
        <v>1407</v>
      </c>
      <c r="G1468" t="s">
        <v>1741</v>
      </c>
      <c r="H1468" t="s">
        <v>4068</v>
      </c>
      <c r="I1468" t="s">
        <v>915</v>
      </c>
    </row>
    <row r="1469" spans="1:9" x14ac:dyDescent="0.3">
      <c r="A1469">
        <v>1468</v>
      </c>
      <c r="B1469">
        <v>1468</v>
      </c>
      <c r="C1469" t="s">
        <v>4069</v>
      </c>
      <c r="D1469" t="s">
        <v>51</v>
      </c>
      <c r="E1469" t="s">
        <v>706</v>
      </c>
      <c r="F1469" t="s">
        <v>115</v>
      </c>
      <c r="G1469" t="s">
        <v>2703</v>
      </c>
      <c r="H1469" t="s">
        <v>3045</v>
      </c>
      <c r="I1469" t="s">
        <v>454</v>
      </c>
    </row>
    <row r="1470" spans="1:9" x14ac:dyDescent="0.3">
      <c r="A1470">
        <v>1469</v>
      </c>
      <c r="B1470">
        <v>1469</v>
      </c>
      <c r="C1470" t="s">
        <v>4070</v>
      </c>
      <c r="D1470" t="s">
        <v>1079</v>
      </c>
      <c r="E1470" t="s">
        <v>130</v>
      </c>
      <c r="F1470" t="s">
        <v>2534</v>
      </c>
      <c r="G1470" t="s">
        <v>1995</v>
      </c>
      <c r="H1470" t="s">
        <v>3703</v>
      </c>
      <c r="I1470" t="s">
        <v>1493</v>
      </c>
    </row>
    <row r="1471" spans="1:9" x14ac:dyDescent="0.3">
      <c r="A1471">
        <v>1470</v>
      </c>
      <c r="B1471">
        <v>1470</v>
      </c>
      <c r="C1471" t="s">
        <v>4071</v>
      </c>
      <c r="D1471" t="s">
        <v>10</v>
      </c>
      <c r="E1471" t="s">
        <v>29</v>
      </c>
      <c r="F1471" t="s">
        <v>294</v>
      </c>
      <c r="G1471" t="s">
        <v>1563</v>
      </c>
      <c r="H1471" t="s">
        <v>2231</v>
      </c>
      <c r="I1471" t="s">
        <v>3229</v>
      </c>
    </row>
    <row r="1472" spans="1:9" x14ac:dyDescent="0.3">
      <c r="A1472">
        <v>1471</v>
      </c>
      <c r="B1472">
        <v>1471</v>
      </c>
      <c r="C1472" t="s">
        <v>4072</v>
      </c>
      <c r="D1472" t="s">
        <v>10</v>
      </c>
      <c r="E1472" t="s">
        <v>243</v>
      </c>
      <c r="F1472" t="s">
        <v>1936</v>
      </c>
      <c r="G1472" t="s">
        <v>1572</v>
      </c>
      <c r="H1472" t="s">
        <v>3768</v>
      </c>
      <c r="I1472" t="s">
        <v>2537</v>
      </c>
    </row>
    <row r="1473" spans="1:9" x14ac:dyDescent="0.3">
      <c r="A1473">
        <v>1472</v>
      </c>
      <c r="B1473">
        <v>1472</v>
      </c>
      <c r="C1473" t="s">
        <v>4073</v>
      </c>
      <c r="D1473" t="s">
        <v>35</v>
      </c>
      <c r="E1473" t="s">
        <v>58</v>
      </c>
      <c r="F1473" t="s">
        <v>2369</v>
      </c>
      <c r="G1473" t="s">
        <v>2471</v>
      </c>
      <c r="H1473" t="s">
        <v>1216</v>
      </c>
      <c r="I1473" t="s">
        <v>3277</v>
      </c>
    </row>
    <row r="1474" spans="1:9" x14ac:dyDescent="0.3">
      <c r="A1474">
        <v>1473</v>
      </c>
      <c r="B1474">
        <v>1473</v>
      </c>
      <c r="C1474" t="s">
        <v>4074</v>
      </c>
      <c r="D1474" t="s">
        <v>10</v>
      </c>
      <c r="E1474" t="s">
        <v>11</v>
      </c>
      <c r="F1474" t="s">
        <v>1607</v>
      </c>
      <c r="G1474" t="s">
        <v>3060</v>
      </c>
      <c r="H1474" t="s">
        <v>3792</v>
      </c>
      <c r="I1474" t="s">
        <v>2897</v>
      </c>
    </row>
    <row r="1475" spans="1:9" x14ac:dyDescent="0.3">
      <c r="A1475">
        <v>1474</v>
      </c>
      <c r="B1475">
        <v>1474</v>
      </c>
      <c r="C1475" t="s">
        <v>4075</v>
      </c>
      <c r="D1475" t="s">
        <v>205</v>
      </c>
      <c r="E1475" t="s">
        <v>11</v>
      </c>
      <c r="F1475" t="s">
        <v>523</v>
      </c>
      <c r="G1475" t="s">
        <v>2471</v>
      </c>
      <c r="H1475" t="s">
        <v>4076</v>
      </c>
      <c r="I1475" t="s">
        <v>3801</v>
      </c>
    </row>
    <row r="1476" spans="1:9" x14ac:dyDescent="0.3">
      <c r="A1476">
        <v>1475</v>
      </c>
      <c r="B1476">
        <v>1475</v>
      </c>
      <c r="C1476" t="s">
        <v>4077</v>
      </c>
      <c r="D1476" t="s">
        <v>10</v>
      </c>
      <c r="E1476" t="s">
        <v>743</v>
      </c>
      <c r="F1476" t="s">
        <v>702</v>
      </c>
      <c r="G1476" t="s">
        <v>2348</v>
      </c>
      <c r="H1476" t="s">
        <v>3199</v>
      </c>
      <c r="I1476" t="s">
        <v>207</v>
      </c>
    </row>
    <row r="1477" spans="1:9" x14ac:dyDescent="0.3">
      <c r="A1477">
        <v>1476</v>
      </c>
      <c r="B1477">
        <v>1476</v>
      </c>
      <c r="C1477" t="s">
        <v>4078</v>
      </c>
      <c r="D1477" t="s">
        <v>10</v>
      </c>
      <c r="E1477" t="s">
        <v>141</v>
      </c>
      <c r="F1477" t="s">
        <v>1259</v>
      </c>
      <c r="G1477" t="s">
        <v>3608</v>
      </c>
      <c r="H1477" t="s">
        <v>2403</v>
      </c>
      <c r="I1477" t="s">
        <v>1670</v>
      </c>
    </row>
    <row r="1478" spans="1:9" x14ac:dyDescent="0.3">
      <c r="A1478">
        <v>1477</v>
      </c>
      <c r="B1478">
        <v>1477</v>
      </c>
      <c r="C1478" t="s">
        <v>4079</v>
      </c>
      <c r="D1478" t="s">
        <v>124</v>
      </c>
      <c r="E1478" t="s">
        <v>23</v>
      </c>
      <c r="F1478">
        <v>3</v>
      </c>
      <c r="G1478" t="s">
        <v>2732</v>
      </c>
      <c r="H1478" t="s">
        <v>2265</v>
      </c>
      <c r="I1478" t="s">
        <v>662</v>
      </c>
    </row>
    <row r="1479" spans="1:9" x14ac:dyDescent="0.3">
      <c r="A1479">
        <v>1478</v>
      </c>
      <c r="B1479">
        <v>1478</v>
      </c>
      <c r="C1479" t="s">
        <v>4080</v>
      </c>
      <c r="D1479" t="s">
        <v>10</v>
      </c>
      <c r="E1479" t="s">
        <v>715</v>
      </c>
      <c r="F1479" t="s">
        <v>3652</v>
      </c>
      <c r="G1479" t="s">
        <v>1857</v>
      </c>
      <c r="H1479" t="s">
        <v>382</v>
      </c>
      <c r="I1479" t="s">
        <v>2971</v>
      </c>
    </row>
    <row r="1480" spans="1:9" x14ac:dyDescent="0.3">
      <c r="A1480">
        <v>1479</v>
      </c>
      <c r="B1480">
        <v>1479</v>
      </c>
      <c r="C1480" t="s">
        <v>4081</v>
      </c>
      <c r="D1480" t="s">
        <v>10</v>
      </c>
      <c r="E1480" t="s">
        <v>11</v>
      </c>
      <c r="F1480" t="s">
        <v>523</v>
      </c>
      <c r="G1480" t="s">
        <v>2471</v>
      </c>
      <c r="H1480" t="s">
        <v>4082</v>
      </c>
      <c r="I1480" t="s">
        <v>2882</v>
      </c>
    </row>
    <row r="1481" spans="1:9" x14ac:dyDescent="0.3">
      <c r="A1481">
        <v>1480</v>
      </c>
      <c r="B1481">
        <v>1480</v>
      </c>
      <c r="C1481" t="s">
        <v>4083</v>
      </c>
      <c r="D1481" t="s">
        <v>10</v>
      </c>
      <c r="E1481" t="s">
        <v>365</v>
      </c>
      <c r="F1481" t="s">
        <v>272</v>
      </c>
      <c r="G1481" t="s">
        <v>1995</v>
      </c>
      <c r="H1481" t="s">
        <v>891</v>
      </c>
      <c r="I1481" t="s">
        <v>1641</v>
      </c>
    </row>
    <row r="1482" spans="1:9" x14ac:dyDescent="0.3">
      <c r="A1482">
        <v>1481</v>
      </c>
      <c r="B1482">
        <v>1481</v>
      </c>
      <c r="C1482" t="s">
        <v>4084</v>
      </c>
      <c r="D1482" t="s">
        <v>1679</v>
      </c>
      <c r="E1482" t="s">
        <v>634</v>
      </c>
      <c r="F1482" t="s">
        <v>3085</v>
      </c>
      <c r="G1482">
        <v>0</v>
      </c>
      <c r="H1482" t="s">
        <v>1427</v>
      </c>
      <c r="I1482" t="s">
        <v>547</v>
      </c>
    </row>
    <row r="1483" spans="1:9" x14ac:dyDescent="0.3">
      <c r="A1483">
        <v>1482</v>
      </c>
      <c r="B1483">
        <v>1482</v>
      </c>
      <c r="C1483" t="s">
        <v>4085</v>
      </c>
      <c r="D1483" t="s">
        <v>70</v>
      </c>
      <c r="E1483" t="s">
        <v>11</v>
      </c>
      <c r="F1483" t="s">
        <v>403</v>
      </c>
      <c r="G1483" t="s">
        <v>1884</v>
      </c>
      <c r="H1483" t="s">
        <v>970</v>
      </c>
      <c r="I1483" t="s">
        <v>3344</v>
      </c>
    </row>
    <row r="1484" spans="1:9" x14ac:dyDescent="0.3">
      <c r="A1484">
        <v>1483</v>
      </c>
      <c r="B1484">
        <v>1483</v>
      </c>
      <c r="C1484" t="s">
        <v>4086</v>
      </c>
      <c r="D1484" t="s">
        <v>70</v>
      </c>
      <c r="E1484" t="s">
        <v>706</v>
      </c>
      <c r="F1484" t="s">
        <v>3068</v>
      </c>
      <c r="G1484" t="s">
        <v>1671</v>
      </c>
      <c r="H1484" t="s">
        <v>517</v>
      </c>
      <c r="I1484" t="s">
        <v>2626</v>
      </c>
    </row>
    <row r="1485" spans="1:9" x14ac:dyDescent="0.3">
      <c r="A1485">
        <v>1484</v>
      </c>
      <c r="B1485">
        <v>1484</v>
      </c>
      <c r="C1485" t="s">
        <v>4087</v>
      </c>
      <c r="D1485" t="s">
        <v>249</v>
      </c>
      <c r="E1485" t="s">
        <v>792</v>
      </c>
      <c r="F1485" t="s">
        <v>4088</v>
      </c>
      <c r="G1485" t="s">
        <v>3843</v>
      </c>
      <c r="H1485" t="s">
        <v>3008</v>
      </c>
      <c r="I1485" t="s">
        <v>2140</v>
      </c>
    </row>
    <row r="1486" spans="1:9" x14ac:dyDescent="0.3">
      <c r="A1486">
        <v>1485</v>
      </c>
      <c r="B1486">
        <v>1485</v>
      </c>
      <c r="C1486" t="s">
        <v>4089</v>
      </c>
      <c r="D1486" t="s">
        <v>737</v>
      </c>
      <c r="E1486" t="s">
        <v>151</v>
      </c>
      <c r="F1486" t="s">
        <v>3636</v>
      </c>
      <c r="G1486">
        <v>-1</v>
      </c>
      <c r="H1486" t="s">
        <v>4011</v>
      </c>
      <c r="I1486" t="s">
        <v>2136</v>
      </c>
    </row>
    <row r="1487" spans="1:9" x14ac:dyDescent="0.3">
      <c r="A1487">
        <v>1486</v>
      </c>
      <c r="B1487">
        <v>1486</v>
      </c>
      <c r="C1487" t="s">
        <v>4090</v>
      </c>
      <c r="D1487" t="s">
        <v>10</v>
      </c>
      <c r="E1487" t="s">
        <v>11</v>
      </c>
      <c r="F1487" t="s">
        <v>1137</v>
      </c>
      <c r="G1487" t="s">
        <v>2376</v>
      </c>
      <c r="H1487" t="s">
        <v>4091</v>
      </c>
      <c r="I1487" t="s">
        <v>326</v>
      </c>
    </row>
    <row r="1488" spans="1:9" x14ac:dyDescent="0.3">
      <c r="A1488">
        <v>1487</v>
      </c>
      <c r="B1488">
        <v>1487</v>
      </c>
      <c r="C1488" t="s">
        <v>4092</v>
      </c>
      <c r="D1488" t="s">
        <v>249</v>
      </c>
      <c r="E1488" t="s">
        <v>687</v>
      </c>
      <c r="F1488" t="s">
        <v>1878</v>
      </c>
      <c r="G1488" t="s">
        <v>1958</v>
      </c>
      <c r="H1488" t="s">
        <v>3111</v>
      </c>
      <c r="I1488" t="s">
        <v>413</v>
      </c>
    </row>
    <row r="1489" spans="1:9" x14ac:dyDescent="0.3">
      <c r="A1489">
        <v>1488</v>
      </c>
      <c r="B1489">
        <v>1488</v>
      </c>
      <c r="C1489" t="s">
        <v>4093</v>
      </c>
      <c r="D1489" t="s">
        <v>3550</v>
      </c>
      <c r="E1489" t="s">
        <v>98</v>
      </c>
      <c r="F1489" t="s">
        <v>1474</v>
      </c>
      <c r="G1489" t="s">
        <v>1671</v>
      </c>
      <c r="H1489" t="s">
        <v>1494</v>
      </c>
      <c r="I1489" t="s">
        <v>2121</v>
      </c>
    </row>
    <row r="1490" spans="1:9" x14ac:dyDescent="0.3">
      <c r="A1490">
        <v>1489</v>
      </c>
      <c r="B1490">
        <v>1489</v>
      </c>
      <c r="C1490" t="s">
        <v>4094</v>
      </c>
      <c r="D1490" t="s">
        <v>4095</v>
      </c>
      <c r="E1490" t="s">
        <v>58</v>
      </c>
      <c r="F1490" t="s">
        <v>3199</v>
      </c>
      <c r="G1490" t="s">
        <v>2388</v>
      </c>
      <c r="H1490" t="s">
        <v>4096</v>
      </c>
      <c r="I1490" t="s">
        <v>2173</v>
      </c>
    </row>
    <row r="1491" spans="1:9" x14ac:dyDescent="0.3">
      <c r="A1491">
        <v>1490</v>
      </c>
      <c r="B1491">
        <v>1490</v>
      </c>
      <c r="C1491" t="s">
        <v>4097</v>
      </c>
      <c r="D1491" t="s">
        <v>1679</v>
      </c>
      <c r="E1491" t="s">
        <v>232</v>
      </c>
      <c r="F1491" t="s">
        <v>995</v>
      </c>
      <c r="G1491" t="s">
        <v>2732</v>
      </c>
      <c r="H1491" t="s">
        <v>2650</v>
      </c>
      <c r="I1491" t="s">
        <v>2109</v>
      </c>
    </row>
    <row r="1492" spans="1:9" x14ac:dyDescent="0.3">
      <c r="A1492">
        <v>1491</v>
      </c>
      <c r="B1492">
        <v>1491</v>
      </c>
      <c r="C1492" t="s">
        <v>4098</v>
      </c>
      <c r="D1492" t="s">
        <v>10</v>
      </c>
      <c r="E1492" t="s">
        <v>11</v>
      </c>
      <c r="F1492" t="s">
        <v>1474</v>
      </c>
      <c r="G1492" t="s">
        <v>2376</v>
      </c>
      <c r="H1492" t="s">
        <v>1524</v>
      </c>
      <c r="I1492" t="s">
        <v>501</v>
      </c>
    </row>
    <row r="1493" spans="1:9" x14ac:dyDescent="0.3">
      <c r="A1493">
        <v>1492</v>
      </c>
      <c r="B1493">
        <v>1492</v>
      </c>
      <c r="C1493" t="s">
        <v>4099</v>
      </c>
      <c r="D1493" t="s">
        <v>70</v>
      </c>
      <c r="E1493" t="s">
        <v>243</v>
      </c>
      <c r="F1493" t="s">
        <v>428</v>
      </c>
      <c r="G1493" t="s">
        <v>1716</v>
      </c>
      <c r="H1493" t="s">
        <v>2958</v>
      </c>
      <c r="I1493" t="s">
        <v>2199</v>
      </c>
    </row>
    <row r="1494" spans="1:9" x14ac:dyDescent="0.3">
      <c r="A1494">
        <v>1493</v>
      </c>
      <c r="B1494">
        <v>1493</v>
      </c>
      <c r="C1494" t="s">
        <v>4100</v>
      </c>
      <c r="D1494" t="s">
        <v>3550</v>
      </c>
      <c r="E1494" t="s">
        <v>29</v>
      </c>
      <c r="F1494" t="s">
        <v>754</v>
      </c>
      <c r="G1494" t="s">
        <v>1857</v>
      </c>
      <c r="H1494" t="s">
        <v>2350</v>
      </c>
      <c r="I1494" t="s">
        <v>1816</v>
      </c>
    </row>
    <row r="1495" spans="1:9" x14ac:dyDescent="0.3">
      <c r="A1495">
        <v>1494</v>
      </c>
      <c r="B1495">
        <v>1494</v>
      </c>
      <c r="C1495" t="s">
        <v>4101</v>
      </c>
      <c r="D1495" t="s">
        <v>216</v>
      </c>
      <c r="E1495" t="s">
        <v>634</v>
      </c>
      <c r="F1495" t="s">
        <v>3140</v>
      </c>
      <c r="G1495" t="s">
        <v>1671</v>
      </c>
      <c r="H1495" t="s">
        <v>3008</v>
      </c>
      <c r="I1495" t="s">
        <v>4102</v>
      </c>
    </row>
    <row r="1496" spans="1:9" x14ac:dyDescent="0.3">
      <c r="A1496">
        <v>1495</v>
      </c>
      <c r="B1496">
        <v>1495</v>
      </c>
      <c r="C1496" t="s">
        <v>4103</v>
      </c>
      <c r="D1496" t="s">
        <v>10</v>
      </c>
      <c r="E1496" t="s">
        <v>743</v>
      </c>
      <c r="F1496" t="s">
        <v>2608</v>
      </c>
      <c r="G1496" t="s">
        <v>1118</v>
      </c>
      <c r="H1496" t="s">
        <v>838</v>
      </c>
      <c r="I1496" t="s">
        <v>2407</v>
      </c>
    </row>
    <row r="1497" spans="1:9" x14ac:dyDescent="0.3">
      <c r="A1497">
        <v>1496</v>
      </c>
      <c r="B1497">
        <v>1496</v>
      </c>
      <c r="C1497" t="s">
        <v>4104</v>
      </c>
      <c r="D1497" t="s">
        <v>681</v>
      </c>
      <c r="E1497" t="s">
        <v>141</v>
      </c>
      <c r="F1497" t="s">
        <v>692</v>
      </c>
      <c r="G1497" t="s">
        <v>1671</v>
      </c>
      <c r="H1497" t="s">
        <v>3671</v>
      </c>
      <c r="I1497" t="s">
        <v>3331</v>
      </c>
    </row>
    <row r="1498" spans="1:9" x14ac:dyDescent="0.3">
      <c r="A1498">
        <v>1497</v>
      </c>
      <c r="B1498">
        <v>1497</v>
      </c>
      <c r="C1498" t="s">
        <v>4105</v>
      </c>
      <c r="D1498" t="s">
        <v>4106</v>
      </c>
      <c r="E1498" t="s">
        <v>365</v>
      </c>
      <c r="F1498" t="s">
        <v>722</v>
      </c>
      <c r="G1498" t="s">
        <v>4107</v>
      </c>
      <c r="H1498" t="s">
        <v>4108</v>
      </c>
      <c r="I1498" t="s">
        <v>619</v>
      </c>
    </row>
    <row r="1499" spans="1:9" x14ac:dyDescent="0.3">
      <c r="A1499">
        <v>1498</v>
      </c>
      <c r="B1499">
        <v>1498</v>
      </c>
      <c r="C1499" t="s">
        <v>4109</v>
      </c>
      <c r="D1499" t="s">
        <v>10</v>
      </c>
      <c r="E1499" t="s">
        <v>64</v>
      </c>
      <c r="F1499" t="s">
        <v>1235</v>
      </c>
      <c r="G1499" t="s">
        <v>3376</v>
      </c>
      <c r="H1499" t="s">
        <v>115</v>
      </c>
      <c r="I1499" t="s">
        <v>3866</v>
      </c>
    </row>
    <row r="1500" spans="1:9" x14ac:dyDescent="0.3">
      <c r="A1500">
        <v>1499</v>
      </c>
      <c r="B1500">
        <v>1499</v>
      </c>
      <c r="C1500" t="s">
        <v>4110</v>
      </c>
      <c r="D1500" t="s">
        <v>1632</v>
      </c>
      <c r="E1500" t="s">
        <v>23</v>
      </c>
      <c r="F1500" t="s">
        <v>2500</v>
      </c>
      <c r="G1500">
        <v>0</v>
      </c>
      <c r="H1500" t="s">
        <v>1351</v>
      </c>
      <c r="I1500" t="s">
        <v>692</v>
      </c>
    </row>
    <row r="1501" spans="1:9" x14ac:dyDescent="0.3">
      <c r="A1501">
        <v>1500</v>
      </c>
      <c r="B1501">
        <v>1500</v>
      </c>
      <c r="C1501" t="s">
        <v>4111</v>
      </c>
      <c r="D1501" t="s">
        <v>10</v>
      </c>
      <c r="E1501" t="s">
        <v>64</v>
      </c>
      <c r="F1501" t="s">
        <v>3652</v>
      </c>
      <c r="G1501" t="s">
        <v>1572</v>
      </c>
      <c r="H1501" t="s">
        <v>3479</v>
      </c>
      <c r="I1501" t="s">
        <v>1407</v>
      </c>
    </row>
    <row r="1502" spans="1:9" x14ac:dyDescent="0.3">
      <c r="A1502">
        <v>1501</v>
      </c>
      <c r="B1502">
        <v>1501</v>
      </c>
      <c r="C1502" t="s">
        <v>4112</v>
      </c>
      <c r="D1502" t="s">
        <v>10</v>
      </c>
      <c r="E1502" t="s">
        <v>726</v>
      </c>
      <c r="F1502" t="s">
        <v>2526</v>
      </c>
      <c r="G1502" t="s">
        <v>1012</v>
      </c>
      <c r="H1502" t="s">
        <v>3106</v>
      </c>
      <c r="I1502" t="s">
        <v>428</v>
      </c>
    </row>
    <row r="1503" spans="1:9" x14ac:dyDescent="0.3">
      <c r="A1503">
        <v>1502</v>
      </c>
      <c r="B1503">
        <v>1502</v>
      </c>
      <c r="C1503" t="s">
        <v>4113</v>
      </c>
      <c r="D1503" t="s">
        <v>1463</v>
      </c>
      <c r="E1503" t="s">
        <v>232</v>
      </c>
      <c r="F1503" t="s">
        <v>2042</v>
      </c>
      <c r="G1503" t="s">
        <v>1958</v>
      </c>
      <c r="H1503" t="s">
        <v>448</v>
      </c>
      <c r="I1503" t="s">
        <v>1891</v>
      </c>
    </row>
    <row r="1504" spans="1:9" x14ac:dyDescent="0.3">
      <c r="A1504">
        <v>1503</v>
      </c>
      <c r="B1504">
        <v>1503</v>
      </c>
      <c r="C1504" t="s">
        <v>4114</v>
      </c>
      <c r="D1504" t="s">
        <v>51</v>
      </c>
      <c r="E1504" t="s">
        <v>510</v>
      </c>
      <c r="F1504" t="s">
        <v>2926</v>
      </c>
      <c r="G1504" t="s">
        <v>1995</v>
      </c>
      <c r="H1504" t="s">
        <v>828</v>
      </c>
      <c r="I1504" t="s">
        <v>2546</v>
      </c>
    </row>
    <row r="1505" spans="1:9" x14ac:dyDescent="0.3">
      <c r="A1505">
        <v>1504</v>
      </c>
      <c r="B1505">
        <v>1504</v>
      </c>
      <c r="C1505" t="s">
        <v>4115</v>
      </c>
      <c r="D1505" t="s">
        <v>10</v>
      </c>
      <c r="E1505" t="s">
        <v>726</v>
      </c>
      <c r="F1505" t="s">
        <v>158</v>
      </c>
      <c r="G1505" t="s">
        <v>2801</v>
      </c>
      <c r="H1505" t="s">
        <v>3009</v>
      </c>
      <c r="I1505" t="s">
        <v>3551</v>
      </c>
    </row>
    <row r="1506" spans="1:9" x14ac:dyDescent="0.3">
      <c r="A1506">
        <v>1505</v>
      </c>
      <c r="B1506">
        <v>1505</v>
      </c>
      <c r="C1506" t="s">
        <v>4116</v>
      </c>
      <c r="D1506" t="s">
        <v>35</v>
      </c>
      <c r="E1506" t="s">
        <v>792</v>
      </c>
      <c r="F1506" t="s">
        <v>2952</v>
      </c>
      <c r="G1506" t="s">
        <v>2471</v>
      </c>
      <c r="H1506" t="s">
        <v>2502</v>
      </c>
      <c r="I1506" t="s">
        <v>3089</v>
      </c>
    </row>
    <row r="1507" spans="1:9" x14ac:dyDescent="0.3">
      <c r="A1507">
        <v>1506</v>
      </c>
      <c r="B1507">
        <v>1506</v>
      </c>
      <c r="C1507" t="s">
        <v>4117</v>
      </c>
      <c r="D1507" t="s">
        <v>10</v>
      </c>
      <c r="E1507" t="s">
        <v>726</v>
      </c>
      <c r="F1507" t="s">
        <v>2383</v>
      </c>
      <c r="G1507" t="s">
        <v>1572</v>
      </c>
      <c r="H1507" t="s">
        <v>702</v>
      </c>
      <c r="I1507" t="s">
        <v>2636</v>
      </c>
    </row>
    <row r="1508" spans="1:9" x14ac:dyDescent="0.3">
      <c r="A1508">
        <v>1507</v>
      </c>
      <c r="B1508">
        <v>1507</v>
      </c>
      <c r="C1508" t="s">
        <v>4118</v>
      </c>
      <c r="D1508" t="s">
        <v>417</v>
      </c>
      <c r="E1508" t="s">
        <v>634</v>
      </c>
      <c r="F1508" t="s">
        <v>2327</v>
      </c>
      <c r="G1508" t="s">
        <v>2092</v>
      </c>
      <c r="H1508" t="s">
        <v>438</v>
      </c>
      <c r="I1508" t="s">
        <v>331</v>
      </c>
    </row>
    <row r="1509" spans="1:9" x14ac:dyDescent="0.3">
      <c r="A1509">
        <v>1508</v>
      </c>
      <c r="B1509">
        <v>1508</v>
      </c>
      <c r="C1509" t="s">
        <v>4119</v>
      </c>
      <c r="D1509" t="s">
        <v>10</v>
      </c>
      <c r="E1509" t="s">
        <v>687</v>
      </c>
      <c r="F1509" t="s">
        <v>2753</v>
      </c>
      <c r="G1509" t="s">
        <v>3376</v>
      </c>
      <c r="H1509" t="s">
        <v>3049</v>
      </c>
      <c r="I1509" t="s">
        <v>2608</v>
      </c>
    </row>
    <row r="1510" spans="1:9" x14ac:dyDescent="0.3">
      <c r="A1510">
        <v>1509</v>
      </c>
      <c r="B1510">
        <v>1509</v>
      </c>
      <c r="C1510" t="s">
        <v>4120</v>
      </c>
      <c r="D1510" t="s">
        <v>51</v>
      </c>
      <c r="E1510" t="s">
        <v>52</v>
      </c>
      <c r="F1510" t="s">
        <v>3840</v>
      </c>
      <c r="G1510" t="s">
        <v>3060</v>
      </c>
      <c r="H1510" t="s">
        <v>819</v>
      </c>
      <c r="I1510" t="s">
        <v>3367</v>
      </c>
    </row>
    <row r="1511" spans="1:9" x14ac:dyDescent="0.3">
      <c r="A1511">
        <v>1510</v>
      </c>
      <c r="B1511">
        <v>1510</v>
      </c>
      <c r="C1511" t="s">
        <v>4121</v>
      </c>
      <c r="D1511" t="s">
        <v>10</v>
      </c>
      <c r="E1511" t="s">
        <v>52</v>
      </c>
      <c r="F1511" t="s">
        <v>3629</v>
      </c>
      <c r="G1511" t="s">
        <v>2348</v>
      </c>
      <c r="H1511" t="s">
        <v>828</v>
      </c>
      <c r="I1511" t="s">
        <v>476</v>
      </c>
    </row>
    <row r="1512" spans="1:9" x14ac:dyDescent="0.3">
      <c r="A1512">
        <v>1511</v>
      </c>
      <c r="B1512">
        <v>1511</v>
      </c>
      <c r="C1512" t="s">
        <v>4122</v>
      </c>
      <c r="D1512" t="s">
        <v>10</v>
      </c>
      <c r="E1512" t="s">
        <v>23</v>
      </c>
      <c r="F1512" t="s">
        <v>629</v>
      </c>
      <c r="G1512" t="s">
        <v>2850</v>
      </c>
      <c r="H1512" t="s">
        <v>1844</v>
      </c>
      <c r="I1512" t="s">
        <v>3220</v>
      </c>
    </row>
    <row r="1513" spans="1:9" x14ac:dyDescent="0.3">
      <c r="A1513">
        <v>1512</v>
      </c>
      <c r="B1513">
        <v>1512</v>
      </c>
      <c r="C1513" t="s">
        <v>4123</v>
      </c>
      <c r="D1513" t="s">
        <v>51</v>
      </c>
      <c r="E1513" t="s">
        <v>11</v>
      </c>
      <c r="F1513" t="s">
        <v>905</v>
      </c>
      <c r="G1513" t="s">
        <v>2801</v>
      </c>
      <c r="H1513" t="s">
        <v>1505</v>
      </c>
      <c r="I1513" t="s">
        <v>3487</v>
      </c>
    </row>
    <row r="1514" spans="1:9" x14ac:dyDescent="0.3">
      <c r="A1514">
        <v>1513</v>
      </c>
      <c r="B1514">
        <v>1513</v>
      </c>
      <c r="C1514" t="s">
        <v>4124</v>
      </c>
      <c r="D1514" t="s">
        <v>35</v>
      </c>
      <c r="E1514" t="s">
        <v>715</v>
      </c>
      <c r="F1514" t="s">
        <v>1846</v>
      </c>
      <c r="G1514" t="s">
        <v>2801</v>
      </c>
      <c r="H1514" t="s">
        <v>3677</v>
      </c>
      <c r="I1514" t="s">
        <v>2058</v>
      </c>
    </row>
    <row r="1515" spans="1:9" x14ac:dyDescent="0.3">
      <c r="A1515">
        <v>1514</v>
      </c>
      <c r="B1515">
        <v>1514</v>
      </c>
      <c r="C1515" t="s">
        <v>4125</v>
      </c>
      <c r="D1515" t="s">
        <v>10</v>
      </c>
      <c r="E1515" t="s">
        <v>11</v>
      </c>
      <c r="F1515" t="s">
        <v>1364</v>
      </c>
      <c r="G1515" t="s">
        <v>1572</v>
      </c>
      <c r="H1515" t="s">
        <v>1544</v>
      </c>
      <c r="I1515" t="s">
        <v>2466</v>
      </c>
    </row>
    <row r="1516" spans="1:9" x14ac:dyDescent="0.3">
      <c r="A1516">
        <v>1515</v>
      </c>
      <c r="B1516">
        <v>1515</v>
      </c>
      <c r="C1516" t="s">
        <v>4126</v>
      </c>
      <c r="D1516" t="s">
        <v>10</v>
      </c>
      <c r="E1516" t="s">
        <v>98</v>
      </c>
      <c r="F1516" t="s">
        <v>814</v>
      </c>
      <c r="G1516" t="s">
        <v>1857</v>
      </c>
      <c r="H1516" t="s">
        <v>4050</v>
      </c>
      <c r="I1516" t="s">
        <v>3062</v>
      </c>
    </row>
    <row r="1517" spans="1:9" x14ac:dyDescent="0.3">
      <c r="A1517">
        <v>1516</v>
      </c>
      <c r="B1517">
        <v>1516</v>
      </c>
      <c r="C1517" t="s">
        <v>4127</v>
      </c>
      <c r="D1517" t="s">
        <v>10</v>
      </c>
      <c r="E1517" t="s">
        <v>743</v>
      </c>
      <c r="F1517" t="s">
        <v>3367</v>
      </c>
      <c r="G1517" t="s">
        <v>1572</v>
      </c>
      <c r="H1517" t="s">
        <v>533</v>
      </c>
      <c r="I1517" t="s">
        <v>1804</v>
      </c>
    </row>
    <row r="1518" spans="1:9" x14ac:dyDescent="0.3">
      <c r="A1518">
        <v>1517</v>
      </c>
      <c r="B1518">
        <v>1517</v>
      </c>
      <c r="C1518" t="s">
        <v>4128</v>
      </c>
      <c r="D1518" t="s">
        <v>10</v>
      </c>
      <c r="E1518" t="s">
        <v>98</v>
      </c>
      <c r="F1518" t="s">
        <v>722</v>
      </c>
      <c r="G1518" t="s">
        <v>2471</v>
      </c>
      <c r="H1518" t="s">
        <v>2820</v>
      </c>
      <c r="I1518" t="s">
        <v>1850</v>
      </c>
    </row>
    <row r="1519" spans="1:9" x14ac:dyDescent="0.3">
      <c r="A1519">
        <v>1518</v>
      </c>
      <c r="B1519">
        <v>1518</v>
      </c>
      <c r="C1519" t="s">
        <v>4129</v>
      </c>
      <c r="D1519" t="s">
        <v>10</v>
      </c>
      <c r="E1519" t="s">
        <v>365</v>
      </c>
      <c r="F1519" t="s">
        <v>1308</v>
      </c>
      <c r="G1519" t="s">
        <v>2471</v>
      </c>
      <c r="H1519" t="s">
        <v>877</v>
      </c>
      <c r="I1519" t="s">
        <v>1891</v>
      </c>
    </row>
    <row r="1520" spans="1:9" x14ac:dyDescent="0.3">
      <c r="A1520">
        <v>1519</v>
      </c>
      <c r="B1520">
        <v>1519</v>
      </c>
      <c r="C1520" t="s">
        <v>4130</v>
      </c>
      <c r="D1520" t="s">
        <v>10</v>
      </c>
      <c r="E1520" t="s">
        <v>98</v>
      </c>
      <c r="F1520" t="s">
        <v>3449</v>
      </c>
      <c r="G1520" t="s">
        <v>1671</v>
      </c>
      <c r="H1520" t="s">
        <v>3013</v>
      </c>
      <c r="I1520" t="s">
        <v>2917</v>
      </c>
    </row>
    <row r="1521" spans="1:9" x14ac:dyDescent="0.3">
      <c r="A1521">
        <v>1520</v>
      </c>
      <c r="B1521">
        <v>1520</v>
      </c>
      <c r="C1521" t="s">
        <v>4131</v>
      </c>
      <c r="D1521" t="s">
        <v>51</v>
      </c>
      <c r="E1521" t="s">
        <v>792</v>
      </c>
      <c r="F1521" t="s">
        <v>2129</v>
      </c>
      <c r="G1521" t="s">
        <v>2801</v>
      </c>
      <c r="H1521" t="s">
        <v>2995</v>
      </c>
      <c r="I1521" t="s">
        <v>1330</v>
      </c>
    </row>
    <row r="1522" spans="1:9" x14ac:dyDescent="0.3">
      <c r="A1522">
        <v>1521</v>
      </c>
      <c r="B1522">
        <v>1521</v>
      </c>
      <c r="C1522" t="s">
        <v>4132</v>
      </c>
      <c r="D1522" t="s">
        <v>76</v>
      </c>
      <c r="E1522" t="s">
        <v>634</v>
      </c>
      <c r="F1522">
        <v>6</v>
      </c>
      <c r="G1522" t="s">
        <v>3376</v>
      </c>
      <c r="H1522" t="s">
        <v>1700</v>
      </c>
      <c r="I1522" t="s">
        <v>1217</v>
      </c>
    </row>
    <row r="1523" spans="1:9" x14ac:dyDescent="0.3">
      <c r="A1523">
        <v>1522</v>
      </c>
      <c r="B1523">
        <v>1522</v>
      </c>
      <c r="C1523" t="s">
        <v>4133</v>
      </c>
      <c r="D1523" t="s">
        <v>10</v>
      </c>
      <c r="E1523" t="s">
        <v>141</v>
      </c>
      <c r="F1523" t="s">
        <v>947</v>
      </c>
      <c r="G1523" t="s">
        <v>1506</v>
      </c>
      <c r="H1523" t="s">
        <v>905</v>
      </c>
      <c r="I1523" t="s">
        <v>3617</v>
      </c>
    </row>
    <row r="1524" spans="1:9" x14ac:dyDescent="0.3">
      <c r="A1524">
        <v>1523</v>
      </c>
      <c r="B1524">
        <v>1523</v>
      </c>
      <c r="C1524" t="s">
        <v>4134</v>
      </c>
      <c r="D1524" t="s">
        <v>10</v>
      </c>
      <c r="E1524" t="s">
        <v>243</v>
      </c>
      <c r="F1524" t="s">
        <v>2926</v>
      </c>
      <c r="G1524" t="s">
        <v>1857</v>
      </c>
      <c r="H1524" t="s">
        <v>476</v>
      </c>
      <c r="I1524" t="s">
        <v>3078</v>
      </c>
    </row>
    <row r="1525" spans="1:9" x14ac:dyDescent="0.3">
      <c r="A1525">
        <v>1524</v>
      </c>
      <c r="B1525">
        <v>1524</v>
      </c>
      <c r="C1525" t="s">
        <v>4135</v>
      </c>
      <c r="D1525" t="s">
        <v>10</v>
      </c>
      <c r="E1525" t="s">
        <v>743</v>
      </c>
      <c r="F1525" t="s">
        <v>3677</v>
      </c>
      <c r="G1525" t="s">
        <v>1857</v>
      </c>
      <c r="H1525" t="s">
        <v>2860</v>
      </c>
      <c r="I1525" t="s">
        <v>2384</v>
      </c>
    </row>
    <row r="1526" spans="1:9" x14ac:dyDescent="0.3">
      <c r="A1526">
        <v>1525</v>
      </c>
      <c r="B1526">
        <v>1525</v>
      </c>
      <c r="C1526" t="s">
        <v>4136</v>
      </c>
      <c r="D1526" t="s">
        <v>10</v>
      </c>
      <c r="E1526" t="s">
        <v>174</v>
      </c>
      <c r="F1526" t="s">
        <v>1236</v>
      </c>
      <c r="G1526" t="s">
        <v>3060</v>
      </c>
      <c r="H1526" t="s">
        <v>833</v>
      </c>
      <c r="I1526" t="s">
        <v>2515</v>
      </c>
    </row>
    <row r="1527" spans="1:9" x14ac:dyDescent="0.3">
      <c r="A1527">
        <v>1526</v>
      </c>
      <c r="B1527">
        <v>1526</v>
      </c>
      <c r="C1527" t="s">
        <v>4137</v>
      </c>
      <c r="D1527" t="s">
        <v>35</v>
      </c>
      <c r="E1527" t="s">
        <v>174</v>
      </c>
      <c r="F1527" t="s">
        <v>662</v>
      </c>
      <c r="G1527" t="s">
        <v>1857</v>
      </c>
      <c r="H1527" t="s">
        <v>1000</v>
      </c>
      <c r="I1527" t="s">
        <v>3113</v>
      </c>
    </row>
    <row r="1528" spans="1:9" x14ac:dyDescent="0.3">
      <c r="A1528">
        <v>1527</v>
      </c>
      <c r="B1528">
        <v>1527</v>
      </c>
      <c r="C1528" t="s">
        <v>4138</v>
      </c>
      <c r="D1528" t="s">
        <v>696</v>
      </c>
      <c r="E1528" t="s">
        <v>634</v>
      </c>
      <c r="F1528" t="s">
        <v>1290</v>
      </c>
      <c r="G1528" t="s">
        <v>2348</v>
      </c>
      <c r="H1528" t="s">
        <v>2722</v>
      </c>
      <c r="I1528" t="s">
        <v>3422</v>
      </c>
    </row>
    <row r="1529" spans="1:9" x14ac:dyDescent="0.3">
      <c r="A1529">
        <v>1528</v>
      </c>
      <c r="B1529">
        <v>1528</v>
      </c>
      <c r="C1529" t="s">
        <v>4139</v>
      </c>
      <c r="D1529" t="s">
        <v>10</v>
      </c>
      <c r="E1529" t="s">
        <v>52</v>
      </c>
      <c r="F1529" t="s">
        <v>3059</v>
      </c>
      <c r="G1529" t="s">
        <v>1857</v>
      </c>
      <c r="H1529" t="s">
        <v>2763</v>
      </c>
      <c r="I1529" t="s">
        <v>838</v>
      </c>
    </row>
    <row r="1530" spans="1:9" x14ac:dyDescent="0.3">
      <c r="A1530">
        <v>1529</v>
      </c>
      <c r="B1530">
        <v>1529</v>
      </c>
      <c r="C1530" t="s">
        <v>4140</v>
      </c>
      <c r="D1530" t="s">
        <v>10</v>
      </c>
      <c r="E1530" t="s">
        <v>715</v>
      </c>
      <c r="F1530" t="s">
        <v>3978</v>
      </c>
      <c r="G1530" t="s">
        <v>1572</v>
      </c>
      <c r="H1530" t="s">
        <v>78</v>
      </c>
      <c r="I1530" t="s">
        <v>3367</v>
      </c>
    </row>
    <row r="1531" spans="1:9" x14ac:dyDescent="0.3">
      <c r="A1531">
        <v>1530</v>
      </c>
      <c r="B1531">
        <v>1530</v>
      </c>
      <c r="C1531" t="s">
        <v>4141</v>
      </c>
      <c r="D1531" t="s">
        <v>1172</v>
      </c>
      <c r="E1531" t="s">
        <v>634</v>
      </c>
      <c r="F1531" t="s">
        <v>448</v>
      </c>
      <c r="G1531" t="s">
        <v>1958</v>
      </c>
      <c r="H1531" t="s">
        <v>454</v>
      </c>
      <c r="I1531" t="s">
        <v>443</v>
      </c>
    </row>
    <row r="1532" spans="1:9" x14ac:dyDescent="0.3">
      <c r="A1532">
        <v>1531</v>
      </c>
      <c r="B1532">
        <v>1531</v>
      </c>
      <c r="C1532" t="s">
        <v>4142</v>
      </c>
      <c r="D1532" t="s">
        <v>51</v>
      </c>
      <c r="E1532" t="s">
        <v>11</v>
      </c>
      <c r="F1532" t="s">
        <v>433</v>
      </c>
      <c r="G1532" t="s">
        <v>2801</v>
      </c>
      <c r="H1532" t="s">
        <v>4143</v>
      </c>
      <c r="I1532" t="s">
        <v>171</v>
      </c>
    </row>
    <row r="1533" spans="1:9" x14ac:dyDescent="0.3">
      <c r="A1533">
        <v>1532</v>
      </c>
      <c r="B1533">
        <v>1532</v>
      </c>
      <c r="C1533" t="s">
        <v>4144</v>
      </c>
      <c r="D1533" t="s">
        <v>104</v>
      </c>
      <c r="E1533" t="s">
        <v>706</v>
      </c>
      <c r="F1533" t="s">
        <v>460</v>
      </c>
      <c r="G1533" t="s">
        <v>3376</v>
      </c>
      <c r="H1533">
        <v>3</v>
      </c>
      <c r="I1533" t="s">
        <v>2606</v>
      </c>
    </row>
    <row r="1534" spans="1:9" x14ac:dyDescent="0.3">
      <c r="A1534">
        <v>1533</v>
      </c>
      <c r="B1534">
        <v>1533</v>
      </c>
      <c r="C1534" t="s">
        <v>4145</v>
      </c>
      <c r="D1534" t="s">
        <v>76</v>
      </c>
      <c r="E1534" t="s">
        <v>706</v>
      </c>
      <c r="F1534" t="s">
        <v>2899</v>
      </c>
      <c r="G1534" t="s">
        <v>2842</v>
      </c>
      <c r="H1534" t="s">
        <v>3449</v>
      </c>
      <c r="I1534" t="s">
        <v>1641</v>
      </c>
    </row>
    <row r="1535" spans="1:9" x14ac:dyDescent="0.3">
      <c r="A1535">
        <v>1534</v>
      </c>
      <c r="B1535">
        <v>1534</v>
      </c>
      <c r="C1535" t="s">
        <v>4146</v>
      </c>
      <c r="D1535" t="s">
        <v>10</v>
      </c>
      <c r="E1535" t="s">
        <v>23</v>
      </c>
      <c r="F1535" t="s">
        <v>372</v>
      </c>
      <c r="G1535" t="s">
        <v>1741</v>
      </c>
      <c r="H1535" t="s">
        <v>2882</v>
      </c>
      <c r="I1535" t="s">
        <v>722</v>
      </c>
    </row>
    <row r="1536" spans="1:9" x14ac:dyDescent="0.3">
      <c r="A1536">
        <v>1535</v>
      </c>
      <c r="B1536">
        <v>1535</v>
      </c>
      <c r="C1536" t="s">
        <v>4147</v>
      </c>
      <c r="D1536" t="s">
        <v>35</v>
      </c>
      <c r="E1536" t="s">
        <v>726</v>
      </c>
      <c r="F1536" t="s">
        <v>460</v>
      </c>
      <c r="G1536" t="s">
        <v>1995</v>
      </c>
      <c r="H1536" t="s">
        <v>2854</v>
      </c>
      <c r="I1536" t="s">
        <v>833</v>
      </c>
    </row>
    <row r="1537" spans="1:9" x14ac:dyDescent="0.3">
      <c r="A1537">
        <v>1536</v>
      </c>
      <c r="B1537">
        <v>1536</v>
      </c>
      <c r="C1537" t="s">
        <v>4148</v>
      </c>
      <c r="D1537" t="s">
        <v>10</v>
      </c>
      <c r="E1537" t="s">
        <v>634</v>
      </c>
      <c r="F1537" t="s">
        <v>1102</v>
      </c>
      <c r="G1537" t="s">
        <v>1098</v>
      </c>
      <c r="H1537" t="s">
        <v>3492</v>
      </c>
      <c r="I1537" t="s">
        <v>413</v>
      </c>
    </row>
    <row r="1538" spans="1:9" x14ac:dyDescent="0.3">
      <c r="A1538">
        <v>1537</v>
      </c>
      <c r="B1538">
        <v>1537</v>
      </c>
      <c r="C1538" t="s">
        <v>4149</v>
      </c>
      <c r="D1538" t="s">
        <v>10</v>
      </c>
      <c r="E1538" t="s">
        <v>98</v>
      </c>
      <c r="F1538" t="s">
        <v>3432</v>
      </c>
      <c r="G1538" t="s">
        <v>2471</v>
      </c>
      <c r="H1538" t="s">
        <v>512</v>
      </c>
      <c r="I1538" t="s">
        <v>212</v>
      </c>
    </row>
    <row r="1539" spans="1:9" x14ac:dyDescent="0.3">
      <c r="A1539">
        <v>1538</v>
      </c>
      <c r="B1539">
        <v>1538</v>
      </c>
      <c r="C1539" t="s">
        <v>4150</v>
      </c>
      <c r="D1539" t="s">
        <v>1617</v>
      </c>
      <c r="E1539" t="s">
        <v>634</v>
      </c>
      <c r="F1539" t="s">
        <v>2518</v>
      </c>
      <c r="G1539" t="s">
        <v>1556</v>
      </c>
      <c r="H1539" t="s">
        <v>2589</v>
      </c>
      <c r="I1539" t="s">
        <v>3199</v>
      </c>
    </row>
    <row r="1540" spans="1:9" x14ac:dyDescent="0.3">
      <c r="A1540">
        <v>1539</v>
      </c>
      <c r="B1540">
        <v>1539</v>
      </c>
      <c r="C1540" t="s">
        <v>4151</v>
      </c>
      <c r="D1540" t="s">
        <v>51</v>
      </c>
      <c r="E1540" t="s">
        <v>11</v>
      </c>
      <c r="F1540" t="s">
        <v>3479</v>
      </c>
      <c r="G1540" t="s">
        <v>3551</v>
      </c>
      <c r="H1540" t="s">
        <v>4152</v>
      </c>
      <c r="I1540" t="s">
        <v>3236</v>
      </c>
    </row>
    <row r="1541" spans="1:9" x14ac:dyDescent="0.3">
      <c r="A1541">
        <v>1540</v>
      </c>
      <c r="B1541">
        <v>1540</v>
      </c>
      <c r="C1541" t="s">
        <v>4153</v>
      </c>
      <c r="D1541" t="s">
        <v>10</v>
      </c>
      <c r="E1541" t="s">
        <v>743</v>
      </c>
      <c r="F1541" t="s">
        <v>3041</v>
      </c>
      <c r="G1541" t="s">
        <v>1857</v>
      </c>
      <c r="H1541" t="s">
        <v>3179</v>
      </c>
      <c r="I1541" t="s">
        <v>2927</v>
      </c>
    </row>
    <row r="1542" spans="1:9" x14ac:dyDescent="0.3">
      <c r="A1542">
        <v>1541</v>
      </c>
      <c r="B1542">
        <v>1541</v>
      </c>
      <c r="C1542" t="s">
        <v>4154</v>
      </c>
      <c r="D1542" t="s">
        <v>10</v>
      </c>
      <c r="E1542" t="s">
        <v>64</v>
      </c>
      <c r="F1542" t="s">
        <v>2350</v>
      </c>
      <c r="G1542" t="s">
        <v>2376</v>
      </c>
      <c r="H1542" t="s">
        <v>171</v>
      </c>
      <c r="I1542" t="s">
        <v>3451</v>
      </c>
    </row>
    <row r="1543" spans="1:9" x14ac:dyDescent="0.3">
      <c r="A1543">
        <v>1542</v>
      </c>
      <c r="B1543">
        <v>1542</v>
      </c>
      <c r="C1543" t="s">
        <v>4155</v>
      </c>
      <c r="D1543" t="s">
        <v>417</v>
      </c>
      <c r="E1543" t="s">
        <v>464</v>
      </c>
      <c r="F1543" t="s">
        <v>4156</v>
      </c>
      <c r="G1543" t="s">
        <v>1995</v>
      </c>
      <c r="H1543" t="s">
        <v>3367</v>
      </c>
      <c r="I1543" t="s">
        <v>964</v>
      </c>
    </row>
    <row r="1544" spans="1:9" x14ac:dyDescent="0.3">
      <c r="A1544">
        <v>1543</v>
      </c>
      <c r="B1544">
        <v>1543</v>
      </c>
      <c r="C1544" t="s">
        <v>4157</v>
      </c>
      <c r="D1544" t="s">
        <v>10</v>
      </c>
      <c r="E1544" t="s">
        <v>743</v>
      </c>
      <c r="F1544" t="s">
        <v>481</v>
      </c>
      <c r="G1544" t="s">
        <v>2376</v>
      </c>
      <c r="H1544" t="s">
        <v>3893</v>
      </c>
      <c r="I1544" t="s">
        <v>2603</v>
      </c>
    </row>
    <row r="1545" spans="1:9" x14ac:dyDescent="0.3">
      <c r="A1545">
        <v>1544</v>
      </c>
      <c r="B1545">
        <v>1544</v>
      </c>
      <c r="C1545" t="s">
        <v>4158</v>
      </c>
      <c r="D1545" t="s">
        <v>10</v>
      </c>
      <c r="E1545" t="s">
        <v>23</v>
      </c>
      <c r="F1545" t="s">
        <v>3036</v>
      </c>
      <c r="G1545" t="s">
        <v>3065</v>
      </c>
      <c r="H1545" t="s">
        <v>4159</v>
      </c>
      <c r="I1545" t="s">
        <v>542</v>
      </c>
    </row>
    <row r="1546" spans="1:9" x14ac:dyDescent="0.3">
      <c r="A1546">
        <v>1545</v>
      </c>
      <c r="B1546">
        <v>1545</v>
      </c>
      <c r="C1546" t="s">
        <v>4160</v>
      </c>
      <c r="D1546" t="s">
        <v>249</v>
      </c>
      <c r="E1546" t="s">
        <v>11</v>
      </c>
      <c r="F1546" t="s">
        <v>891</v>
      </c>
      <c r="G1546" t="s">
        <v>2471</v>
      </c>
      <c r="H1546" t="s">
        <v>1922</v>
      </c>
      <c r="I1546" t="s">
        <v>673</v>
      </c>
    </row>
    <row r="1547" spans="1:9" x14ac:dyDescent="0.3">
      <c r="A1547">
        <v>1546</v>
      </c>
      <c r="B1547">
        <v>1546</v>
      </c>
      <c r="C1547" t="s">
        <v>4161</v>
      </c>
      <c r="D1547" t="s">
        <v>51</v>
      </c>
      <c r="E1547" t="s">
        <v>58</v>
      </c>
      <c r="F1547" t="s">
        <v>1940</v>
      </c>
      <c r="G1547" t="s">
        <v>3065</v>
      </c>
      <c r="H1547" t="s">
        <v>1534</v>
      </c>
      <c r="I1547" t="s">
        <v>576</v>
      </c>
    </row>
    <row r="1548" spans="1:9" x14ac:dyDescent="0.3">
      <c r="A1548">
        <v>1547</v>
      </c>
      <c r="B1548">
        <v>1547</v>
      </c>
      <c r="C1548" t="s">
        <v>4162</v>
      </c>
      <c r="D1548" t="s">
        <v>10</v>
      </c>
      <c r="E1548" t="s">
        <v>11</v>
      </c>
      <c r="F1548" t="s">
        <v>1447</v>
      </c>
      <c r="G1548" t="s">
        <v>2376</v>
      </c>
      <c r="H1548" t="s">
        <v>3399</v>
      </c>
      <c r="I1548" t="s">
        <v>2608</v>
      </c>
    </row>
    <row r="1549" spans="1:9" x14ac:dyDescent="0.3">
      <c r="A1549">
        <v>1548</v>
      </c>
      <c r="B1549">
        <v>1548</v>
      </c>
      <c r="C1549" t="s">
        <v>4163</v>
      </c>
      <c r="D1549" t="s">
        <v>297</v>
      </c>
      <c r="E1549" t="s">
        <v>98</v>
      </c>
      <c r="F1549" t="s">
        <v>3011</v>
      </c>
      <c r="G1549" t="s">
        <v>1572</v>
      </c>
      <c r="H1549" t="s">
        <v>856</v>
      </c>
      <c r="I1549" t="s">
        <v>3684</v>
      </c>
    </row>
    <row r="1550" spans="1:9" x14ac:dyDescent="0.3">
      <c r="A1550">
        <v>1549</v>
      </c>
      <c r="B1550">
        <v>1549</v>
      </c>
      <c r="C1550" t="s">
        <v>4164</v>
      </c>
      <c r="D1550" t="s">
        <v>452</v>
      </c>
      <c r="E1550" t="s">
        <v>726</v>
      </c>
      <c r="F1550" t="s">
        <v>3636</v>
      </c>
      <c r="G1550" t="s">
        <v>1716</v>
      </c>
      <c r="H1550" t="s">
        <v>234</v>
      </c>
      <c r="I1550" t="s">
        <v>3008</v>
      </c>
    </row>
    <row r="1551" spans="1:9" x14ac:dyDescent="0.3">
      <c r="A1551">
        <v>1550</v>
      </c>
      <c r="B1551">
        <v>1550</v>
      </c>
      <c r="C1551" t="s">
        <v>4165</v>
      </c>
      <c r="D1551" t="s">
        <v>10</v>
      </c>
      <c r="E1551" t="s">
        <v>510</v>
      </c>
      <c r="F1551" t="s">
        <v>3671</v>
      </c>
      <c r="G1551" t="s">
        <v>1716</v>
      </c>
      <c r="H1551" t="s">
        <v>3746</v>
      </c>
      <c r="I1551" t="s">
        <v>2278</v>
      </c>
    </row>
    <row r="1552" spans="1:9" x14ac:dyDescent="0.3">
      <c r="A1552">
        <v>1551</v>
      </c>
      <c r="B1552">
        <v>1551</v>
      </c>
      <c r="C1552" t="s">
        <v>4166</v>
      </c>
      <c r="D1552" t="s">
        <v>249</v>
      </c>
      <c r="E1552" t="s">
        <v>52</v>
      </c>
      <c r="F1552" t="s">
        <v>2739</v>
      </c>
      <c r="G1552" t="s">
        <v>1563</v>
      </c>
      <c r="H1552" t="s">
        <v>604</v>
      </c>
      <c r="I1552" t="s">
        <v>856</v>
      </c>
    </row>
    <row r="1553" spans="1:9" x14ac:dyDescent="0.3">
      <c r="A1553">
        <v>1552</v>
      </c>
      <c r="B1553">
        <v>1552</v>
      </c>
      <c r="C1553" t="s">
        <v>4167</v>
      </c>
      <c r="D1553" t="s">
        <v>76</v>
      </c>
      <c r="E1553" t="s">
        <v>706</v>
      </c>
      <c r="F1553" t="s">
        <v>2366</v>
      </c>
      <c r="G1553" t="s">
        <v>3213</v>
      </c>
      <c r="H1553" t="s">
        <v>3236</v>
      </c>
      <c r="I1553" t="s">
        <v>2986</v>
      </c>
    </row>
    <row r="1554" spans="1:9" x14ac:dyDescent="0.3">
      <c r="A1554">
        <v>1553</v>
      </c>
      <c r="B1554">
        <v>1553</v>
      </c>
      <c r="C1554" t="s">
        <v>4168</v>
      </c>
      <c r="D1554" t="s">
        <v>10</v>
      </c>
      <c r="E1554" t="s">
        <v>98</v>
      </c>
      <c r="F1554" t="s">
        <v>4169</v>
      </c>
      <c r="G1554" t="s">
        <v>2348</v>
      </c>
      <c r="H1554" t="s">
        <v>2897</v>
      </c>
      <c r="I1554" t="s">
        <v>3458</v>
      </c>
    </row>
    <row r="1555" spans="1:9" x14ac:dyDescent="0.3">
      <c r="A1555">
        <v>1554</v>
      </c>
      <c r="B1555">
        <v>1554</v>
      </c>
      <c r="C1555" t="s">
        <v>4170</v>
      </c>
      <c r="D1555" t="s">
        <v>608</v>
      </c>
      <c r="E1555" t="s">
        <v>23</v>
      </c>
      <c r="F1555" t="s">
        <v>567</v>
      </c>
      <c r="G1555" t="s">
        <v>3688</v>
      </c>
      <c r="H1555" t="s">
        <v>1379</v>
      </c>
      <c r="I1555" t="s">
        <v>788</v>
      </c>
    </row>
    <row r="1556" spans="1:9" x14ac:dyDescent="0.3">
      <c r="A1556">
        <v>1555</v>
      </c>
      <c r="B1556">
        <v>1555</v>
      </c>
      <c r="C1556" t="s">
        <v>4171</v>
      </c>
      <c r="D1556" t="s">
        <v>1172</v>
      </c>
      <c r="E1556" t="s">
        <v>11</v>
      </c>
      <c r="F1556" t="s">
        <v>670</v>
      </c>
      <c r="G1556" t="s">
        <v>1995</v>
      </c>
      <c r="H1556" t="s">
        <v>4172</v>
      </c>
      <c r="I1556" t="s">
        <v>3893</v>
      </c>
    </row>
    <row r="1557" spans="1:9" x14ac:dyDescent="0.3">
      <c r="A1557">
        <v>1556</v>
      </c>
      <c r="B1557">
        <v>1556</v>
      </c>
      <c r="C1557" t="s">
        <v>4173</v>
      </c>
      <c r="D1557" t="s">
        <v>417</v>
      </c>
      <c r="E1557" t="s">
        <v>510</v>
      </c>
      <c r="F1557" t="s">
        <v>3162</v>
      </c>
      <c r="G1557" t="s">
        <v>2682</v>
      </c>
      <c r="H1557" t="s">
        <v>4174</v>
      </c>
      <c r="I1557" t="s">
        <v>3132</v>
      </c>
    </row>
    <row r="1558" spans="1:9" x14ac:dyDescent="0.3">
      <c r="A1558">
        <v>1557</v>
      </c>
      <c r="B1558">
        <v>1557</v>
      </c>
      <c r="C1558" t="s">
        <v>4175</v>
      </c>
      <c r="D1558" t="s">
        <v>2329</v>
      </c>
      <c r="E1558" t="s">
        <v>11</v>
      </c>
      <c r="F1558" t="s">
        <v>3479</v>
      </c>
      <c r="G1558" t="s">
        <v>1506</v>
      </c>
      <c r="H1558" t="s">
        <v>3252</v>
      </c>
      <c r="I1558" t="s">
        <v>794</v>
      </c>
    </row>
    <row r="1559" spans="1:9" x14ac:dyDescent="0.3">
      <c r="A1559">
        <v>1558</v>
      </c>
      <c r="B1559">
        <v>1558</v>
      </c>
      <c r="C1559" t="s">
        <v>4176</v>
      </c>
      <c r="D1559" t="s">
        <v>51</v>
      </c>
      <c r="E1559" t="s">
        <v>11</v>
      </c>
      <c r="F1559" t="s">
        <v>2005</v>
      </c>
      <c r="G1559" t="s">
        <v>3551</v>
      </c>
      <c r="H1559" t="s">
        <v>532</v>
      </c>
      <c r="I1559" t="s">
        <v>3982</v>
      </c>
    </row>
    <row r="1560" spans="1:9" x14ac:dyDescent="0.3">
      <c r="A1560">
        <v>1559</v>
      </c>
      <c r="B1560">
        <v>1559</v>
      </c>
      <c r="C1560" t="s">
        <v>4177</v>
      </c>
      <c r="D1560" t="s">
        <v>2364</v>
      </c>
      <c r="E1560" t="s">
        <v>11</v>
      </c>
      <c r="F1560" t="s">
        <v>1042</v>
      </c>
      <c r="G1560" t="s">
        <v>3551</v>
      </c>
      <c r="H1560" t="s">
        <v>4178</v>
      </c>
      <c r="I1560" t="s">
        <v>3008</v>
      </c>
    </row>
    <row r="1561" spans="1:9" x14ac:dyDescent="0.3">
      <c r="A1561">
        <v>1560</v>
      </c>
      <c r="B1561">
        <v>1560</v>
      </c>
      <c r="C1561" t="s">
        <v>4179</v>
      </c>
      <c r="D1561" t="s">
        <v>104</v>
      </c>
      <c r="E1561" t="s">
        <v>365</v>
      </c>
      <c r="F1561" t="s">
        <v>1522</v>
      </c>
      <c r="G1561" t="s">
        <v>3680</v>
      </c>
      <c r="H1561" t="s">
        <v>3165</v>
      </c>
      <c r="I1561" t="s">
        <v>1447</v>
      </c>
    </row>
    <row r="1562" spans="1:9" x14ac:dyDescent="0.3">
      <c r="A1562">
        <v>1561</v>
      </c>
      <c r="B1562">
        <v>1561</v>
      </c>
      <c r="C1562" t="s">
        <v>4180</v>
      </c>
      <c r="D1562" t="s">
        <v>10</v>
      </c>
      <c r="E1562" t="s">
        <v>250</v>
      </c>
      <c r="F1562" t="s">
        <v>1694</v>
      </c>
      <c r="G1562" t="s">
        <v>2471</v>
      </c>
      <c r="H1562" t="s">
        <v>581</v>
      </c>
      <c r="I1562" t="s">
        <v>1377</v>
      </c>
    </row>
    <row r="1563" spans="1:9" x14ac:dyDescent="0.3">
      <c r="A1563">
        <v>1562</v>
      </c>
      <c r="B1563">
        <v>1562</v>
      </c>
      <c r="C1563" t="s">
        <v>4181</v>
      </c>
      <c r="D1563" t="s">
        <v>657</v>
      </c>
      <c r="E1563" t="s">
        <v>634</v>
      </c>
      <c r="F1563" t="s">
        <v>1042</v>
      </c>
      <c r="G1563" t="s">
        <v>1737</v>
      </c>
      <c r="H1563" t="s">
        <v>2772</v>
      </c>
      <c r="I1563" t="s">
        <v>262</v>
      </c>
    </row>
    <row r="1564" spans="1:9" x14ac:dyDescent="0.3">
      <c r="A1564">
        <v>1563</v>
      </c>
      <c r="B1564">
        <v>1563</v>
      </c>
      <c r="C1564" t="s">
        <v>4182</v>
      </c>
      <c r="D1564" t="s">
        <v>51</v>
      </c>
      <c r="E1564" t="s">
        <v>11</v>
      </c>
      <c r="F1564" t="s">
        <v>754</v>
      </c>
      <c r="G1564" t="s">
        <v>3376</v>
      </c>
      <c r="H1564" t="s">
        <v>4183</v>
      </c>
      <c r="I1564" t="s">
        <v>3199</v>
      </c>
    </row>
    <row r="1565" spans="1:9" x14ac:dyDescent="0.3">
      <c r="A1565">
        <v>1564</v>
      </c>
      <c r="B1565">
        <v>1564</v>
      </c>
      <c r="C1565" t="s">
        <v>4184</v>
      </c>
      <c r="D1565" t="s">
        <v>10</v>
      </c>
      <c r="E1565" t="s">
        <v>743</v>
      </c>
      <c r="F1565" t="s">
        <v>2763</v>
      </c>
      <c r="G1565" t="s">
        <v>2471</v>
      </c>
      <c r="H1565" t="s">
        <v>828</v>
      </c>
      <c r="I1565" t="s">
        <v>2958</v>
      </c>
    </row>
    <row r="1566" spans="1:9" x14ac:dyDescent="0.3">
      <c r="A1566">
        <v>1565</v>
      </c>
      <c r="B1566">
        <v>1565</v>
      </c>
      <c r="C1566" t="s">
        <v>4185</v>
      </c>
      <c r="D1566" t="s">
        <v>10</v>
      </c>
      <c r="E1566" t="s">
        <v>58</v>
      </c>
      <c r="F1566" t="s">
        <v>833</v>
      </c>
      <c r="G1566" t="s">
        <v>1572</v>
      </c>
      <c r="H1566" t="s">
        <v>3250</v>
      </c>
      <c r="I1566" t="s">
        <v>3934</v>
      </c>
    </row>
    <row r="1567" spans="1:9" x14ac:dyDescent="0.3">
      <c r="A1567">
        <v>1566</v>
      </c>
      <c r="B1567">
        <v>1566</v>
      </c>
      <c r="C1567" t="s">
        <v>4186</v>
      </c>
      <c r="D1567" t="s">
        <v>124</v>
      </c>
      <c r="E1567" t="s">
        <v>243</v>
      </c>
      <c r="F1567" t="s">
        <v>814</v>
      </c>
      <c r="G1567" t="s">
        <v>1741</v>
      </c>
      <c r="H1567" t="s">
        <v>1949</v>
      </c>
      <c r="I1567" t="s">
        <v>285</v>
      </c>
    </row>
    <row r="1568" spans="1:9" x14ac:dyDescent="0.3">
      <c r="A1568">
        <v>1567</v>
      </c>
      <c r="B1568">
        <v>1567</v>
      </c>
      <c r="C1568" t="s">
        <v>4187</v>
      </c>
      <c r="D1568" t="s">
        <v>1632</v>
      </c>
      <c r="E1568" t="s">
        <v>634</v>
      </c>
      <c r="F1568" t="s">
        <v>2978</v>
      </c>
      <c r="G1568" t="s">
        <v>3843</v>
      </c>
      <c r="H1568" t="s">
        <v>3313</v>
      </c>
      <c r="I1568" t="s">
        <v>3667</v>
      </c>
    </row>
    <row r="1569" spans="1:9" x14ac:dyDescent="0.3">
      <c r="A1569">
        <v>1568</v>
      </c>
      <c r="B1569">
        <v>1568</v>
      </c>
      <c r="C1569" t="s">
        <v>4188</v>
      </c>
      <c r="D1569" t="s">
        <v>104</v>
      </c>
      <c r="E1569" t="s">
        <v>232</v>
      </c>
      <c r="F1569" t="s">
        <v>1168</v>
      </c>
      <c r="G1569" t="s">
        <v>1857</v>
      </c>
      <c r="H1569" t="s">
        <v>977</v>
      </c>
      <c r="I1569" t="s">
        <v>3132</v>
      </c>
    </row>
    <row r="1570" spans="1:9" x14ac:dyDescent="0.3">
      <c r="A1570">
        <v>1569</v>
      </c>
      <c r="B1570">
        <v>1569</v>
      </c>
      <c r="C1570" t="s">
        <v>4189</v>
      </c>
      <c r="D1570" t="s">
        <v>249</v>
      </c>
      <c r="E1570" t="s">
        <v>11</v>
      </c>
      <c r="F1570">
        <v>1</v>
      </c>
      <c r="G1570" t="s">
        <v>1995</v>
      </c>
      <c r="H1570" t="s">
        <v>4190</v>
      </c>
      <c r="I1570" t="s">
        <v>1350</v>
      </c>
    </row>
    <row r="1571" spans="1:9" x14ac:dyDescent="0.3">
      <c r="A1571">
        <v>1570</v>
      </c>
      <c r="B1571">
        <v>1570</v>
      </c>
      <c r="C1571" t="s">
        <v>4191</v>
      </c>
      <c r="D1571" t="s">
        <v>696</v>
      </c>
      <c r="E1571" t="s">
        <v>726</v>
      </c>
      <c r="F1571" t="s">
        <v>2576</v>
      </c>
      <c r="G1571" t="s">
        <v>2092</v>
      </c>
      <c r="H1571" t="s">
        <v>3176</v>
      </c>
      <c r="I1571" t="s">
        <v>804</v>
      </c>
    </row>
    <row r="1572" spans="1:9" x14ac:dyDescent="0.3">
      <c r="A1572">
        <v>1571</v>
      </c>
      <c r="B1572">
        <v>1571</v>
      </c>
      <c r="C1572" t="s">
        <v>4192</v>
      </c>
      <c r="D1572" t="s">
        <v>1925</v>
      </c>
      <c r="E1572" t="s">
        <v>726</v>
      </c>
      <c r="F1572" t="s">
        <v>749</v>
      </c>
      <c r="G1572" t="s">
        <v>1716</v>
      </c>
      <c r="H1572" t="s">
        <v>1641</v>
      </c>
      <c r="I1572" t="s">
        <v>3566</v>
      </c>
    </row>
    <row r="1573" spans="1:9" x14ac:dyDescent="0.3">
      <c r="A1573">
        <v>1572</v>
      </c>
      <c r="B1573">
        <v>1572</v>
      </c>
      <c r="C1573" t="s">
        <v>4193</v>
      </c>
      <c r="D1573" t="s">
        <v>10</v>
      </c>
      <c r="E1573" t="s">
        <v>52</v>
      </c>
      <c r="F1573" t="s">
        <v>3778</v>
      </c>
      <c r="G1573" t="s">
        <v>2471</v>
      </c>
      <c r="H1573" t="s">
        <v>4194</v>
      </c>
      <c r="I1573" t="s">
        <v>1290</v>
      </c>
    </row>
    <row r="1574" spans="1:9" x14ac:dyDescent="0.3">
      <c r="A1574">
        <v>1573</v>
      </c>
      <c r="B1574">
        <v>1573</v>
      </c>
      <c r="C1574" t="s">
        <v>4195</v>
      </c>
      <c r="D1574" t="s">
        <v>10</v>
      </c>
      <c r="E1574" t="s">
        <v>726</v>
      </c>
      <c r="F1574" t="s">
        <v>3566</v>
      </c>
      <c r="G1574" t="s">
        <v>2376</v>
      </c>
      <c r="H1574" t="s">
        <v>2136</v>
      </c>
      <c r="I1574" t="s">
        <v>733</v>
      </c>
    </row>
    <row r="1575" spans="1:9" x14ac:dyDescent="0.3">
      <c r="A1575">
        <v>1574</v>
      </c>
      <c r="B1575">
        <v>1574</v>
      </c>
      <c r="C1575" t="s">
        <v>4196</v>
      </c>
      <c r="D1575" t="s">
        <v>35</v>
      </c>
      <c r="E1575" t="s">
        <v>706</v>
      </c>
      <c r="F1575" t="s">
        <v>2136</v>
      </c>
      <c r="G1575" t="s">
        <v>1781</v>
      </c>
      <c r="H1575" t="s">
        <v>3765</v>
      </c>
      <c r="I1575" t="s">
        <v>3172</v>
      </c>
    </row>
    <row r="1576" spans="1:9" x14ac:dyDescent="0.3">
      <c r="A1576">
        <v>1575</v>
      </c>
      <c r="B1576">
        <v>1575</v>
      </c>
      <c r="C1576" t="s">
        <v>4197</v>
      </c>
      <c r="D1576" t="s">
        <v>417</v>
      </c>
      <c r="E1576" t="s">
        <v>345</v>
      </c>
      <c r="F1576" t="s">
        <v>428</v>
      </c>
      <c r="G1576" t="s">
        <v>1671</v>
      </c>
      <c r="H1576" t="s">
        <v>4198</v>
      </c>
      <c r="I1576" t="s">
        <v>3636</v>
      </c>
    </row>
    <row r="1577" spans="1:9" x14ac:dyDescent="0.3">
      <c r="A1577">
        <v>1576</v>
      </c>
      <c r="B1577">
        <v>1576</v>
      </c>
      <c r="C1577" t="s">
        <v>4199</v>
      </c>
      <c r="D1577" t="s">
        <v>104</v>
      </c>
      <c r="E1577" t="s">
        <v>365</v>
      </c>
      <c r="F1577" t="s">
        <v>2676</v>
      </c>
      <c r="G1577" t="s">
        <v>2801</v>
      </c>
      <c r="H1577" t="s">
        <v>3725</v>
      </c>
      <c r="I1577" t="s">
        <v>982</v>
      </c>
    </row>
    <row r="1578" spans="1:9" x14ac:dyDescent="0.3">
      <c r="A1578">
        <v>1577</v>
      </c>
      <c r="B1578">
        <v>1577</v>
      </c>
      <c r="C1578" t="s">
        <v>4200</v>
      </c>
      <c r="D1578" t="s">
        <v>737</v>
      </c>
      <c r="E1578" t="s">
        <v>64</v>
      </c>
      <c r="F1578" t="s">
        <v>3262</v>
      </c>
      <c r="G1578" t="s">
        <v>3060</v>
      </c>
      <c r="H1578" t="s">
        <v>1225</v>
      </c>
      <c r="I1578" t="s">
        <v>3414</v>
      </c>
    </row>
    <row r="1579" spans="1:9" x14ac:dyDescent="0.3">
      <c r="A1579">
        <v>1578</v>
      </c>
      <c r="B1579">
        <v>1578</v>
      </c>
      <c r="C1579" t="s">
        <v>4201</v>
      </c>
      <c r="D1579" t="s">
        <v>401</v>
      </c>
      <c r="E1579" t="s">
        <v>23</v>
      </c>
      <c r="F1579" t="s">
        <v>3515</v>
      </c>
      <c r="G1579" t="s">
        <v>1012</v>
      </c>
      <c r="H1579" t="s">
        <v>2576</v>
      </c>
      <c r="I1579" t="s">
        <v>403</v>
      </c>
    </row>
    <row r="1580" spans="1:9" x14ac:dyDescent="0.3">
      <c r="A1580">
        <v>1579</v>
      </c>
      <c r="B1580">
        <v>1579</v>
      </c>
      <c r="C1580" t="s">
        <v>4202</v>
      </c>
      <c r="D1580" t="s">
        <v>10</v>
      </c>
      <c r="E1580" t="s">
        <v>58</v>
      </c>
      <c r="F1580" t="s">
        <v>915</v>
      </c>
      <c r="G1580" t="s">
        <v>1572</v>
      </c>
      <c r="H1580" t="s">
        <v>1846</v>
      </c>
      <c r="I1580" t="s">
        <v>3285</v>
      </c>
    </row>
    <row r="1581" spans="1:9" x14ac:dyDescent="0.3">
      <c r="A1581">
        <v>1580</v>
      </c>
      <c r="B1581">
        <v>1580</v>
      </c>
      <c r="C1581" t="s">
        <v>4203</v>
      </c>
      <c r="D1581" t="s">
        <v>10</v>
      </c>
      <c r="E1581" t="s">
        <v>345</v>
      </c>
      <c r="F1581" t="s">
        <v>3548</v>
      </c>
      <c r="G1581" t="s">
        <v>1995</v>
      </c>
      <c r="H1581" t="s">
        <v>471</v>
      </c>
      <c r="I1581" t="s">
        <v>476</v>
      </c>
    </row>
    <row r="1582" spans="1:9" x14ac:dyDescent="0.3">
      <c r="A1582">
        <v>1581</v>
      </c>
      <c r="B1582">
        <v>1581</v>
      </c>
      <c r="C1582" t="s">
        <v>4204</v>
      </c>
      <c r="D1582" t="s">
        <v>51</v>
      </c>
      <c r="E1582" t="s">
        <v>365</v>
      </c>
      <c r="F1582" t="s">
        <v>234</v>
      </c>
      <c r="G1582" t="s">
        <v>3376</v>
      </c>
      <c r="H1582" t="s">
        <v>3434</v>
      </c>
      <c r="I1582" t="s">
        <v>2958</v>
      </c>
    </row>
    <row r="1583" spans="1:9" x14ac:dyDescent="0.3">
      <c r="A1583">
        <v>1582</v>
      </c>
      <c r="B1583">
        <v>1582</v>
      </c>
      <c r="C1583" t="s">
        <v>4205</v>
      </c>
      <c r="D1583" t="s">
        <v>737</v>
      </c>
      <c r="E1583" t="s">
        <v>687</v>
      </c>
      <c r="F1583" t="s">
        <v>3041</v>
      </c>
      <c r="G1583" t="s">
        <v>3060</v>
      </c>
      <c r="H1583" t="s">
        <v>1317</v>
      </c>
      <c r="I1583" t="s">
        <v>78</v>
      </c>
    </row>
    <row r="1584" spans="1:9" x14ac:dyDescent="0.3">
      <c r="A1584">
        <v>1583</v>
      </c>
      <c r="B1584">
        <v>1583</v>
      </c>
      <c r="C1584" t="s">
        <v>4206</v>
      </c>
      <c r="D1584" t="s">
        <v>297</v>
      </c>
      <c r="E1584" t="s">
        <v>345</v>
      </c>
      <c r="F1584" t="s">
        <v>1217</v>
      </c>
      <c r="G1584" t="s">
        <v>1857</v>
      </c>
      <c r="H1584" t="s">
        <v>3003</v>
      </c>
      <c r="I1584" t="s">
        <v>2805</v>
      </c>
    </row>
    <row r="1585" spans="1:9" x14ac:dyDescent="0.3">
      <c r="A1585">
        <v>1584</v>
      </c>
      <c r="B1585">
        <v>1584</v>
      </c>
      <c r="C1585" t="s">
        <v>4207</v>
      </c>
      <c r="D1585" t="s">
        <v>51</v>
      </c>
      <c r="E1585" t="s">
        <v>11</v>
      </c>
      <c r="F1585" t="s">
        <v>891</v>
      </c>
      <c r="G1585" t="s">
        <v>3245</v>
      </c>
      <c r="H1585" t="s">
        <v>4208</v>
      </c>
      <c r="I1585" t="s">
        <v>3978</v>
      </c>
    </row>
    <row r="1586" spans="1:9" x14ac:dyDescent="0.3">
      <c r="A1586">
        <v>1585</v>
      </c>
      <c r="B1586">
        <v>1585</v>
      </c>
      <c r="C1586" t="s">
        <v>4209</v>
      </c>
      <c r="D1586" t="s">
        <v>10</v>
      </c>
      <c r="E1586" t="s">
        <v>11</v>
      </c>
      <c r="F1586" t="s">
        <v>1068</v>
      </c>
      <c r="G1586" t="s">
        <v>1995</v>
      </c>
      <c r="H1586" t="s">
        <v>4210</v>
      </c>
      <c r="I1586" t="s">
        <v>2882</v>
      </c>
    </row>
    <row r="1587" spans="1:9" x14ac:dyDescent="0.3">
      <c r="A1587">
        <v>1586</v>
      </c>
      <c r="B1587">
        <v>1586</v>
      </c>
      <c r="C1587" t="s">
        <v>4211</v>
      </c>
      <c r="D1587" t="s">
        <v>417</v>
      </c>
      <c r="E1587" t="s">
        <v>365</v>
      </c>
      <c r="F1587" t="s">
        <v>3342</v>
      </c>
      <c r="G1587" t="s">
        <v>4212</v>
      </c>
      <c r="H1587" t="s">
        <v>3165</v>
      </c>
      <c r="I1587" t="s">
        <v>1572</v>
      </c>
    </row>
    <row r="1588" spans="1:9" x14ac:dyDescent="0.3">
      <c r="A1588">
        <v>1587</v>
      </c>
      <c r="B1588">
        <v>1587</v>
      </c>
      <c r="C1588" t="s">
        <v>4213</v>
      </c>
      <c r="D1588" t="s">
        <v>51</v>
      </c>
      <c r="E1588" t="s">
        <v>11</v>
      </c>
      <c r="F1588" t="s">
        <v>1607</v>
      </c>
      <c r="G1588" t="s">
        <v>2801</v>
      </c>
      <c r="H1588" t="s">
        <v>4214</v>
      </c>
      <c r="I1588" t="s">
        <v>3926</v>
      </c>
    </row>
    <row r="1589" spans="1:9" x14ac:dyDescent="0.3">
      <c r="A1589">
        <v>1588</v>
      </c>
      <c r="B1589">
        <v>1588</v>
      </c>
      <c r="C1589" t="s">
        <v>4215</v>
      </c>
      <c r="D1589" t="s">
        <v>10</v>
      </c>
      <c r="E1589" t="s">
        <v>58</v>
      </c>
      <c r="F1589" t="s">
        <v>1556</v>
      </c>
      <c r="G1589" t="s">
        <v>1572</v>
      </c>
      <c r="H1589" t="s">
        <v>963</v>
      </c>
      <c r="I1589" t="s">
        <v>3893</v>
      </c>
    </row>
    <row r="1590" spans="1:9" x14ac:dyDescent="0.3">
      <c r="A1590">
        <v>1589</v>
      </c>
      <c r="B1590">
        <v>1589</v>
      </c>
      <c r="C1590" t="s">
        <v>4216</v>
      </c>
      <c r="D1590" t="s">
        <v>1441</v>
      </c>
      <c r="E1590" t="s">
        <v>98</v>
      </c>
      <c r="F1590" t="s">
        <v>3864</v>
      </c>
      <c r="G1590" t="s">
        <v>3060</v>
      </c>
      <c r="H1590" t="s">
        <v>3464</v>
      </c>
      <c r="I1590" t="s">
        <v>3464</v>
      </c>
    </row>
    <row r="1591" spans="1:9" x14ac:dyDescent="0.3">
      <c r="A1591">
        <v>1590</v>
      </c>
      <c r="B1591">
        <v>1590</v>
      </c>
      <c r="C1591" t="s">
        <v>4217</v>
      </c>
      <c r="D1591" t="s">
        <v>10</v>
      </c>
      <c r="E1591" t="s">
        <v>11</v>
      </c>
      <c r="F1591" t="s">
        <v>552</v>
      </c>
      <c r="G1591" t="s">
        <v>1572</v>
      </c>
      <c r="H1591" t="s">
        <v>1656</v>
      </c>
      <c r="I1591" t="s">
        <v>1359</v>
      </c>
    </row>
    <row r="1592" spans="1:9" x14ac:dyDescent="0.3">
      <c r="A1592">
        <v>1591</v>
      </c>
      <c r="B1592">
        <v>1591</v>
      </c>
      <c r="C1592" t="s">
        <v>4218</v>
      </c>
      <c r="D1592" t="s">
        <v>51</v>
      </c>
      <c r="E1592" t="s">
        <v>11</v>
      </c>
      <c r="F1592" t="s">
        <v>1866</v>
      </c>
      <c r="G1592" t="s">
        <v>2940</v>
      </c>
      <c r="H1592" t="s">
        <v>4219</v>
      </c>
      <c r="I1592" t="s">
        <v>3690</v>
      </c>
    </row>
    <row r="1593" spans="1:9" x14ac:dyDescent="0.3">
      <c r="A1593">
        <v>1592</v>
      </c>
      <c r="B1593">
        <v>1592</v>
      </c>
      <c r="C1593" t="s">
        <v>4220</v>
      </c>
      <c r="D1593" t="s">
        <v>51</v>
      </c>
      <c r="E1593" t="s">
        <v>64</v>
      </c>
      <c r="F1593" t="s">
        <v>1863</v>
      </c>
      <c r="G1593" t="s">
        <v>2850</v>
      </c>
      <c r="H1593" t="s">
        <v>1891</v>
      </c>
      <c r="I1593" t="s">
        <v>528</v>
      </c>
    </row>
    <row r="1594" spans="1:9" x14ac:dyDescent="0.3">
      <c r="A1594">
        <v>1593</v>
      </c>
      <c r="B1594">
        <v>1593</v>
      </c>
      <c r="C1594" t="s">
        <v>4221</v>
      </c>
      <c r="D1594" t="s">
        <v>51</v>
      </c>
      <c r="E1594" t="s">
        <v>23</v>
      </c>
      <c r="F1594" t="s">
        <v>547</v>
      </c>
      <c r="G1594" t="s">
        <v>4055</v>
      </c>
      <c r="H1594" t="s">
        <v>1749</v>
      </c>
      <c r="I1594" t="s">
        <v>3893</v>
      </c>
    </row>
    <row r="1595" spans="1:9" x14ac:dyDescent="0.3">
      <c r="A1595">
        <v>1594</v>
      </c>
      <c r="B1595">
        <v>1594</v>
      </c>
      <c r="C1595" t="s">
        <v>4222</v>
      </c>
      <c r="D1595" t="s">
        <v>51</v>
      </c>
      <c r="E1595" t="s">
        <v>23</v>
      </c>
      <c r="F1595" t="s">
        <v>1834</v>
      </c>
      <c r="G1595" t="s">
        <v>4055</v>
      </c>
      <c r="H1595" t="s">
        <v>1802</v>
      </c>
      <c r="I1595" t="s">
        <v>1359</v>
      </c>
    </row>
    <row r="1596" spans="1:9" x14ac:dyDescent="0.3">
      <c r="A1596">
        <v>1595</v>
      </c>
      <c r="B1596">
        <v>1595</v>
      </c>
      <c r="C1596" t="s">
        <v>4223</v>
      </c>
      <c r="D1596" t="s">
        <v>1463</v>
      </c>
      <c r="E1596" t="s">
        <v>560</v>
      </c>
      <c r="F1596" t="s">
        <v>3557</v>
      </c>
      <c r="G1596" t="s">
        <v>1716</v>
      </c>
      <c r="H1596" t="s">
        <v>3321</v>
      </c>
      <c r="I1596" t="s">
        <v>3337</v>
      </c>
    </row>
    <row r="1597" spans="1:9" x14ac:dyDescent="0.3">
      <c r="A1597">
        <v>1596</v>
      </c>
      <c r="B1597">
        <v>1596</v>
      </c>
      <c r="C1597" t="s">
        <v>4224</v>
      </c>
      <c r="D1597" t="s">
        <v>10</v>
      </c>
      <c r="E1597" t="s">
        <v>58</v>
      </c>
      <c r="F1597" t="s">
        <v>1268</v>
      </c>
      <c r="G1597" t="s">
        <v>1671</v>
      </c>
      <c r="H1597" t="s">
        <v>2795</v>
      </c>
      <c r="I1597" t="s">
        <v>4225</v>
      </c>
    </row>
    <row r="1598" spans="1:9" x14ac:dyDescent="0.3">
      <c r="A1598">
        <v>1597</v>
      </c>
      <c r="B1598">
        <v>1597</v>
      </c>
      <c r="C1598" t="s">
        <v>4226</v>
      </c>
      <c r="D1598" t="s">
        <v>10</v>
      </c>
      <c r="E1598" t="s">
        <v>11</v>
      </c>
      <c r="F1598" t="s">
        <v>3262</v>
      </c>
      <c r="G1598" t="s">
        <v>2092</v>
      </c>
      <c r="H1598" t="s">
        <v>4227</v>
      </c>
      <c r="I1598" t="s">
        <v>533</v>
      </c>
    </row>
    <row r="1599" spans="1:9" x14ac:dyDescent="0.3">
      <c r="A1599">
        <v>1598</v>
      </c>
      <c r="B1599">
        <v>1598</v>
      </c>
      <c r="C1599" t="s">
        <v>4228</v>
      </c>
      <c r="D1599" t="s">
        <v>10</v>
      </c>
      <c r="E1599" t="s">
        <v>64</v>
      </c>
      <c r="F1599" t="s">
        <v>3528</v>
      </c>
      <c r="G1599" t="s">
        <v>2455</v>
      </c>
      <c r="H1599" t="s">
        <v>533</v>
      </c>
      <c r="I1599" t="s">
        <v>702</v>
      </c>
    </row>
    <row r="1600" spans="1:9" x14ac:dyDescent="0.3">
      <c r="A1600">
        <v>1599</v>
      </c>
      <c r="B1600">
        <v>1599</v>
      </c>
      <c r="C1600" t="s">
        <v>4229</v>
      </c>
      <c r="D1600" t="s">
        <v>10</v>
      </c>
      <c r="E1600" t="s">
        <v>11</v>
      </c>
      <c r="F1600" t="s">
        <v>1521</v>
      </c>
      <c r="G1600" t="s">
        <v>1572</v>
      </c>
      <c r="H1600" t="s">
        <v>738</v>
      </c>
      <c r="I1600" t="s">
        <v>392</v>
      </c>
    </row>
    <row r="1601" spans="1:9" x14ac:dyDescent="0.3">
      <c r="A1601">
        <v>1600</v>
      </c>
      <c r="B1601">
        <v>1600</v>
      </c>
      <c r="C1601" t="s">
        <v>4230</v>
      </c>
      <c r="D1601" t="s">
        <v>3359</v>
      </c>
      <c r="E1601" t="s">
        <v>792</v>
      </c>
      <c r="F1601" t="s">
        <v>1374</v>
      </c>
      <c r="G1601" t="s">
        <v>2988</v>
      </c>
      <c r="H1601" t="s">
        <v>733</v>
      </c>
      <c r="I1601" t="s">
        <v>2850</v>
      </c>
    </row>
    <row r="1602" spans="1:9" x14ac:dyDescent="0.3">
      <c r="A1602">
        <v>1601</v>
      </c>
      <c r="B1602">
        <v>1601</v>
      </c>
      <c r="C1602" t="s">
        <v>4231</v>
      </c>
      <c r="D1602" t="s">
        <v>51</v>
      </c>
      <c r="E1602" t="s">
        <v>792</v>
      </c>
      <c r="F1602" t="s">
        <v>2643</v>
      </c>
      <c r="G1602" t="s">
        <v>3551</v>
      </c>
      <c r="H1602" t="s">
        <v>2854</v>
      </c>
      <c r="I1602" t="s">
        <v>1068</v>
      </c>
    </row>
    <row r="1603" spans="1:9" x14ac:dyDescent="0.3">
      <c r="A1603">
        <v>1602</v>
      </c>
      <c r="B1603">
        <v>1602</v>
      </c>
      <c r="C1603" t="s">
        <v>4232</v>
      </c>
      <c r="D1603" t="s">
        <v>10</v>
      </c>
      <c r="E1603" t="s">
        <v>64</v>
      </c>
      <c r="F1603" t="s">
        <v>3301</v>
      </c>
      <c r="G1603" t="s">
        <v>2455</v>
      </c>
      <c r="H1603" t="s">
        <v>3106</v>
      </c>
      <c r="I1603" t="s">
        <v>201</v>
      </c>
    </row>
    <row r="1604" spans="1:9" x14ac:dyDescent="0.3">
      <c r="A1604">
        <v>1603</v>
      </c>
      <c r="B1604">
        <v>1603</v>
      </c>
      <c r="C1604" t="s">
        <v>4233</v>
      </c>
      <c r="D1604" t="s">
        <v>2172</v>
      </c>
      <c r="E1604" t="s">
        <v>52</v>
      </c>
      <c r="F1604" t="s">
        <v>629</v>
      </c>
      <c r="G1604" t="s">
        <v>1737</v>
      </c>
      <c r="H1604" t="s">
        <v>392</v>
      </c>
      <c r="I1604" t="s">
        <v>717</v>
      </c>
    </row>
    <row r="1605" spans="1:9" x14ac:dyDescent="0.3">
      <c r="A1605">
        <v>1604</v>
      </c>
      <c r="B1605">
        <v>1604</v>
      </c>
      <c r="C1605" t="s">
        <v>4234</v>
      </c>
      <c r="D1605" t="s">
        <v>51</v>
      </c>
      <c r="E1605" t="s">
        <v>11</v>
      </c>
      <c r="F1605" t="s">
        <v>982</v>
      </c>
      <c r="G1605" t="s">
        <v>2850</v>
      </c>
      <c r="H1605" t="s">
        <v>1323</v>
      </c>
      <c r="I1605" t="s">
        <v>968</v>
      </c>
    </row>
    <row r="1606" spans="1:9" x14ac:dyDescent="0.3">
      <c r="A1606">
        <v>1605</v>
      </c>
      <c r="B1606">
        <v>1605</v>
      </c>
      <c r="C1606" t="s">
        <v>4235</v>
      </c>
      <c r="D1606" t="s">
        <v>10</v>
      </c>
      <c r="E1606" t="s">
        <v>243</v>
      </c>
      <c r="F1606" t="s">
        <v>547</v>
      </c>
      <c r="G1606" t="s">
        <v>1506</v>
      </c>
      <c r="H1606" t="s">
        <v>2502</v>
      </c>
      <c r="I1606" t="s">
        <v>3487</v>
      </c>
    </row>
    <row r="1607" spans="1:9" x14ac:dyDescent="0.3">
      <c r="A1607">
        <v>1606</v>
      </c>
      <c r="B1607">
        <v>1606</v>
      </c>
      <c r="C1607" t="s">
        <v>4236</v>
      </c>
      <c r="D1607" t="s">
        <v>124</v>
      </c>
      <c r="E1607" t="s">
        <v>726</v>
      </c>
      <c r="F1607" t="s">
        <v>2832</v>
      </c>
      <c r="G1607" t="s">
        <v>2471</v>
      </c>
      <c r="H1607" t="s">
        <v>3083</v>
      </c>
      <c r="I1607" t="s">
        <v>692</v>
      </c>
    </row>
    <row r="1608" spans="1:9" x14ac:dyDescent="0.3">
      <c r="A1608">
        <v>1607</v>
      </c>
      <c r="B1608">
        <v>1607</v>
      </c>
      <c r="C1608" t="s">
        <v>4237</v>
      </c>
      <c r="D1608" t="s">
        <v>10</v>
      </c>
      <c r="E1608" t="s">
        <v>58</v>
      </c>
      <c r="F1608" t="s">
        <v>1521</v>
      </c>
      <c r="G1608" t="s">
        <v>2092</v>
      </c>
      <c r="H1608" t="s">
        <v>1971</v>
      </c>
      <c r="I1608" t="s">
        <v>3422</v>
      </c>
    </row>
    <row r="1609" spans="1:9" x14ac:dyDescent="0.3">
      <c r="A1609">
        <v>1608</v>
      </c>
      <c r="B1609">
        <v>1608</v>
      </c>
      <c r="C1609" t="s">
        <v>4238</v>
      </c>
      <c r="D1609" t="s">
        <v>51</v>
      </c>
      <c r="E1609" t="s">
        <v>11</v>
      </c>
      <c r="F1609" t="s">
        <v>2282</v>
      </c>
      <c r="G1609" t="s">
        <v>3551</v>
      </c>
      <c r="H1609" t="s">
        <v>4239</v>
      </c>
      <c r="I1609" t="s">
        <v>692</v>
      </c>
    </row>
    <row r="1610" spans="1:9" x14ac:dyDescent="0.3">
      <c r="A1610">
        <v>1609</v>
      </c>
      <c r="B1610">
        <v>1609</v>
      </c>
      <c r="C1610" t="s">
        <v>4240</v>
      </c>
      <c r="D1610" t="s">
        <v>681</v>
      </c>
      <c r="E1610" t="s">
        <v>130</v>
      </c>
      <c r="F1610" t="s">
        <v>1152</v>
      </c>
      <c r="G1610" t="s">
        <v>3060</v>
      </c>
      <c r="H1610" t="s">
        <v>586</v>
      </c>
      <c r="I1610" t="s">
        <v>2589</v>
      </c>
    </row>
    <row r="1611" spans="1:9" x14ac:dyDescent="0.3">
      <c r="A1611">
        <v>1610</v>
      </c>
      <c r="B1611">
        <v>1610</v>
      </c>
      <c r="C1611" t="s">
        <v>4241</v>
      </c>
      <c r="D1611" t="s">
        <v>51</v>
      </c>
      <c r="E1611" t="s">
        <v>58</v>
      </c>
      <c r="F1611" t="s">
        <v>1012</v>
      </c>
      <c r="G1611" t="s">
        <v>3245</v>
      </c>
      <c r="H1611" t="s">
        <v>4242</v>
      </c>
      <c r="I1611" t="s">
        <v>1949</v>
      </c>
    </row>
    <row r="1612" spans="1:9" x14ac:dyDescent="0.3">
      <c r="A1612">
        <v>1611</v>
      </c>
      <c r="B1612">
        <v>1611</v>
      </c>
      <c r="C1612" t="s">
        <v>4243</v>
      </c>
      <c r="D1612" t="s">
        <v>51</v>
      </c>
      <c r="E1612" t="s">
        <v>510</v>
      </c>
      <c r="F1612" t="s">
        <v>3086</v>
      </c>
      <c r="G1612" t="s">
        <v>3376</v>
      </c>
      <c r="H1612" t="s">
        <v>3342</v>
      </c>
      <c r="I1612" t="s">
        <v>1051</v>
      </c>
    </row>
    <row r="1613" spans="1:9" x14ac:dyDescent="0.3">
      <c r="A1613">
        <v>1612</v>
      </c>
      <c r="B1613">
        <v>1612</v>
      </c>
      <c r="C1613" t="s">
        <v>4244</v>
      </c>
      <c r="D1613" t="s">
        <v>1679</v>
      </c>
      <c r="E1613" t="s">
        <v>243</v>
      </c>
      <c r="F1613" t="s">
        <v>3746</v>
      </c>
      <c r="G1613" t="s">
        <v>1958</v>
      </c>
      <c r="H1613" t="s">
        <v>3487</v>
      </c>
      <c r="I1613" t="s">
        <v>2242</v>
      </c>
    </row>
    <row r="1614" spans="1:9" x14ac:dyDescent="0.3">
      <c r="A1614">
        <v>1613</v>
      </c>
      <c r="B1614">
        <v>1613</v>
      </c>
      <c r="C1614" t="s">
        <v>4245</v>
      </c>
      <c r="D1614" t="s">
        <v>10</v>
      </c>
      <c r="E1614" t="s">
        <v>64</v>
      </c>
      <c r="F1614" t="s">
        <v>614</v>
      </c>
      <c r="G1614" t="s">
        <v>1995</v>
      </c>
      <c r="H1614" t="s">
        <v>1051</v>
      </c>
      <c r="I1614" t="s">
        <v>2098</v>
      </c>
    </row>
    <row r="1615" spans="1:9" x14ac:dyDescent="0.3">
      <c r="A1615">
        <v>1614</v>
      </c>
      <c r="B1615">
        <v>1614</v>
      </c>
      <c r="C1615" t="s">
        <v>4246</v>
      </c>
      <c r="D1615" t="s">
        <v>10</v>
      </c>
      <c r="E1615" t="s">
        <v>345</v>
      </c>
      <c r="F1615" t="s">
        <v>2844</v>
      </c>
      <c r="G1615" t="s">
        <v>2092</v>
      </c>
      <c r="H1615" t="s">
        <v>2433</v>
      </c>
      <c r="I1615" t="s">
        <v>683</v>
      </c>
    </row>
    <row r="1616" spans="1:9" x14ac:dyDescent="0.3">
      <c r="A1616">
        <v>1615</v>
      </c>
      <c r="B1616">
        <v>1615</v>
      </c>
      <c r="C1616" t="s">
        <v>4247</v>
      </c>
      <c r="D1616" t="s">
        <v>10</v>
      </c>
      <c r="E1616" t="s">
        <v>706</v>
      </c>
      <c r="F1616" t="s">
        <v>692</v>
      </c>
      <c r="G1616" t="s">
        <v>1857</v>
      </c>
      <c r="H1616" t="s">
        <v>4248</v>
      </c>
      <c r="I1616" t="s">
        <v>2041</v>
      </c>
    </row>
    <row r="1617" spans="1:9" x14ac:dyDescent="0.3">
      <c r="A1617">
        <v>1616</v>
      </c>
      <c r="B1617">
        <v>1616</v>
      </c>
      <c r="C1617" t="s">
        <v>4249</v>
      </c>
      <c r="D1617" t="s">
        <v>10</v>
      </c>
      <c r="E1617" t="s">
        <v>29</v>
      </c>
      <c r="F1617" t="s">
        <v>481</v>
      </c>
      <c r="G1617" t="s">
        <v>1098</v>
      </c>
      <c r="H1617" t="s">
        <v>838</v>
      </c>
      <c r="I1617" t="s">
        <v>2725</v>
      </c>
    </row>
    <row r="1618" spans="1:9" x14ac:dyDescent="0.3">
      <c r="A1618">
        <v>1617</v>
      </c>
      <c r="B1618">
        <v>1617</v>
      </c>
      <c r="C1618" t="s">
        <v>4250</v>
      </c>
      <c r="D1618" t="s">
        <v>10</v>
      </c>
      <c r="E1618" t="s">
        <v>11</v>
      </c>
      <c r="F1618" t="s">
        <v>1094</v>
      </c>
      <c r="G1618" t="s">
        <v>2376</v>
      </c>
      <c r="H1618" t="s">
        <v>2034</v>
      </c>
      <c r="I1618" t="s">
        <v>4068</v>
      </c>
    </row>
    <row r="1619" spans="1:9" x14ac:dyDescent="0.3">
      <c r="A1619">
        <v>1618</v>
      </c>
      <c r="B1619">
        <v>1618</v>
      </c>
      <c r="C1619" t="s">
        <v>4251</v>
      </c>
      <c r="D1619" t="s">
        <v>51</v>
      </c>
      <c r="E1619" t="s">
        <v>11</v>
      </c>
      <c r="F1619" t="s">
        <v>673</v>
      </c>
      <c r="G1619" t="s">
        <v>4252</v>
      </c>
      <c r="H1619" t="s">
        <v>1832</v>
      </c>
      <c r="I1619" t="s">
        <v>683</v>
      </c>
    </row>
    <row r="1620" spans="1:9" x14ac:dyDescent="0.3">
      <c r="A1620">
        <v>1619</v>
      </c>
      <c r="B1620">
        <v>1619</v>
      </c>
      <c r="C1620" t="s">
        <v>4253</v>
      </c>
      <c r="D1620" t="s">
        <v>51</v>
      </c>
      <c r="E1620" t="s">
        <v>11</v>
      </c>
      <c r="F1620" t="s">
        <v>1217</v>
      </c>
      <c r="G1620" t="s">
        <v>2703</v>
      </c>
      <c r="H1620" t="s">
        <v>4254</v>
      </c>
      <c r="I1620" t="s">
        <v>891</v>
      </c>
    </row>
    <row r="1621" spans="1:9" x14ac:dyDescent="0.3">
      <c r="A1621">
        <v>1620</v>
      </c>
      <c r="B1621">
        <v>1620</v>
      </c>
      <c r="C1621" t="s">
        <v>4255</v>
      </c>
      <c r="D1621" t="s">
        <v>1617</v>
      </c>
      <c r="E1621" t="s">
        <v>130</v>
      </c>
      <c r="F1621" t="s">
        <v>1693</v>
      </c>
      <c r="G1621" t="s">
        <v>1671</v>
      </c>
      <c r="H1621" t="s">
        <v>581</v>
      </c>
      <c r="I1621" t="s">
        <v>4050</v>
      </c>
    </row>
    <row r="1622" spans="1:9" x14ac:dyDescent="0.3">
      <c r="A1622">
        <v>1621</v>
      </c>
      <c r="B1622">
        <v>1621</v>
      </c>
      <c r="C1622" t="s">
        <v>4256</v>
      </c>
      <c r="D1622" t="s">
        <v>1172</v>
      </c>
      <c r="E1622" t="s">
        <v>141</v>
      </c>
      <c r="F1622" t="s">
        <v>754</v>
      </c>
      <c r="G1622" t="s">
        <v>1506</v>
      </c>
      <c r="H1622" t="s">
        <v>799</v>
      </c>
      <c r="I1622" t="s">
        <v>2648</v>
      </c>
    </row>
    <row r="1623" spans="1:9" x14ac:dyDescent="0.3">
      <c r="A1623">
        <v>1622</v>
      </c>
      <c r="B1623">
        <v>1622</v>
      </c>
      <c r="C1623" t="s">
        <v>4257</v>
      </c>
      <c r="D1623" t="s">
        <v>51</v>
      </c>
      <c r="E1623" t="s">
        <v>726</v>
      </c>
      <c r="F1623" t="s">
        <v>2854</v>
      </c>
      <c r="G1623" t="s">
        <v>3065</v>
      </c>
      <c r="H1623" t="s">
        <v>4258</v>
      </c>
      <c r="I1623" t="s">
        <v>1217</v>
      </c>
    </row>
    <row r="1624" spans="1:9" x14ac:dyDescent="0.3">
      <c r="A1624">
        <v>1623</v>
      </c>
      <c r="B1624">
        <v>1623</v>
      </c>
      <c r="C1624" t="s">
        <v>4259</v>
      </c>
      <c r="D1624" t="s">
        <v>2172</v>
      </c>
      <c r="E1624" t="s">
        <v>29</v>
      </c>
      <c r="F1624" t="s">
        <v>1510</v>
      </c>
      <c r="G1624" t="s">
        <v>1857</v>
      </c>
      <c r="H1624" t="s">
        <v>1308</v>
      </c>
      <c r="I1624" t="s">
        <v>2136</v>
      </c>
    </row>
    <row r="1625" spans="1:9" x14ac:dyDescent="0.3">
      <c r="A1625">
        <v>1624</v>
      </c>
      <c r="B1625">
        <v>1624</v>
      </c>
      <c r="C1625" t="s">
        <v>4260</v>
      </c>
      <c r="D1625" t="s">
        <v>216</v>
      </c>
      <c r="E1625" t="s">
        <v>29</v>
      </c>
      <c r="F1625" t="s">
        <v>3806</v>
      </c>
      <c r="G1625" t="s">
        <v>1671</v>
      </c>
      <c r="H1625" t="s">
        <v>2332</v>
      </c>
      <c r="I1625" t="s">
        <v>3451</v>
      </c>
    </row>
    <row r="1626" spans="1:9" x14ac:dyDescent="0.3">
      <c r="A1626">
        <v>1625</v>
      </c>
      <c r="B1626">
        <v>1625</v>
      </c>
      <c r="C1626" t="s">
        <v>4261</v>
      </c>
      <c r="D1626" t="s">
        <v>10</v>
      </c>
      <c r="E1626" t="s">
        <v>345</v>
      </c>
      <c r="F1626" t="s">
        <v>567</v>
      </c>
      <c r="G1626" t="s">
        <v>1671</v>
      </c>
      <c r="H1626" t="s">
        <v>2674</v>
      </c>
      <c r="I1626" t="s">
        <v>3008</v>
      </c>
    </row>
    <row r="1627" spans="1:9" x14ac:dyDescent="0.3">
      <c r="A1627">
        <v>1626</v>
      </c>
      <c r="B1627">
        <v>1626</v>
      </c>
      <c r="C1627" t="s">
        <v>4262</v>
      </c>
      <c r="D1627" t="s">
        <v>51</v>
      </c>
      <c r="E1627" t="s">
        <v>11</v>
      </c>
      <c r="F1627" t="s">
        <v>1694</v>
      </c>
      <c r="G1627" t="s">
        <v>3551</v>
      </c>
      <c r="H1627" t="s">
        <v>4263</v>
      </c>
      <c r="I1627" t="s">
        <v>387</v>
      </c>
    </row>
    <row r="1628" spans="1:9" x14ac:dyDescent="0.3">
      <c r="A1628">
        <v>1627</v>
      </c>
      <c r="B1628">
        <v>1627</v>
      </c>
      <c r="C1628" t="s">
        <v>4264</v>
      </c>
      <c r="D1628" t="s">
        <v>297</v>
      </c>
      <c r="E1628" t="s">
        <v>11</v>
      </c>
      <c r="F1628" t="s">
        <v>1866</v>
      </c>
      <c r="G1628" t="s">
        <v>2850</v>
      </c>
      <c r="H1628" t="s">
        <v>2097</v>
      </c>
      <c r="I1628" t="s">
        <v>2636</v>
      </c>
    </row>
    <row r="1629" spans="1:9" x14ac:dyDescent="0.3">
      <c r="A1629">
        <v>1628</v>
      </c>
      <c r="B1629">
        <v>1628</v>
      </c>
      <c r="C1629" t="s">
        <v>4265</v>
      </c>
      <c r="D1629" t="s">
        <v>35</v>
      </c>
      <c r="E1629" t="s">
        <v>58</v>
      </c>
      <c r="F1629" t="s">
        <v>1202</v>
      </c>
      <c r="G1629" t="s">
        <v>3680</v>
      </c>
      <c r="H1629" t="s">
        <v>1370</v>
      </c>
      <c r="I1629" t="s">
        <v>2392</v>
      </c>
    </row>
    <row r="1630" spans="1:9" x14ac:dyDescent="0.3">
      <c r="A1630">
        <v>1629</v>
      </c>
      <c r="B1630">
        <v>1629</v>
      </c>
      <c r="C1630" t="s">
        <v>4266</v>
      </c>
      <c r="D1630" t="s">
        <v>249</v>
      </c>
      <c r="E1630" t="s">
        <v>792</v>
      </c>
      <c r="F1630" t="s">
        <v>2929</v>
      </c>
      <c r="G1630" t="s">
        <v>2940</v>
      </c>
      <c r="H1630" t="s">
        <v>341</v>
      </c>
      <c r="I1630" t="s">
        <v>2348</v>
      </c>
    </row>
    <row r="1631" spans="1:9" x14ac:dyDescent="0.3">
      <c r="A1631">
        <v>1630</v>
      </c>
      <c r="B1631">
        <v>1630</v>
      </c>
      <c r="C1631" t="s">
        <v>4267</v>
      </c>
      <c r="D1631" t="s">
        <v>10</v>
      </c>
      <c r="E1631" t="s">
        <v>743</v>
      </c>
      <c r="F1631" t="s">
        <v>947</v>
      </c>
      <c r="G1631" t="s">
        <v>1741</v>
      </c>
      <c r="H1631" t="s">
        <v>3677</v>
      </c>
      <c r="I1631" t="s">
        <v>3059</v>
      </c>
    </row>
    <row r="1632" spans="1:9" x14ac:dyDescent="0.3">
      <c r="A1632">
        <v>1631</v>
      </c>
      <c r="B1632">
        <v>1631</v>
      </c>
      <c r="C1632" t="s">
        <v>4268</v>
      </c>
      <c r="D1632" t="s">
        <v>2364</v>
      </c>
      <c r="E1632" t="s">
        <v>11</v>
      </c>
      <c r="F1632" t="s">
        <v>1540</v>
      </c>
      <c r="G1632" t="s">
        <v>2850</v>
      </c>
      <c r="H1632" t="s">
        <v>2411</v>
      </c>
      <c r="I1632" t="s">
        <v>413</v>
      </c>
    </row>
    <row r="1633" spans="1:9" x14ac:dyDescent="0.3">
      <c r="A1633">
        <v>1632</v>
      </c>
      <c r="B1633">
        <v>1632</v>
      </c>
      <c r="C1633" t="s">
        <v>4269</v>
      </c>
      <c r="D1633" t="s">
        <v>51</v>
      </c>
      <c r="E1633" t="s">
        <v>743</v>
      </c>
      <c r="F1633" t="s">
        <v>533</v>
      </c>
      <c r="G1633" t="s">
        <v>3060</v>
      </c>
      <c r="H1633" t="s">
        <v>3999</v>
      </c>
      <c r="I1633" t="s">
        <v>491</v>
      </c>
    </row>
    <row r="1634" spans="1:9" x14ac:dyDescent="0.3">
      <c r="A1634">
        <v>1633</v>
      </c>
      <c r="B1634">
        <v>1633</v>
      </c>
      <c r="C1634" t="s">
        <v>4270</v>
      </c>
      <c r="D1634" t="s">
        <v>51</v>
      </c>
      <c r="E1634" t="s">
        <v>11</v>
      </c>
      <c r="F1634" t="s">
        <v>562</v>
      </c>
      <c r="G1634" t="s">
        <v>3551</v>
      </c>
      <c r="H1634" t="s">
        <v>943</v>
      </c>
      <c r="I1634" t="s">
        <v>1051</v>
      </c>
    </row>
    <row r="1635" spans="1:9" x14ac:dyDescent="0.3">
      <c r="A1635">
        <v>1634</v>
      </c>
      <c r="B1635">
        <v>1634</v>
      </c>
      <c r="C1635" t="s">
        <v>4271</v>
      </c>
      <c r="D1635" t="s">
        <v>10</v>
      </c>
      <c r="E1635" t="s">
        <v>726</v>
      </c>
      <c r="F1635" t="s">
        <v>619</v>
      </c>
      <c r="G1635" t="s">
        <v>1671</v>
      </c>
      <c r="H1635" t="s">
        <v>2466</v>
      </c>
      <c r="I1635" t="s">
        <v>3479</v>
      </c>
    </row>
    <row r="1636" spans="1:9" x14ac:dyDescent="0.3">
      <c r="A1636">
        <v>1635</v>
      </c>
      <c r="B1636">
        <v>1635</v>
      </c>
      <c r="C1636" t="s">
        <v>4272</v>
      </c>
      <c r="D1636" t="s">
        <v>76</v>
      </c>
      <c r="E1636" t="s">
        <v>174</v>
      </c>
      <c r="F1636" t="s">
        <v>428</v>
      </c>
      <c r="G1636" t="s">
        <v>1830</v>
      </c>
      <c r="H1636" t="s">
        <v>272</v>
      </c>
      <c r="I1636" t="s">
        <v>4273</v>
      </c>
    </row>
    <row r="1637" spans="1:9" x14ac:dyDescent="0.3">
      <c r="A1637">
        <v>1636</v>
      </c>
      <c r="B1637">
        <v>1636</v>
      </c>
      <c r="C1637" t="s">
        <v>4274</v>
      </c>
      <c r="D1637" t="s">
        <v>51</v>
      </c>
      <c r="E1637" t="s">
        <v>11</v>
      </c>
      <c r="F1637" t="s">
        <v>3041</v>
      </c>
      <c r="G1637" t="s">
        <v>2850</v>
      </c>
      <c r="H1637" t="s">
        <v>4275</v>
      </c>
      <c r="I1637" t="s">
        <v>3875</v>
      </c>
    </row>
    <row r="1638" spans="1:9" x14ac:dyDescent="0.3">
      <c r="A1638">
        <v>1637</v>
      </c>
      <c r="B1638">
        <v>1637</v>
      </c>
      <c r="C1638" t="s">
        <v>4276</v>
      </c>
      <c r="D1638" t="s">
        <v>436</v>
      </c>
      <c r="E1638" t="s">
        <v>687</v>
      </c>
      <c r="F1638" t="s">
        <v>2546</v>
      </c>
      <c r="G1638" t="s">
        <v>4277</v>
      </c>
      <c r="H1638" t="s">
        <v>3113</v>
      </c>
      <c r="I1638" t="s">
        <v>788</v>
      </c>
    </row>
    <row r="1639" spans="1:9" x14ac:dyDescent="0.3">
      <c r="A1639">
        <v>1638</v>
      </c>
      <c r="B1639">
        <v>1638</v>
      </c>
      <c r="C1639" t="s">
        <v>4278</v>
      </c>
      <c r="D1639" t="s">
        <v>1463</v>
      </c>
      <c r="E1639" t="s">
        <v>58</v>
      </c>
      <c r="F1639" t="s">
        <v>910</v>
      </c>
      <c r="G1639" t="s">
        <v>2842</v>
      </c>
      <c r="H1639" t="s">
        <v>2213</v>
      </c>
      <c r="I1639" t="s">
        <v>838</v>
      </c>
    </row>
    <row r="1640" spans="1:9" x14ac:dyDescent="0.3">
      <c r="A1640">
        <v>1639</v>
      </c>
      <c r="B1640">
        <v>1639</v>
      </c>
      <c r="C1640" t="s">
        <v>4279</v>
      </c>
      <c r="D1640" t="s">
        <v>10</v>
      </c>
      <c r="E1640" t="s">
        <v>98</v>
      </c>
      <c r="F1640" t="s">
        <v>4169</v>
      </c>
      <c r="G1640" t="s">
        <v>2455</v>
      </c>
      <c r="H1640" t="s">
        <v>1152</v>
      </c>
      <c r="I1640" t="s">
        <v>2809</v>
      </c>
    </row>
    <row r="1641" spans="1:9" x14ac:dyDescent="0.3">
      <c r="A1641">
        <v>1640</v>
      </c>
      <c r="B1641">
        <v>1640</v>
      </c>
      <c r="C1641" t="s">
        <v>4280</v>
      </c>
      <c r="D1641" t="s">
        <v>51</v>
      </c>
      <c r="E1641" t="s">
        <v>11</v>
      </c>
      <c r="F1641" t="s">
        <v>973</v>
      </c>
      <c r="G1641" t="s">
        <v>2488</v>
      </c>
      <c r="H1641" t="s">
        <v>4281</v>
      </c>
      <c r="I1641" t="s">
        <v>995</v>
      </c>
    </row>
    <row r="1642" spans="1:9" x14ac:dyDescent="0.3">
      <c r="A1642">
        <v>1641</v>
      </c>
      <c r="B1642">
        <v>1641</v>
      </c>
      <c r="C1642" t="s">
        <v>4282</v>
      </c>
      <c r="D1642" t="s">
        <v>10</v>
      </c>
      <c r="E1642" t="s">
        <v>58</v>
      </c>
      <c r="F1642" t="s">
        <v>772</v>
      </c>
      <c r="G1642" t="s">
        <v>1716</v>
      </c>
      <c r="H1642" t="s">
        <v>1164</v>
      </c>
      <c r="I1642" t="s">
        <v>2526</v>
      </c>
    </row>
    <row r="1643" spans="1:9" x14ac:dyDescent="0.3">
      <c r="A1643">
        <v>1642</v>
      </c>
      <c r="B1643">
        <v>1642</v>
      </c>
      <c r="C1643" t="s">
        <v>4283</v>
      </c>
      <c r="D1643" t="s">
        <v>1172</v>
      </c>
      <c r="E1643" t="s">
        <v>11</v>
      </c>
      <c r="F1643" t="s">
        <v>3893</v>
      </c>
      <c r="G1643" t="s">
        <v>2471</v>
      </c>
      <c r="H1643" t="s">
        <v>653</v>
      </c>
      <c r="I1643" t="s">
        <v>1447</v>
      </c>
    </row>
    <row r="1644" spans="1:9" x14ac:dyDescent="0.3">
      <c r="A1644">
        <v>1643</v>
      </c>
      <c r="B1644">
        <v>1643</v>
      </c>
      <c r="C1644" t="s">
        <v>4284</v>
      </c>
      <c r="D1644" t="s">
        <v>51</v>
      </c>
      <c r="E1644" t="s">
        <v>687</v>
      </c>
      <c r="F1644" t="s">
        <v>2355</v>
      </c>
      <c r="G1644" t="s">
        <v>3680</v>
      </c>
      <c r="H1644" t="s">
        <v>3000</v>
      </c>
      <c r="I1644" t="s">
        <v>316</v>
      </c>
    </row>
    <row r="1645" spans="1:9" x14ac:dyDescent="0.3">
      <c r="A1645">
        <v>1644</v>
      </c>
      <c r="B1645">
        <v>1644</v>
      </c>
      <c r="C1645" t="s">
        <v>4285</v>
      </c>
      <c r="D1645" t="s">
        <v>51</v>
      </c>
      <c r="E1645" t="s">
        <v>510</v>
      </c>
      <c r="F1645" t="s">
        <v>3367</v>
      </c>
      <c r="G1645" t="s">
        <v>1995</v>
      </c>
      <c r="H1645" t="s">
        <v>2689</v>
      </c>
      <c r="I1645" t="s">
        <v>3772</v>
      </c>
    </row>
    <row r="1646" spans="1:9" x14ac:dyDescent="0.3">
      <c r="A1646">
        <v>1645</v>
      </c>
      <c r="B1646">
        <v>1645</v>
      </c>
      <c r="C1646" t="s">
        <v>4286</v>
      </c>
      <c r="D1646" t="s">
        <v>10</v>
      </c>
      <c r="E1646" t="s">
        <v>141</v>
      </c>
      <c r="F1646" t="s">
        <v>3875</v>
      </c>
      <c r="G1646" t="s">
        <v>1572</v>
      </c>
      <c r="H1646" t="s">
        <v>2608</v>
      </c>
      <c r="I1646" t="s">
        <v>3062</v>
      </c>
    </row>
    <row r="1647" spans="1:9" x14ac:dyDescent="0.3">
      <c r="A1647">
        <v>1646</v>
      </c>
      <c r="B1647">
        <v>1646</v>
      </c>
      <c r="C1647" t="s">
        <v>4287</v>
      </c>
      <c r="D1647" t="s">
        <v>205</v>
      </c>
      <c r="E1647" t="s">
        <v>11</v>
      </c>
      <c r="F1647" t="s">
        <v>4068</v>
      </c>
      <c r="G1647" t="s">
        <v>2092</v>
      </c>
      <c r="H1647" t="s">
        <v>2089</v>
      </c>
      <c r="I1647" t="s">
        <v>3485</v>
      </c>
    </row>
    <row r="1648" spans="1:9" x14ac:dyDescent="0.3">
      <c r="A1648">
        <v>1647</v>
      </c>
      <c r="B1648">
        <v>1647</v>
      </c>
      <c r="C1648" t="s">
        <v>4288</v>
      </c>
      <c r="D1648" t="s">
        <v>2925</v>
      </c>
      <c r="E1648" t="s">
        <v>11</v>
      </c>
      <c r="F1648" t="s">
        <v>788</v>
      </c>
      <c r="G1648" t="s">
        <v>3680</v>
      </c>
      <c r="H1648" t="s">
        <v>4289</v>
      </c>
      <c r="I1648" t="s">
        <v>1042</v>
      </c>
    </row>
    <row r="1649" spans="1:9" x14ac:dyDescent="0.3">
      <c r="A1649">
        <v>1648</v>
      </c>
      <c r="B1649">
        <v>1648</v>
      </c>
      <c r="C1649" t="s">
        <v>4290</v>
      </c>
      <c r="D1649" t="s">
        <v>401</v>
      </c>
      <c r="E1649" t="s">
        <v>23</v>
      </c>
      <c r="F1649" t="s">
        <v>799</v>
      </c>
      <c r="G1649" t="s">
        <v>1254</v>
      </c>
      <c r="H1649" t="s">
        <v>3652</v>
      </c>
      <c r="I1649" t="s">
        <v>501</v>
      </c>
    </row>
    <row r="1650" spans="1:9" x14ac:dyDescent="0.3">
      <c r="A1650">
        <v>1649</v>
      </c>
      <c r="B1650">
        <v>1649</v>
      </c>
      <c r="C1650" t="s">
        <v>4291</v>
      </c>
      <c r="D1650" t="s">
        <v>10</v>
      </c>
      <c r="E1650" t="s">
        <v>58</v>
      </c>
      <c r="F1650" t="s">
        <v>2096</v>
      </c>
      <c r="G1650" t="s">
        <v>1671</v>
      </c>
      <c r="H1650" t="s">
        <v>2772</v>
      </c>
      <c r="I1650" t="s">
        <v>3458</v>
      </c>
    </row>
    <row r="1651" spans="1:9" x14ac:dyDescent="0.3">
      <c r="A1651">
        <v>1650</v>
      </c>
      <c r="B1651">
        <v>1650</v>
      </c>
      <c r="C1651" t="s">
        <v>4292</v>
      </c>
      <c r="D1651" t="s">
        <v>51</v>
      </c>
      <c r="E1651" t="s">
        <v>64</v>
      </c>
      <c r="F1651" t="s">
        <v>4293</v>
      </c>
      <c r="G1651" t="s">
        <v>2850</v>
      </c>
      <c r="H1651" t="s">
        <v>3011</v>
      </c>
      <c r="I1651" t="s">
        <v>3464</v>
      </c>
    </row>
    <row r="1652" spans="1:9" x14ac:dyDescent="0.3">
      <c r="A1652">
        <v>1651</v>
      </c>
      <c r="B1652">
        <v>1651</v>
      </c>
      <c r="C1652" t="s">
        <v>4294</v>
      </c>
      <c r="D1652" t="s">
        <v>1463</v>
      </c>
      <c r="E1652" t="s">
        <v>687</v>
      </c>
      <c r="F1652" t="s">
        <v>331</v>
      </c>
      <c r="G1652" t="s">
        <v>1857</v>
      </c>
      <c r="H1652" t="s">
        <v>2332</v>
      </c>
      <c r="I1652" t="s">
        <v>4068</v>
      </c>
    </row>
    <row r="1653" spans="1:9" x14ac:dyDescent="0.3">
      <c r="A1653">
        <v>1652</v>
      </c>
      <c r="B1653">
        <v>1652</v>
      </c>
      <c r="C1653" t="s">
        <v>4295</v>
      </c>
      <c r="D1653" t="s">
        <v>35</v>
      </c>
      <c r="E1653" t="s">
        <v>365</v>
      </c>
      <c r="F1653" t="s">
        <v>3337</v>
      </c>
      <c r="G1653" t="s">
        <v>3060</v>
      </c>
      <c r="H1653" t="s">
        <v>331</v>
      </c>
      <c r="I1653" t="s">
        <v>3806</v>
      </c>
    </row>
    <row r="1654" spans="1:9" x14ac:dyDescent="0.3">
      <c r="A1654">
        <v>1653</v>
      </c>
      <c r="B1654">
        <v>1653</v>
      </c>
      <c r="C1654" t="s">
        <v>4296</v>
      </c>
      <c r="D1654" t="s">
        <v>51</v>
      </c>
      <c r="E1654" t="s">
        <v>11</v>
      </c>
      <c r="F1654" t="s">
        <v>1137</v>
      </c>
      <c r="G1654" t="s">
        <v>3819</v>
      </c>
      <c r="H1654" t="s">
        <v>4297</v>
      </c>
      <c r="I1654" t="s">
        <v>1399</v>
      </c>
    </row>
    <row r="1655" spans="1:9" x14ac:dyDescent="0.3">
      <c r="A1655">
        <v>1654</v>
      </c>
      <c r="B1655">
        <v>1654</v>
      </c>
      <c r="C1655" t="s">
        <v>4298</v>
      </c>
      <c r="D1655" t="s">
        <v>51</v>
      </c>
      <c r="E1655" t="s">
        <v>243</v>
      </c>
      <c r="F1655" t="s">
        <v>3335</v>
      </c>
      <c r="G1655">
        <v>0</v>
      </c>
      <c r="H1655" t="s">
        <v>299</v>
      </c>
      <c r="I1655" t="s">
        <v>1364</v>
      </c>
    </row>
    <row r="1656" spans="1:9" x14ac:dyDescent="0.3">
      <c r="A1656">
        <v>1655</v>
      </c>
      <c r="B1656">
        <v>1655</v>
      </c>
      <c r="C1656" t="s">
        <v>4299</v>
      </c>
      <c r="D1656" t="s">
        <v>1679</v>
      </c>
      <c r="E1656" t="s">
        <v>130</v>
      </c>
      <c r="F1656" t="s">
        <v>2854</v>
      </c>
      <c r="G1656" t="s">
        <v>2455</v>
      </c>
      <c r="H1656" t="s">
        <v>2392</v>
      </c>
      <c r="I1656" t="s">
        <v>1152</v>
      </c>
    </row>
    <row r="1657" spans="1:9" x14ac:dyDescent="0.3">
      <c r="A1657">
        <v>1656</v>
      </c>
      <c r="B1657">
        <v>1656</v>
      </c>
      <c r="C1657" t="s">
        <v>4300</v>
      </c>
      <c r="D1657" t="s">
        <v>10</v>
      </c>
      <c r="E1657" t="s">
        <v>464</v>
      </c>
      <c r="F1657" t="s">
        <v>951</v>
      </c>
      <c r="G1657" t="s">
        <v>2801</v>
      </c>
      <c r="H1657" t="s">
        <v>1914</v>
      </c>
      <c r="I1657" t="s">
        <v>662</v>
      </c>
    </row>
    <row r="1658" spans="1:9" x14ac:dyDescent="0.3">
      <c r="A1658">
        <v>1657</v>
      </c>
      <c r="B1658">
        <v>1657</v>
      </c>
      <c r="C1658" t="s">
        <v>4301</v>
      </c>
      <c r="D1658" t="s">
        <v>51</v>
      </c>
      <c r="E1658" t="s">
        <v>11</v>
      </c>
      <c r="F1658" t="s">
        <v>1521</v>
      </c>
      <c r="G1658" t="s">
        <v>2801</v>
      </c>
      <c r="H1658" t="s">
        <v>4302</v>
      </c>
      <c r="I1658" t="s">
        <v>599</v>
      </c>
    </row>
    <row r="1659" spans="1:9" x14ac:dyDescent="0.3">
      <c r="A1659">
        <v>1658</v>
      </c>
      <c r="B1659">
        <v>1658</v>
      </c>
      <c r="C1659" t="s">
        <v>4303</v>
      </c>
      <c r="D1659" t="s">
        <v>51</v>
      </c>
      <c r="E1659" t="s">
        <v>11</v>
      </c>
      <c r="F1659" t="s">
        <v>973</v>
      </c>
      <c r="G1659" t="s">
        <v>2682</v>
      </c>
      <c r="H1659" t="s">
        <v>4304</v>
      </c>
      <c r="I1659" t="s">
        <v>3318</v>
      </c>
    </row>
    <row r="1660" spans="1:9" x14ac:dyDescent="0.3">
      <c r="A1660">
        <v>1659</v>
      </c>
      <c r="B1660">
        <v>1659</v>
      </c>
      <c r="C1660" t="s">
        <v>4305</v>
      </c>
      <c r="D1660" t="s">
        <v>51</v>
      </c>
      <c r="E1660" t="s">
        <v>634</v>
      </c>
      <c r="F1660" t="s">
        <v>3864</v>
      </c>
      <c r="G1660" t="s">
        <v>4306</v>
      </c>
      <c r="H1660" t="s">
        <v>2932</v>
      </c>
      <c r="I1660" t="s">
        <v>3150</v>
      </c>
    </row>
    <row r="1661" spans="1:9" x14ac:dyDescent="0.3">
      <c r="A1661">
        <v>1660</v>
      </c>
      <c r="B1661">
        <v>1660</v>
      </c>
      <c r="C1661" t="s">
        <v>4307</v>
      </c>
      <c r="D1661" t="s">
        <v>51</v>
      </c>
      <c r="E1661" t="s">
        <v>58</v>
      </c>
      <c r="F1661" t="s">
        <v>799</v>
      </c>
      <c r="G1661" t="s">
        <v>2423</v>
      </c>
      <c r="H1661" t="s">
        <v>827</v>
      </c>
      <c r="I1661" t="s">
        <v>3321</v>
      </c>
    </row>
    <row r="1662" spans="1:9" x14ac:dyDescent="0.3">
      <c r="A1662">
        <v>1661</v>
      </c>
      <c r="B1662">
        <v>1661</v>
      </c>
      <c r="C1662" t="s">
        <v>4308</v>
      </c>
      <c r="D1662" t="s">
        <v>51</v>
      </c>
      <c r="E1662" t="s">
        <v>64</v>
      </c>
      <c r="F1662" t="s">
        <v>3059</v>
      </c>
      <c r="G1662" t="s">
        <v>2801</v>
      </c>
      <c r="H1662" t="s">
        <v>4309</v>
      </c>
      <c r="I1662" t="s">
        <v>2140</v>
      </c>
    </row>
    <row r="1663" spans="1:9" x14ac:dyDescent="0.3">
      <c r="A1663">
        <v>1662</v>
      </c>
      <c r="B1663">
        <v>1662</v>
      </c>
      <c r="C1663" t="s">
        <v>4310</v>
      </c>
      <c r="D1663" t="s">
        <v>10</v>
      </c>
      <c r="E1663" t="s">
        <v>29</v>
      </c>
      <c r="F1663" t="s">
        <v>1393</v>
      </c>
      <c r="G1663" t="s">
        <v>2842</v>
      </c>
      <c r="H1663" t="s">
        <v>3629</v>
      </c>
      <c r="I1663" t="s">
        <v>877</v>
      </c>
    </row>
    <row r="1664" spans="1:9" x14ac:dyDescent="0.3">
      <c r="A1664">
        <v>1663</v>
      </c>
      <c r="B1664">
        <v>1663</v>
      </c>
      <c r="C1664" t="s">
        <v>4311</v>
      </c>
      <c r="D1664" t="s">
        <v>124</v>
      </c>
      <c r="E1664" t="s">
        <v>11</v>
      </c>
      <c r="F1664" t="s">
        <v>466</v>
      </c>
      <c r="G1664" t="s">
        <v>2801</v>
      </c>
      <c r="H1664" t="s">
        <v>4312</v>
      </c>
      <c r="I1664" t="s">
        <v>3236</v>
      </c>
    </row>
    <row r="1665" spans="1:9" x14ac:dyDescent="0.3">
      <c r="A1665">
        <v>1664</v>
      </c>
      <c r="B1665">
        <v>1664</v>
      </c>
      <c r="C1665" t="s">
        <v>4313</v>
      </c>
      <c r="D1665" t="s">
        <v>10</v>
      </c>
      <c r="E1665" t="s">
        <v>58</v>
      </c>
      <c r="F1665" t="s">
        <v>1249</v>
      </c>
      <c r="G1665" t="s">
        <v>1506</v>
      </c>
      <c r="H1665" t="s">
        <v>2911</v>
      </c>
      <c r="I1665" t="s">
        <v>2958</v>
      </c>
    </row>
    <row r="1666" spans="1:9" x14ac:dyDescent="0.3">
      <c r="A1666">
        <v>1665</v>
      </c>
      <c r="B1666">
        <v>1665</v>
      </c>
      <c r="C1666" t="s">
        <v>4314</v>
      </c>
      <c r="D1666" t="s">
        <v>35</v>
      </c>
      <c r="E1666" t="s">
        <v>58</v>
      </c>
      <c r="F1666" t="s">
        <v>3130</v>
      </c>
      <c r="G1666" t="s">
        <v>1716</v>
      </c>
      <c r="H1666" t="s">
        <v>1878</v>
      </c>
      <c r="I1666" t="s">
        <v>3489</v>
      </c>
    </row>
    <row r="1667" spans="1:9" x14ac:dyDescent="0.3">
      <c r="A1667">
        <v>1666</v>
      </c>
      <c r="B1667">
        <v>1666</v>
      </c>
      <c r="C1667" t="s">
        <v>4315</v>
      </c>
      <c r="D1667" t="s">
        <v>2172</v>
      </c>
      <c r="E1667" t="s">
        <v>64</v>
      </c>
      <c r="F1667" t="s">
        <v>4169</v>
      </c>
      <c r="G1667" t="s">
        <v>1572</v>
      </c>
      <c r="H1667" t="s">
        <v>1282</v>
      </c>
      <c r="I1667" t="s">
        <v>1447</v>
      </c>
    </row>
    <row r="1668" spans="1:9" x14ac:dyDescent="0.3">
      <c r="A1668">
        <v>1667</v>
      </c>
      <c r="B1668">
        <v>1667</v>
      </c>
      <c r="C1668" t="s">
        <v>4316</v>
      </c>
      <c r="D1668" t="s">
        <v>51</v>
      </c>
      <c r="E1668" t="s">
        <v>706</v>
      </c>
      <c r="F1668" t="s">
        <v>3806</v>
      </c>
      <c r="G1668" t="s">
        <v>1572</v>
      </c>
      <c r="H1668" t="s">
        <v>2882</v>
      </c>
      <c r="I1668" t="s">
        <v>3086</v>
      </c>
    </row>
    <row r="1669" spans="1:9" x14ac:dyDescent="0.3">
      <c r="A1669">
        <v>1668</v>
      </c>
      <c r="B1669">
        <v>1668</v>
      </c>
      <c r="C1669" t="s">
        <v>4317</v>
      </c>
      <c r="D1669" t="s">
        <v>1441</v>
      </c>
      <c r="E1669" t="s">
        <v>11</v>
      </c>
      <c r="F1669" t="s">
        <v>1042</v>
      </c>
      <c r="G1669" t="s">
        <v>2732</v>
      </c>
      <c r="H1669" t="s">
        <v>4318</v>
      </c>
      <c r="I1669" t="s">
        <v>905</v>
      </c>
    </row>
    <row r="1670" spans="1:9" x14ac:dyDescent="0.3">
      <c r="A1670">
        <v>1669</v>
      </c>
      <c r="B1670">
        <v>1669</v>
      </c>
      <c r="C1670" t="s">
        <v>4319</v>
      </c>
      <c r="D1670" t="s">
        <v>205</v>
      </c>
      <c r="E1670" t="s">
        <v>715</v>
      </c>
      <c r="F1670" t="s">
        <v>2278</v>
      </c>
      <c r="G1670" t="s">
        <v>3245</v>
      </c>
      <c r="H1670" t="s">
        <v>819</v>
      </c>
      <c r="I1670" t="s">
        <v>2565</v>
      </c>
    </row>
    <row r="1671" spans="1:9" x14ac:dyDescent="0.3">
      <c r="A1671">
        <v>1670</v>
      </c>
      <c r="B1671">
        <v>1670</v>
      </c>
      <c r="C1671" t="s">
        <v>4320</v>
      </c>
      <c r="D1671" t="s">
        <v>1441</v>
      </c>
      <c r="E1671" t="s">
        <v>17</v>
      </c>
      <c r="F1671" t="s">
        <v>3132</v>
      </c>
      <c r="G1671" t="s">
        <v>2988</v>
      </c>
      <c r="H1671" t="s">
        <v>1998</v>
      </c>
      <c r="I1671" t="s">
        <v>3875</v>
      </c>
    </row>
    <row r="1672" spans="1:9" x14ac:dyDescent="0.3">
      <c r="A1672">
        <v>1671</v>
      </c>
      <c r="B1672">
        <v>1671</v>
      </c>
      <c r="C1672" t="s">
        <v>4321</v>
      </c>
      <c r="D1672" t="s">
        <v>51</v>
      </c>
      <c r="E1672" t="s">
        <v>365</v>
      </c>
      <c r="F1672" t="s">
        <v>2098</v>
      </c>
      <c r="G1672" t="s">
        <v>2471</v>
      </c>
      <c r="H1672" t="s">
        <v>1891</v>
      </c>
      <c r="I1672" t="s">
        <v>4248</v>
      </c>
    </row>
    <row r="1673" spans="1:9" x14ac:dyDescent="0.3">
      <c r="A1673">
        <v>1672</v>
      </c>
      <c r="B1673">
        <v>1672</v>
      </c>
      <c r="C1673" t="s">
        <v>4322</v>
      </c>
      <c r="D1673" t="s">
        <v>10</v>
      </c>
      <c r="E1673" t="s">
        <v>634</v>
      </c>
      <c r="F1673" t="s">
        <v>3162</v>
      </c>
      <c r="G1673" t="s">
        <v>3060</v>
      </c>
      <c r="H1673" t="s">
        <v>567</v>
      </c>
      <c r="I1673" t="s">
        <v>3162</v>
      </c>
    </row>
    <row r="1674" spans="1:9" x14ac:dyDescent="0.3">
      <c r="A1674">
        <v>1673</v>
      </c>
      <c r="B1674">
        <v>1673</v>
      </c>
      <c r="C1674" t="s">
        <v>4323</v>
      </c>
      <c r="D1674" t="s">
        <v>35</v>
      </c>
      <c r="E1674" t="s">
        <v>58</v>
      </c>
      <c r="F1674" t="s">
        <v>804</v>
      </c>
      <c r="G1674" t="s">
        <v>3065</v>
      </c>
      <c r="H1674" t="s">
        <v>1417</v>
      </c>
      <c r="I1674" t="s">
        <v>356</v>
      </c>
    </row>
    <row r="1675" spans="1:9" x14ac:dyDescent="0.3">
      <c r="A1675">
        <v>1674</v>
      </c>
      <c r="B1675">
        <v>1674</v>
      </c>
      <c r="C1675" t="s">
        <v>4324</v>
      </c>
      <c r="D1675" t="s">
        <v>4325</v>
      </c>
      <c r="E1675" t="s">
        <v>130</v>
      </c>
      <c r="F1675" t="s">
        <v>2518</v>
      </c>
      <c r="G1675" t="s">
        <v>2471</v>
      </c>
      <c r="H1675" t="s">
        <v>3489</v>
      </c>
      <c r="I1675" t="s">
        <v>4102</v>
      </c>
    </row>
    <row r="1676" spans="1:9" x14ac:dyDescent="0.3">
      <c r="A1676">
        <v>1675</v>
      </c>
      <c r="B1676">
        <v>1675</v>
      </c>
      <c r="C1676" t="s">
        <v>4326</v>
      </c>
      <c r="D1676" t="s">
        <v>10</v>
      </c>
      <c r="E1676" t="s">
        <v>98</v>
      </c>
      <c r="F1676" t="s">
        <v>3021</v>
      </c>
      <c r="G1676" t="s">
        <v>3060</v>
      </c>
      <c r="H1676" t="s">
        <v>833</v>
      </c>
      <c r="I1676" t="s">
        <v>372</v>
      </c>
    </row>
    <row r="1677" spans="1:9" x14ac:dyDescent="0.3">
      <c r="A1677">
        <v>1676</v>
      </c>
      <c r="B1677">
        <v>1676</v>
      </c>
      <c r="C1677" t="s">
        <v>4327</v>
      </c>
      <c r="D1677" t="s">
        <v>10</v>
      </c>
      <c r="E1677" t="s">
        <v>726</v>
      </c>
      <c r="F1677" t="s">
        <v>3451</v>
      </c>
      <c r="G1677" t="s">
        <v>2348</v>
      </c>
      <c r="H1677" t="s">
        <v>739</v>
      </c>
      <c r="I1677" t="s">
        <v>4169</v>
      </c>
    </row>
    <row r="1678" spans="1:9" x14ac:dyDescent="0.3">
      <c r="A1678">
        <v>1677</v>
      </c>
      <c r="B1678">
        <v>1677</v>
      </c>
      <c r="C1678" t="s">
        <v>4328</v>
      </c>
      <c r="D1678" t="s">
        <v>249</v>
      </c>
      <c r="E1678" t="s">
        <v>130</v>
      </c>
      <c r="F1678" t="s">
        <v>2626</v>
      </c>
      <c r="G1678" t="s">
        <v>2455</v>
      </c>
      <c r="H1678" t="s">
        <v>2901</v>
      </c>
      <c r="I1678" t="s">
        <v>886</v>
      </c>
    </row>
    <row r="1679" spans="1:9" x14ac:dyDescent="0.3">
      <c r="A1679">
        <v>1678</v>
      </c>
      <c r="B1679">
        <v>1678</v>
      </c>
      <c r="C1679" t="s">
        <v>4329</v>
      </c>
      <c r="D1679" t="s">
        <v>417</v>
      </c>
      <c r="E1679" t="s">
        <v>130</v>
      </c>
      <c r="F1679" t="s">
        <v>3926</v>
      </c>
      <c r="G1679" t="s">
        <v>1118</v>
      </c>
      <c r="H1679" t="s">
        <v>2460</v>
      </c>
      <c r="I1679" t="s">
        <v>1046</v>
      </c>
    </row>
    <row r="1680" spans="1:9" x14ac:dyDescent="0.3">
      <c r="A1680">
        <v>1679</v>
      </c>
      <c r="B1680">
        <v>1679</v>
      </c>
      <c r="C1680" t="s">
        <v>4330</v>
      </c>
      <c r="D1680" t="s">
        <v>10</v>
      </c>
      <c r="E1680" t="s">
        <v>510</v>
      </c>
      <c r="F1680" t="s">
        <v>3667</v>
      </c>
      <c r="G1680" t="s">
        <v>1857</v>
      </c>
      <c r="H1680" t="s">
        <v>833</v>
      </c>
      <c r="I1680" t="s">
        <v>223</v>
      </c>
    </row>
    <row r="1681" spans="1:9" x14ac:dyDescent="0.3">
      <c r="A1681">
        <v>1680</v>
      </c>
      <c r="B1681">
        <v>1680</v>
      </c>
      <c r="C1681" t="s">
        <v>4331</v>
      </c>
      <c r="D1681" t="s">
        <v>76</v>
      </c>
      <c r="E1681" t="s">
        <v>130</v>
      </c>
      <c r="F1681" t="s">
        <v>3560</v>
      </c>
      <c r="G1681" t="s">
        <v>1506</v>
      </c>
      <c r="H1681" t="s">
        <v>3999</v>
      </c>
      <c r="I1681" t="s">
        <v>3365</v>
      </c>
    </row>
    <row r="1682" spans="1:9" x14ac:dyDescent="0.3">
      <c r="A1682">
        <v>1681</v>
      </c>
      <c r="B1682">
        <v>1681</v>
      </c>
      <c r="C1682" t="s">
        <v>4332</v>
      </c>
      <c r="D1682" t="s">
        <v>76</v>
      </c>
      <c r="E1682" t="s">
        <v>58</v>
      </c>
      <c r="F1682" t="s">
        <v>1494</v>
      </c>
      <c r="G1682" t="s">
        <v>2455</v>
      </c>
      <c r="H1682" t="s">
        <v>776</v>
      </c>
      <c r="I1682" t="s">
        <v>1168</v>
      </c>
    </row>
    <row r="1683" spans="1:9" x14ac:dyDescent="0.3">
      <c r="A1683">
        <v>1682</v>
      </c>
      <c r="B1683">
        <v>1682</v>
      </c>
      <c r="C1683" t="s">
        <v>4333</v>
      </c>
      <c r="D1683" t="s">
        <v>297</v>
      </c>
      <c r="E1683" t="s">
        <v>634</v>
      </c>
      <c r="F1683" t="s">
        <v>1182</v>
      </c>
      <c r="G1683" t="s">
        <v>3060</v>
      </c>
      <c r="H1683" t="s">
        <v>670</v>
      </c>
      <c r="I1683" t="s">
        <v>2278</v>
      </c>
    </row>
    <row r="1684" spans="1:9" x14ac:dyDescent="0.3">
      <c r="A1684">
        <v>1683</v>
      </c>
      <c r="B1684">
        <v>1683</v>
      </c>
      <c r="C1684" t="s">
        <v>4334</v>
      </c>
      <c r="D1684" t="s">
        <v>1463</v>
      </c>
      <c r="E1684" t="s">
        <v>130</v>
      </c>
      <c r="F1684" t="s">
        <v>3978</v>
      </c>
      <c r="G1684" t="s">
        <v>1716</v>
      </c>
      <c r="H1684" t="s">
        <v>2199</v>
      </c>
      <c r="I1684" t="s">
        <v>3236</v>
      </c>
    </row>
    <row r="1685" spans="1:9" x14ac:dyDescent="0.3">
      <c r="A1685">
        <v>1684</v>
      </c>
      <c r="B1685">
        <v>1684</v>
      </c>
      <c r="C1685" t="s">
        <v>4335</v>
      </c>
      <c r="D1685" t="s">
        <v>1679</v>
      </c>
      <c r="E1685" t="s">
        <v>11</v>
      </c>
      <c r="F1685" t="s">
        <v>397</v>
      </c>
      <c r="G1685" t="s">
        <v>3843</v>
      </c>
      <c r="H1685" t="s">
        <v>2371</v>
      </c>
      <c r="I1685" t="s">
        <v>3150</v>
      </c>
    </row>
    <row r="1686" spans="1:9" x14ac:dyDescent="0.3">
      <c r="A1686">
        <v>1685</v>
      </c>
      <c r="B1686">
        <v>1685</v>
      </c>
      <c r="C1686" t="s">
        <v>4336</v>
      </c>
      <c r="D1686" t="s">
        <v>10</v>
      </c>
      <c r="E1686" t="s">
        <v>98</v>
      </c>
      <c r="F1686" t="s">
        <v>1878</v>
      </c>
      <c r="G1686" t="s">
        <v>1506</v>
      </c>
      <c r="H1686" t="s">
        <v>361</v>
      </c>
      <c r="I1686" t="s">
        <v>1102</v>
      </c>
    </row>
    <row r="1687" spans="1:9" x14ac:dyDescent="0.3">
      <c r="A1687">
        <v>1686</v>
      </c>
      <c r="B1687">
        <v>1686</v>
      </c>
      <c r="C1687" t="s">
        <v>4337</v>
      </c>
      <c r="D1687" t="s">
        <v>10</v>
      </c>
      <c r="E1687" t="s">
        <v>464</v>
      </c>
      <c r="F1687" t="s">
        <v>2110</v>
      </c>
      <c r="G1687" t="s">
        <v>3756</v>
      </c>
      <c r="H1687" t="s">
        <v>2986</v>
      </c>
      <c r="I1687" t="s">
        <v>1737</v>
      </c>
    </row>
    <row r="1688" spans="1:9" x14ac:dyDescent="0.3">
      <c r="A1688">
        <v>1687</v>
      </c>
      <c r="B1688">
        <v>1687</v>
      </c>
      <c r="C1688" t="s">
        <v>4338</v>
      </c>
      <c r="D1688" t="s">
        <v>417</v>
      </c>
      <c r="E1688" t="s">
        <v>510</v>
      </c>
      <c r="F1688" t="s">
        <v>2995</v>
      </c>
      <c r="G1688" t="s">
        <v>2801</v>
      </c>
      <c r="H1688" t="s">
        <v>2345</v>
      </c>
      <c r="I1688" t="s">
        <v>828</v>
      </c>
    </row>
    <row r="1689" spans="1:9" x14ac:dyDescent="0.3">
      <c r="A1689">
        <v>1688</v>
      </c>
      <c r="B1689">
        <v>1688</v>
      </c>
      <c r="C1689" t="s">
        <v>4339</v>
      </c>
      <c r="D1689" t="s">
        <v>2172</v>
      </c>
      <c r="E1689" t="s">
        <v>715</v>
      </c>
      <c r="F1689" t="s">
        <v>662</v>
      </c>
      <c r="G1689" t="s">
        <v>2348</v>
      </c>
      <c r="H1689" t="s">
        <v>3864</v>
      </c>
      <c r="I1689" t="s">
        <v>3367</v>
      </c>
    </row>
    <row r="1690" spans="1:9" x14ac:dyDescent="0.3">
      <c r="A1690">
        <v>1689</v>
      </c>
      <c r="B1690">
        <v>1689</v>
      </c>
      <c r="C1690" t="s">
        <v>4340</v>
      </c>
      <c r="D1690" t="s">
        <v>10</v>
      </c>
      <c r="E1690" t="s">
        <v>706</v>
      </c>
      <c r="F1690" t="s">
        <v>2502</v>
      </c>
      <c r="G1690" t="s">
        <v>2376</v>
      </c>
      <c r="H1690" t="s">
        <v>3236</v>
      </c>
      <c r="I1690" t="s">
        <v>2412</v>
      </c>
    </row>
    <row r="1691" spans="1:9" x14ac:dyDescent="0.3">
      <c r="A1691">
        <v>1690</v>
      </c>
      <c r="B1691">
        <v>1690</v>
      </c>
      <c r="C1691" t="s">
        <v>4341</v>
      </c>
      <c r="D1691" t="s">
        <v>10</v>
      </c>
      <c r="E1691" t="s">
        <v>11</v>
      </c>
      <c r="F1691" t="s">
        <v>1182</v>
      </c>
      <c r="G1691" t="s">
        <v>2842</v>
      </c>
      <c r="H1691" t="s">
        <v>2470</v>
      </c>
      <c r="I1691" t="s">
        <v>3853</v>
      </c>
    </row>
    <row r="1692" spans="1:9" x14ac:dyDescent="0.3">
      <c r="A1692">
        <v>1691</v>
      </c>
      <c r="B1692">
        <v>1691</v>
      </c>
      <c r="C1692" t="s">
        <v>4342</v>
      </c>
      <c r="D1692" t="s">
        <v>51</v>
      </c>
      <c r="E1692" t="s">
        <v>687</v>
      </c>
      <c r="F1692" t="s">
        <v>3696</v>
      </c>
      <c r="G1692" t="s">
        <v>2850</v>
      </c>
      <c r="H1692" t="s">
        <v>239</v>
      </c>
      <c r="I1692" t="s">
        <v>2151</v>
      </c>
    </row>
    <row r="1693" spans="1:9" x14ac:dyDescent="0.3">
      <c r="A1693">
        <v>1692</v>
      </c>
      <c r="B1693">
        <v>1692</v>
      </c>
      <c r="C1693" t="s">
        <v>4343</v>
      </c>
      <c r="D1693" t="s">
        <v>10</v>
      </c>
      <c r="E1693" t="s">
        <v>141</v>
      </c>
      <c r="F1693" t="s">
        <v>856</v>
      </c>
      <c r="G1693" t="s">
        <v>1910</v>
      </c>
      <c r="H1693" t="s">
        <v>3746</v>
      </c>
      <c r="I1693" t="s">
        <v>1662</v>
      </c>
    </row>
    <row r="1694" spans="1:9" x14ac:dyDescent="0.3">
      <c r="A1694">
        <v>1693</v>
      </c>
      <c r="B1694">
        <v>1693</v>
      </c>
      <c r="C1694" t="s">
        <v>4344</v>
      </c>
      <c r="D1694" t="s">
        <v>51</v>
      </c>
      <c r="E1694" t="s">
        <v>726</v>
      </c>
      <c r="F1694" t="s">
        <v>4174</v>
      </c>
      <c r="G1694" t="s">
        <v>2555</v>
      </c>
      <c r="H1694" t="s">
        <v>1622</v>
      </c>
      <c r="I1694" t="s">
        <v>728</v>
      </c>
    </row>
    <row r="1695" spans="1:9" x14ac:dyDescent="0.3">
      <c r="A1695">
        <v>1694</v>
      </c>
      <c r="B1695">
        <v>1694</v>
      </c>
      <c r="C1695" t="s">
        <v>4345</v>
      </c>
      <c r="D1695" t="s">
        <v>10</v>
      </c>
      <c r="E1695" t="s">
        <v>743</v>
      </c>
      <c r="F1695" t="s">
        <v>3684</v>
      </c>
      <c r="G1695" t="s">
        <v>3843</v>
      </c>
      <c r="H1695" t="s">
        <v>2879</v>
      </c>
      <c r="I1695" t="s">
        <v>3458</v>
      </c>
    </row>
    <row r="1696" spans="1:9" x14ac:dyDescent="0.3">
      <c r="A1696">
        <v>1695</v>
      </c>
      <c r="B1696">
        <v>1695</v>
      </c>
      <c r="C1696" t="s">
        <v>4346</v>
      </c>
      <c r="D1696" t="s">
        <v>51</v>
      </c>
      <c r="E1696" t="s">
        <v>11</v>
      </c>
      <c r="F1696" t="s">
        <v>1123</v>
      </c>
      <c r="G1696" t="s">
        <v>3065</v>
      </c>
      <c r="H1696" t="s">
        <v>4347</v>
      </c>
      <c r="I1696" t="s">
        <v>3620</v>
      </c>
    </row>
    <row r="1697" spans="1:9" x14ac:dyDescent="0.3">
      <c r="A1697">
        <v>1696</v>
      </c>
      <c r="B1697">
        <v>1696</v>
      </c>
      <c r="C1697" t="s">
        <v>4348</v>
      </c>
      <c r="D1697" t="s">
        <v>10</v>
      </c>
      <c r="E1697" t="s">
        <v>232</v>
      </c>
      <c r="F1697" t="s">
        <v>3487</v>
      </c>
      <c r="G1697" t="s">
        <v>1506</v>
      </c>
      <c r="H1697" t="s">
        <v>3432</v>
      </c>
      <c r="I1697" t="s">
        <v>2746</v>
      </c>
    </row>
    <row r="1698" spans="1:9" x14ac:dyDescent="0.3">
      <c r="A1698">
        <v>1697</v>
      </c>
      <c r="B1698">
        <v>1697</v>
      </c>
      <c r="C1698" t="s">
        <v>4349</v>
      </c>
      <c r="D1698" t="s">
        <v>10</v>
      </c>
      <c r="E1698" t="s">
        <v>141</v>
      </c>
      <c r="F1698" t="s">
        <v>900</v>
      </c>
      <c r="G1698" t="s">
        <v>2982</v>
      </c>
      <c r="H1698" t="s">
        <v>3646</v>
      </c>
      <c r="I1698" t="s">
        <v>2800</v>
      </c>
    </row>
    <row r="1699" spans="1:9" x14ac:dyDescent="0.3">
      <c r="A1699">
        <v>1698</v>
      </c>
      <c r="B1699">
        <v>1698</v>
      </c>
      <c r="C1699" t="s">
        <v>4350</v>
      </c>
      <c r="D1699" t="s">
        <v>2172</v>
      </c>
      <c r="E1699" t="s">
        <v>58</v>
      </c>
      <c r="F1699" t="s">
        <v>1123</v>
      </c>
      <c r="G1699" t="s">
        <v>2455</v>
      </c>
      <c r="H1699" t="s">
        <v>4351</v>
      </c>
      <c r="I1699" t="s">
        <v>382</v>
      </c>
    </row>
    <row r="1700" spans="1:9" x14ac:dyDescent="0.3">
      <c r="A1700">
        <v>1699</v>
      </c>
      <c r="B1700">
        <v>1699</v>
      </c>
      <c r="C1700" t="s">
        <v>4352</v>
      </c>
      <c r="D1700" t="s">
        <v>10</v>
      </c>
      <c r="E1700" t="s">
        <v>11</v>
      </c>
      <c r="F1700" t="s">
        <v>2140</v>
      </c>
      <c r="G1700" t="s">
        <v>2376</v>
      </c>
      <c r="H1700" t="s">
        <v>2779</v>
      </c>
      <c r="I1700" t="s">
        <v>3199</v>
      </c>
    </row>
    <row r="1701" spans="1:9" x14ac:dyDescent="0.3">
      <c r="A1701">
        <v>1700</v>
      </c>
      <c r="B1701">
        <v>1700</v>
      </c>
      <c r="C1701" t="s">
        <v>4353</v>
      </c>
      <c r="D1701" t="s">
        <v>10</v>
      </c>
      <c r="E1701" t="s">
        <v>715</v>
      </c>
      <c r="F1701" t="s">
        <v>877</v>
      </c>
      <c r="G1701" t="s">
        <v>1671</v>
      </c>
      <c r="H1701" t="s">
        <v>624</v>
      </c>
      <c r="I1701" t="s">
        <v>3301</v>
      </c>
    </row>
    <row r="1702" spans="1:9" x14ac:dyDescent="0.3">
      <c r="A1702">
        <v>1701</v>
      </c>
      <c r="B1702">
        <v>1701</v>
      </c>
      <c r="C1702" t="s">
        <v>4354</v>
      </c>
      <c r="D1702" t="s">
        <v>10</v>
      </c>
      <c r="E1702" t="s">
        <v>706</v>
      </c>
      <c r="F1702" t="s">
        <v>3416</v>
      </c>
      <c r="G1702" t="s">
        <v>1506</v>
      </c>
      <c r="H1702" t="s">
        <v>3746</v>
      </c>
      <c r="I1702" t="s">
        <v>2565</v>
      </c>
    </row>
    <row r="1703" spans="1:9" x14ac:dyDescent="0.3">
      <c r="A1703">
        <v>1702</v>
      </c>
      <c r="B1703">
        <v>1702</v>
      </c>
      <c r="C1703" t="s">
        <v>4355</v>
      </c>
      <c r="D1703" t="s">
        <v>10</v>
      </c>
      <c r="E1703" t="s">
        <v>250</v>
      </c>
      <c r="F1703" t="s">
        <v>294</v>
      </c>
      <c r="G1703" t="s">
        <v>3497</v>
      </c>
      <c r="H1703" t="s">
        <v>3801</v>
      </c>
      <c r="I1703" t="s">
        <v>4356</v>
      </c>
    </row>
    <row r="1704" spans="1:9" x14ac:dyDescent="0.3">
      <c r="A1704">
        <v>1703</v>
      </c>
      <c r="B1704">
        <v>1703</v>
      </c>
      <c r="C1704" t="s">
        <v>4357</v>
      </c>
      <c r="D1704" t="s">
        <v>10</v>
      </c>
      <c r="E1704" t="s">
        <v>743</v>
      </c>
      <c r="F1704" t="s">
        <v>683</v>
      </c>
      <c r="G1704" t="s">
        <v>1857</v>
      </c>
      <c r="H1704" t="s">
        <v>2466</v>
      </c>
      <c r="I1704" t="s">
        <v>2848</v>
      </c>
    </row>
    <row r="1705" spans="1:9" x14ac:dyDescent="0.3">
      <c r="A1705">
        <v>1704</v>
      </c>
      <c r="B1705">
        <v>1704</v>
      </c>
      <c r="C1705" t="s">
        <v>4358</v>
      </c>
      <c r="D1705" t="s">
        <v>35</v>
      </c>
      <c r="E1705" t="s">
        <v>232</v>
      </c>
      <c r="F1705" t="s">
        <v>191</v>
      </c>
      <c r="G1705" t="s">
        <v>2376</v>
      </c>
      <c r="H1705" t="s">
        <v>964</v>
      </c>
      <c r="I1705" t="s">
        <v>2442</v>
      </c>
    </row>
    <row r="1706" spans="1:9" x14ac:dyDescent="0.3">
      <c r="A1706">
        <v>1705</v>
      </c>
      <c r="B1706">
        <v>1705</v>
      </c>
      <c r="C1706" t="s">
        <v>4359</v>
      </c>
      <c r="D1706" t="s">
        <v>1463</v>
      </c>
      <c r="E1706" t="s">
        <v>365</v>
      </c>
      <c r="F1706" t="s">
        <v>2978</v>
      </c>
      <c r="G1706" t="s">
        <v>4360</v>
      </c>
      <c r="H1706" t="s">
        <v>2755</v>
      </c>
      <c r="I1706" t="s">
        <v>3449</v>
      </c>
    </row>
    <row r="1707" spans="1:9" x14ac:dyDescent="0.3">
      <c r="A1707">
        <v>1706</v>
      </c>
      <c r="B1707">
        <v>1706</v>
      </c>
      <c r="C1707" t="s">
        <v>4361</v>
      </c>
      <c r="D1707" t="s">
        <v>51</v>
      </c>
      <c r="E1707" t="s">
        <v>130</v>
      </c>
      <c r="F1707" t="s">
        <v>3703</v>
      </c>
      <c r="G1707" t="s">
        <v>2471</v>
      </c>
      <c r="H1707" t="s">
        <v>377</v>
      </c>
      <c r="I1707" t="s">
        <v>3934</v>
      </c>
    </row>
    <row r="1708" spans="1:9" x14ac:dyDescent="0.3">
      <c r="A1708">
        <v>1707</v>
      </c>
      <c r="B1708">
        <v>1707</v>
      </c>
      <c r="C1708" t="s">
        <v>4362</v>
      </c>
      <c r="D1708" t="s">
        <v>10</v>
      </c>
      <c r="E1708" t="s">
        <v>743</v>
      </c>
      <c r="F1708" t="s">
        <v>3318</v>
      </c>
      <c r="G1708" t="s">
        <v>1572</v>
      </c>
      <c r="H1708" t="s">
        <v>717</v>
      </c>
      <c r="I1708" t="s">
        <v>4174</v>
      </c>
    </row>
    <row r="1709" spans="1:9" x14ac:dyDescent="0.3">
      <c r="A1709">
        <v>1708</v>
      </c>
      <c r="B1709">
        <v>1708</v>
      </c>
      <c r="C1709" t="s">
        <v>4363</v>
      </c>
      <c r="D1709" t="s">
        <v>51</v>
      </c>
      <c r="E1709" t="s">
        <v>11</v>
      </c>
      <c r="F1709" t="s">
        <v>873</v>
      </c>
      <c r="G1709" t="s">
        <v>2894</v>
      </c>
      <c r="H1709" t="s">
        <v>4364</v>
      </c>
      <c r="I1709" t="s">
        <v>1399</v>
      </c>
    </row>
    <row r="1710" spans="1:9" x14ac:dyDescent="0.3">
      <c r="A1710">
        <v>1709</v>
      </c>
      <c r="B1710">
        <v>1709</v>
      </c>
      <c r="C1710" t="s">
        <v>4365</v>
      </c>
      <c r="D1710" t="s">
        <v>10</v>
      </c>
      <c r="E1710" t="s">
        <v>141</v>
      </c>
      <c r="F1710" t="s">
        <v>915</v>
      </c>
      <c r="G1710" t="s">
        <v>1716</v>
      </c>
      <c r="H1710" t="s">
        <v>3432</v>
      </c>
      <c r="I1710" t="s">
        <v>2904</v>
      </c>
    </row>
    <row r="1711" spans="1:9" x14ac:dyDescent="0.3">
      <c r="A1711">
        <v>1710</v>
      </c>
      <c r="B1711">
        <v>1710</v>
      </c>
      <c r="C1711" t="s">
        <v>4366</v>
      </c>
      <c r="D1711" t="s">
        <v>10</v>
      </c>
      <c r="E1711" t="s">
        <v>11</v>
      </c>
      <c r="F1711" t="s">
        <v>1249</v>
      </c>
      <c r="G1711" t="s">
        <v>2455</v>
      </c>
      <c r="H1711" t="s">
        <v>4367</v>
      </c>
      <c r="I1711" t="s">
        <v>4248</v>
      </c>
    </row>
    <row r="1712" spans="1:9" x14ac:dyDescent="0.3">
      <c r="A1712">
        <v>1711</v>
      </c>
      <c r="B1712">
        <v>1711</v>
      </c>
      <c r="C1712" t="s">
        <v>4368</v>
      </c>
      <c r="D1712" t="s">
        <v>51</v>
      </c>
      <c r="E1712" t="s">
        <v>11</v>
      </c>
      <c r="F1712" t="s">
        <v>1249</v>
      </c>
      <c r="G1712" t="s">
        <v>3245</v>
      </c>
      <c r="H1712" t="s">
        <v>2683</v>
      </c>
      <c r="I1712" t="s">
        <v>900</v>
      </c>
    </row>
    <row r="1713" spans="1:9" x14ac:dyDescent="0.3">
      <c r="A1713">
        <v>1712</v>
      </c>
      <c r="B1713">
        <v>1712</v>
      </c>
      <c r="C1713" t="s">
        <v>4369</v>
      </c>
      <c r="D1713" t="s">
        <v>417</v>
      </c>
      <c r="E1713" t="s">
        <v>64</v>
      </c>
      <c r="F1713" t="s">
        <v>1936</v>
      </c>
      <c r="G1713" t="s">
        <v>2471</v>
      </c>
      <c r="H1713" t="s">
        <v>3475</v>
      </c>
      <c r="I1713" t="s">
        <v>3344</v>
      </c>
    </row>
    <row r="1714" spans="1:9" x14ac:dyDescent="0.3">
      <c r="A1714">
        <v>1713</v>
      </c>
      <c r="B1714">
        <v>1713</v>
      </c>
      <c r="C1714" t="s">
        <v>4370</v>
      </c>
      <c r="D1714" t="s">
        <v>737</v>
      </c>
      <c r="E1714" t="s">
        <v>58</v>
      </c>
      <c r="F1714" t="s">
        <v>1577</v>
      </c>
      <c r="G1714" t="s">
        <v>1506</v>
      </c>
      <c r="H1714" t="s">
        <v>2927</v>
      </c>
      <c r="I1714" t="s">
        <v>2173</v>
      </c>
    </row>
    <row r="1715" spans="1:9" x14ac:dyDescent="0.3">
      <c r="A1715">
        <v>1714</v>
      </c>
      <c r="B1715">
        <v>1714</v>
      </c>
      <c r="C1715" t="s">
        <v>4371</v>
      </c>
      <c r="D1715" t="s">
        <v>10</v>
      </c>
      <c r="E1715" t="s">
        <v>17</v>
      </c>
      <c r="F1715" t="s">
        <v>1021</v>
      </c>
      <c r="G1715" t="s">
        <v>1012</v>
      </c>
      <c r="H1715" t="s">
        <v>3167</v>
      </c>
      <c r="I1715" t="s">
        <v>3190</v>
      </c>
    </row>
    <row r="1716" spans="1:9" x14ac:dyDescent="0.3">
      <c r="A1716">
        <v>1715</v>
      </c>
      <c r="B1716">
        <v>1715</v>
      </c>
      <c r="C1716" t="s">
        <v>4372</v>
      </c>
      <c r="D1716" t="s">
        <v>104</v>
      </c>
      <c r="E1716" t="s">
        <v>174</v>
      </c>
      <c r="F1716" t="s">
        <v>1607</v>
      </c>
      <c r="G1716" t="s">
        <v>1995</v>
      </c>
      <c r="H1716" t="s">
        <v>865</v>
      </c>
      <c r="I1716" t="s">
        <v>2546</v>
      </c>
    </row>
    <row r="1717" spans="1:9" x14ac:dyDescent="0.3">
      <c r="A1717">
        <v>1716</v>
      </c>
      <c r="B1717">
        <v>1716</v>
      </c>
      <c r="C1717" t="s">
        <v>4373</v>
      </c>
      <c r="D1717" t="s">
        <v>10</v>
      </c>
      <c r="E1717" t="s">
        <v>232</v>
      </c>
      <c r="F1717" t="s">
        <v>3583</v>
      </c>
      <c r="G1717" t="s">
        <v>2376</v>
      </c>
      <c r="H1717" t="s">
        <v>3671</v>
      </c>
      <c r="I1717" t="s">
        <v>3505</v>
      </c>
    </row>
    <row r="1718" spans="1:9" x14ac:dyDescent="0.3">
      <c r="A1718">
        <v>1717</v>
      </c>
      <c r="B1718">
        <v>1717</v>
      </c>
      <c r="C1718" t="s">
        <v>4374</v>
      </c>
      <c r="D1718" t="s">
        <v>1463</v>
      </c>
      <c r="E1718" t="s">
        <v>58</v>
      </c>
      <c r="F1718" t="s">
        <v>1051</v>
      </c>
      <c r="G1718" t="s">
        <v>2092</v>
      </c>
      <c r="H1718" t="s">
        <v>2587</v>
      </c>
      <c r="I1718" t="s">
        <v>3481</v>
      </c>
    </row>
    <row r="1719" spans="1:9" x14ac:dyDescent="0.3">
      <c r="A1719">
        <v>1718</v>
      </c>
      <c r="B1719">
        <v>1718</v>
      </c>
      <c r="C1719" t="s">
        <v>4375</v>
      </c>
      <c r="D1719" t="s">
        <v>51</v>
      </c>
      <c r="E1719" t="s">
        <v>64</v>
      </c>
      <c r="F1719" t="s">
        <v>3019</v>
      </c>
      <c r="G1719" t="s">
        <v>3376</v>
      </c>
      <c r="H1719" t="s">
        <v>223</v>
      </c>
      <c r="I1719" t="s">
        <v>3636</v>
      </c>
    </row>
    <row r="1720" spans="1:9" x14ac:dyDescent="0.3">
      <c r="A1720">
        <v>1719</v>
      </c>
      <c r="B1720">
        <v>1719</v>
      </c>
      <c r="C1720" t="s">
        <v>4376</v>
      </c>
      <c r="D1720" t="s">
        <v>51</v>
      </c>
      <c r="E1720" t="s">
        <v>58</v>
      </c>
      <c r="F1720" t="s">
        <v>4194</v>
      </c>
      <c r="G1720" t="s">
        <v>1506</v>
      </c>
      <c r="H1720" t="s">
        <v>3301</v>
      </c>
      <c r="I1720" t="s">
        <v>599</v>
      </c>
    </row>
    <row r="1721" spans="1:9" x14ac:dyDescent="0.3">
      <c r="A1721">
        <v>1720</v>
      </c>
      <c r="B1721">
        <v>1720</v>
      </c>
      <c r="C1721" t="s">
        <v>4377</v>
      </c>
      <c r="D1721" t="s">
        <v>51</v>
      </c>
      <c r="E1721" t="s">
        <v>58</v>
      </c>
      <c r="F1721" t="s">
        <v>905</v>
      </c>
      <c r="G1721" t="s">
        <v>4306</v>
      </c>
      <c r="H1721" t="s">
        <v>4378</v>
      </c>
      <c r="I1721" t="s">
        <v>1866</v>
      </c>
    </row>
    <row r="1722" spans="1:9" x14ac:dyDescent="0.3">
      <c r="A1722">
        <v>1721</v>
      </c>
      <c r="B1722">
        <v>1721</v>
      </c>
      <c r="C1722" t="s">
        <v>4379</v>
      </c>
      <c r="D1722" t="s">
        <v>51</v>
      </c>
      <c r="E1722" t="s">
        <v>11</v>
      </c>
      <c r="F1722" t="s">
        <v>562</v>
      </c>
      <c r="G1722" t="s">
        <v>3376</v>
      </c>
      <c r="H1722" t="s">
        <v>519</v>
      </c>
      <c r="I1722" t="s">
        <v>599</v>
      </c>
    </row>
    <row r="1723" spans="1:9" x14ac:dyDescent="0.3">
      <c r="A1723">
        <v>1722</v>
      </c>
      <c r="B1723">
        <v>1722</v>
      </c>
      <c r="C1723" t="s">
        <v>4380</v>
      </c>
      <c r="D1723" t="s">
        <v>249</v>
      </c>
      <c r="E1723" t="s">
        <v>365</v>
      </c>
      <c r="F1723" t="s">
        <v>3165</v>
      </c>
      <c r="G1723" t="s">
        <v>2850</v>
      </c>
      <c r="H1723" t="s">
        <v>3414</v>
      </c>
      <c r="I1723" t="s">
        <v>717</v>
      </c>
    </row>
    <row r="1724" spans="1:9" x14ac:dyDescent="0.3">
      <c r="A1724">
        <v>1723</v>
      </c>
      <c r="B1724">
        <v>1723</v>
      </c>
      <c r="C1724" t="s">
        <v>4381</v>
      </c>
      <c r="D1724" t="s">
        <v>51</v>
      </c>
      <c r="E1724" t="s">
        <v>11</v>
      </c>
      <c r="F1724" t="s">
        <v>1038</v>
      </c>
      <c r="G1724" t="s">
        <v>3065</v>
      </c>
      <c r="H1724" t="s">
        <v>4382</v>
      </c>
      <c r="I1724" t="s">
        <v>1345</v>
      </c>
    </row>
    <row r="1725" spans="1:9" x14ac:dyDescent="0.3">
      <c r="A1725">
        <v>1724</v>
      </c>
      <c r="B1725">
        <v>1724</v>
      </c>
      <c r="C1725" t="s">
        <v>4383</v>
      </c>
      <c r="D1725" t="s">
        <v>10</v>
      </c>
      <c r="E1725" t="s">
        <v>64</v>
      </c>
      <c r="F1725" t="s">
        <v>2236</v>
      </c>
      <c r="G1725" t="s">
        <v>3843</v>
      </c>
      <c r="H1725" t="s">
        <v>3002</v>
      </c>
      <c r="I1725" t="s">
        <v>433</v>
      </c>
    </row>
    <row r="1726" spans="1:9" x14ac:dyDescent="0.3">
      <c r="A1726">
        <v>1725</v>
      </c>
      <c r="B1726">
        <v>1725</v>
      </c>
      <c r="C1726" t="s">
        <v>4384</v>
      </c>
      <c r="D1726" t="s">
        <v>417</v>
      </c>
      <c r="E1726" t="s">
        <v>464</v>
      </c>
      <c r="F1726" t="s">
        <v>2016</v>
      </c>
      <c r="G1726" t="s">
        <v>2471</v>
      </c>
      <c r="H1726" t="s">
        <v>361</v>
      </c>
      <c r="I1726" t="s">
        <v>191</v>
      </c>
    </row>
    <row r="1727" spans="1:9" x14ac:dyDescent="0.3">
      <c r="A1727">
        <v>1726</v>
      </c>
      <c r="B1727">
        <v>1726</v>
      </c>
      <c r="C1727" t="s">
        <v>4385</v>
      </c>
      <c r="D1727" t="s">
        <v>51</v>
      </c>
      <c r="E1727" t="s">
        <v>11</v>
      </c>
      <c r="F1727" t="s">
        <v>1322</v>
      </c>
      <c r="G1727" t="s">
        <v>2982</v>
      </c>
      <c r="H1727" t="s">
        <v>708</v>
      </c>
      <c r="I1727" t="s">
        <v>2282</v>
      </c>
    </row>
    <row r="1728" spans="1:9" x14ac:dyDescent="0.3">
      <c r="A1728">
        <v>1727</v>
      </c>
      <c r="B1728">
        <v>1727</v>
      </c>
      <c r="C1728" t="s">
        <v>4386</v>
      </c>
      <c r="D1728" t="s">
        <v>51</v>
      </c>
      <c r="E1728" t="s">
        <v>58</v>
      </c>
      <c r="F1728" t="s">
        <v>3772</v>
      </c>
      <c r="G1728" t="s">
        <v>3843</v>
      </c>
      <c r="H1728" t="s">
        <v>2134</v>
      </c>
      <c r="I1728" t="s">
        <v>576</v>
      </c>
    </row>
    <row r="1729" spans="1:9" x14ac:dyDescent="0.3">
      <c r="A1729">
        <v>1728</v>
      </c>
      <c r="B1729">
        <v>1728</v>
      </c>
      <c r="C1729" t="s">
        <v>4387</v>
      </c>
      <c r="D1729" t="s">
        <v>10</v>
      </c>
      <c r="E1729" t="s">
        <v>58</v>
      </c>
      <c r="F1729" t="s">
        <v>2005</v>
      </c>
      <c r="G1729" t="s">
        <v>3843</v>
      </c>
      <c r="H1729" t="s">
        <v>1620</v>
      </c>
      <c r="I1729" t="s">
        <v>1878</v>
      </c>
    </row>
    <row r="1730" spans="1:9" x14ac:dyDescent="0.3">
      <c r="A1730">
        <v>1729</v>
      </c>
      <c r="B1730">
        <v>1729</v>
      </c>
      <c r="C1730" t="s">
        <v>4388</v>
      </c>
      <c r="D1730" t="s">
        <v>51</v>
      </c>
      <c r="E1730" t="s">
        <v>11</v>
      </c>
      <c r="F1730" t="s">
        <v>1474</v>
      </c>
      <c r="G1730" t="s">
        <v>2801</v>
      </c>
      <c r="H1730" t="s">
        <v>4389</v>
      </c>
      <c r="I1730" t="s">
        <v>1089</v>
      </c>
    </row>
    <row r="1731" spans="1:9" x14ac:dyDescent="0.3">
      <c r="A1731">
        <v>1730</v>
      </c>
      <c r="B1731">
        <v>1730</v>
      </c>
      <c r="C1731" t="s">
        <v>4390</v>
      </c>
      <c r="D1731" t="s">
        <v>10</v>
      </c>
      <c r="E1731" t="s">
        <v>706</v>
      </c>
      <c r="F1731" t="s">
        <v>1225</v>
      </c>
      <c r="G1731" t="s">
        <v>1572</v>
      </c>
      <c r="H1731" t="s">
        <v>1182</v>
      </c>
      <c r="I1731" t="s">
        <v>3776</v>
      </c>
    </row>
    <row r="1732" spans="1:9" x14ac:dyDescent="0.3">
      <c r="A1732">
        <v>1731</v>
      </c>
      <c r="B1732">
        <v>1731</v>
      </c>
      <c r="C1732" t="s">
        <v>4391</v>
      </c>
      <c r="D1732" t="s">
        <v>10</v>
      </c>
      <c r="E1732" t="s">
        <v>17</v>
      </c>
      <c r="F1732" t="s">
        <v>3344</v>
      </c>
      <c r="G1732" t="s">
        <v>2376</v>
      </c>
      <c r="H1732" t="s">
        <v>2986</v>
      </c>
      <c r="I1732" t="s">
        <v>239</v>
      </c>
    </row>
    <row r="1733" spans="1:9" x14ac:dyDescent="0.3">
      <c r="A1733">
        <v>1732</v>
      </c>
      <c r="B1733">
        <v>1732</v>
      </c>
      <c r="C1733" t="s">
        <v>4392</v>
      </c>
      <c r="D1733" t="s">
        <v>10</v>
      </c>
      <c r="E1733" t="s">
        <v>174</v>
      </c>
      <c r="F1733" t="s">
        <v>433</v>
      </c>
      <c r="G1733" t="s">
        <v>1995</v>
      </c>
      <c r="H1733" t="s">
        <v>995</v>
      </c>
      <c r="I1733" t="s">
        <v>1618</v>
      </c>
    </row>
    <row r="1734" spans="1:9" x14ac:dyDescent="0.3">
      <c r="A1734">
        <v>1733</v>
      </c>
      <c r="B1734">
        <v>1733</v>
      </c>
      <c r="C1734" t="s">
        <v>4393</v>
      </c>
      <c r="D1734" t="s">
        <v>51</v>
      </c>
      <c r="E1734" t="s">
        <v>11</v>
      </c>
      <c r="F1734" t="s">
        <v>1510</v>
      </c>
      <c r="G1734" t="s">
        <v>2894</v>
      </c>
      <c r="H1734" t="s">
        <v>4394</v>
      </c>
      <c r="I1734" t="s">
        <v>1254</v>
      </c>
    </row>
    <row r="1735" spans="1:9" x14ac:dyDescent="0.3">
      <c r="A1735">
        <v>1734</v>
      </c>
      <c r="B1735">
        <v>1734</v>
      </c>
      <c r="C1735" t="s">
        <v>4395</v>
      </c>
      <c r="D1735" t="s">
        <v>681</v>
      </c>
      <c r="E1735" t="s">
        <v>706</v>
      </c>
      <c r="F1735" t="s">
        <v>1526</v>
      </c>
      <c r="G1735" t="s">
        <v>2092</v>
      </c>
      <c r="H1735" t="s">
        <v>2986</v>
      </c>
      <c r="I1735" t="s">
        <v>3085</v>
      </c>
    </row>
    <row r="1736" spans="1:9" x14ac:dyDescent="0.3">
      <c r="A1736">
        <v>1735</v>
      </c>
      <c r="B1736">
        <v>1735</v>
      </c>
      <c r="C1736" t="s">
        <v>4396</v>
      </c>
      <c r="D1736" t="s">
        <v>297</v>
      </c>
      <c r="E1736" t="s">
        <v>52</v>
      </c>
      <c r="F1736" t="s">
        <v>1521</v>
      </c>
      <c r="G1736" t="s">
        <v>1572</v>
      </c>
      <c r="H1736" t="s">
        <v>1552</v>
      </c>
      <c r="I1736" t="s">
        <v>2442</v>
      </c>
    </row>
    <row r="1737" spans="1:9" x14ac:dyDescent="0.3">
      <c r="A1737">
        <v>1736</v>
      </c>
      <c r="B1737">
        <v>1736</v>
      </c>
      <c r="C1737" t="s">
        <v>4397</v>
      </c>
      <c r="D1737" t="s">
        <v>51</v>
      </c>
      <c r="E1737" t="s">
        <v>11</v>
      </c>
      <c r="F1737" t="s">
        <v>1364</v>
      </c>
      <c r="G1737" t="s">
        <v>3551</v>
      </c>
      <c r="H1737" t="s">
        <v>2630</v>
      </c>
      <c r="I1737" t="s">
        <v>2005</v>
      </c>
    </row>
    <row r="1738" spans="1:9" x14ac:dyDescent="0.3">
      <c r="A1738">
        <v>1737</v>
      </c>
      <c r="B1738">
        <v>1737</v>
      </c>
      <c r="C1738" t="s">
        <v>4398</v>
      </c>
      <c r="D1738" t="s">
        <v>10</v>
      </c>
      <c r="E1738" t="s">
        <v>98</v>
      </c>
      <c r="F1738" t="s">
        <v>3384</v>
      </c>
      <c r="G1738" t="s">
        <v>2455</v>
      </c>
      <c r="H1738" t="s">
        <v>3344</v>
      </c>
      <c r="I1738" t="s">
        <v>501</v>
      </c>
    </row>
    <row r="1739" spans="1:9" x14ac:dyDescent="0.3">
      <c r="A1739">
        <v>1738</v>
      </c>
      <c r="B1739">
        <v>1738</v>
      </c>
      <c r="C1739" t="s">
        <v>4399</v>
      </c>
      <c r="D1739" t="s">
        <v>35</v>
      </c>
      <c r="E1739" t="s">
        <v>141</v>
      </c>
      <c r="F1739" t="s">
        <v>947</v>
      </c>
      <c r="G1739" t="s">
        <v>4400</v>
      </c>
      <c r="H1739" t="s">
        <v>3045</v>
      </c>
      <c r="I1739" t="s">
        <v>3062</v>
      </c>
    </row>
    <row r="1740" spans="1:9" x14ac:dyDescent="0.3">
      <c r="A1740">
        <v>1739</v>
      </c>
      <c r="B1740">
        <v>1739</v>
      </c>
      <c r="C1740" t="s">
        <v>4401</v>
      </c>
      <c r="D1740" t="s">
        <v>51</v>
      </c>
      <c r="E1740" t="s">
        <v>58</v>
      </c>
      <c r="F1740" t="s">
        <v>1936</v>
      </c>
      <c r="G1740" t="s">
        <v>3245</v>
      </c>
      <c r="H1740" t="s">
        <v>1948</v>
      </c>
      <c r="I1740" t="s">
        <v>2100</v>
      </c>
    </row>
    <row r="1741" spans="1:9" x14ac:dyDescent="0.3">
      <c r="A1741">
        <v>1740</v>
      </c>
      <c r="B1741">
        <v>1740</v>
      </c>
      <c r="C1741" t="s">
        <v>4402</v>
      </c>
      <c r="D1741" t="s">
        <v>3550</v>
      </c>
      <c r="E1741" t="s">
        <v>130</v>
      </c>
      <c r="F1741" t="s">
        <v>828</v>
      </c>
      <c r="G1741" t="s">
        <v>1012</v>
      </c>
      <c r="H1741" t="s">
        <v>466</v>
      </c>
      <c r="I1741" t="s">
        <v>2820</v>
      </c>
    </row>
    <row r="1742" spans="1:9" x14ac:dyDescent="0.3">
      <c r="A1742">
        <v>1741</v>
      </c>
      <c r="B1742">
        <v>1741</v>
      </c>
      <c r="C1742" t="s">
        <v>4403</v>
      </c>
      <c r="D1742" t="s">
        <v>51</v>
      </c>
      <c r="E1742" t="s">
        <v>52</v>
      </c>
      <c r="F1742" t="s">
        <v>823</v>
      </c>
      <c r="G1742" t="s">
        <v>1506</v>
      </c>
      <c r="H1742" t="s">
        <v>3758</v>
      </c>
      <c r="I1742" t="s">
        <v>3458</v>
      </c>
    </row>
    <row r="1743" spans="1:9" x14ac:dyDescent="0.3">
      <c r="A1743">
        <v>1742</v>
      </c>
      <c r="B1743">
        <v>1742</v>
      </c>
      <c r="C1743" t="s">
        <v>4404</v>
      </c>
      <c r="D1743" t="s">
        <v>51</v>
      </c>
      <c r="E1743" t="s">
        <v>11</v>
      </c>
      <c r="F1743" t="s">
        <v>506</v>
      </c>
      <c r="G1743" t="s">
        <v>3245</v>
      </c>
      <c r="H1743" t="s">
        <v>4405</v>
      </c>
      <c r="I1743" t="s">
        <v>973</v>
      </c>
    </row>
    <row r="1744" spans="1:9" x14ac:dyDescent="0.3">
      <c r="A1744">
        <v>1743</v>
      </c>
      <c r="B1744">
        <v>1743</v>
      </c>
      <c r="C1744" t="s">
        <v>4406</v>
      </c>
      <c r="D1744" t="s">
        <v>737</v>
      </c>
      <c r="E1744" t="s">
        <v>52</v>
      </c>
      <c r="F1744" t="s">
        <v>1716</v>
      </c>
      <c r="G1744" t="s">
        <v>2376</v>
      </c>
      <c r="H1744" t="s">
        <v>2042</v>
      </c>
      <c r="I1744" t="s">
        <v>1354</v>
      </c>
    </row>
    <row r="1745" spans="1:9" x14ac:dyDescent="0.3">
      <c r="A1745">
        <v>1744</v>
      </c>
      <c r="B1745">
        <v>1744</v>
      </c>
      <c r="C1745" t="s">
        <v>4407</v>
      </c>
      <c r="D1745" t="s">
        <v>401</v>
      </c>
      <c r="E1745" t="s">
        <v>11</v>
      </c>
      <c r="F1745" t="s">
        <v>506</v>
      </c>
      <c r="G1745" t="s">
        <v>2092</v>
      </c>
      <c r="H1745" t="s">
        <v>860</v>
      </c>
      <c r="I1745" t="s">
        <v>956</v>
      </c>
    </row>
    <row r="1746" spans="1:9" x14ac:dyDescent="0.3">
      <c r="A1746">
        <v>1745</v>
      </c>
      <c r="B1746">
        <v>1745</v>
      </c>
      <c r="C1746" t="s">
        <v>4408</v>
      </c>
      <c r="D1746" t="s">
        <v>10</v>
      </c>
      <c r="E1746" t="s">
        <v>98</v>
      </c>
      <c r="F1746" t="s">
        <v>562</v>
      </c>
      <c r="G1746" t="s">
        <v>3065</v>
      </c>
      <c r="H1746" t="s">
        <v>2636</v>
      </c>
      <c r="I1746" t="s">
        <v>1205</v>
      </c>
    </row>
    <row r="1747" spans="1:9" x14ac:dyDescent="0.3">
      <c r="A1747">
        <v>1746</v>
      </c>
      <c r="B1747">
        <v>1746</v>
      </c>
      <c r="C1747" t="s">
        <v>4409</v>
      </c>
      <c r="D1747" t="s">
        <v>51</v>
      </c>
      <c r="E1747" t="s">
        <v>11</v>
      </c>
      <c r="F1747" t="s">
        <v>1340</v>
      </c>
      <c r="G1747" t="s">
        <v>3551</v>
      </c>
      <c r="H1747" t="s">
        <v>4410</v>
      </c>
      <c r="I1747" t="s">
        <v>397</v>
      </c>
    </row>
    <row r="1748" spans="1:9" x14ac:dyDescent="0.3">
      <c r="A1748">
        <v>1747</v>
      </c>
      <c r="B1748">
        <v>1747</v>
      </c>
      <c r="C1748" t="s">
        <v>4411</v>
      </c>
      <c r="D1748" t="s">
        <v>51</v>
      </c>
      <c r="E1748" t="s">
        <v>687</v>
      </c>
      <c r="F1748" t="s">
        <v>3335</v>
      </c>
      <c r="G1748" t="s">
        <v>3213</v>
      </c>
      <c r="H1748" t="s">
        <v>3000</v>
      </c>
      <c r="I1748" t="s">
        <v>1051</v>
      </c>
    </row>
    <row r="1749" spans="1:9" x14ac:dyDescent="0.3">
      <c r="A1749">
        <v>1748</v>
      </c>
      <c r="B1749">
        <v>1748</v>
      </c>
      <c r="C1749" t="s">
        <v>4412</v>
      </c>
      <c r="D1749" t="s">
        <v>10</v>
      </c>
      <c r="E1749" t="s">
        <v>23</v>
      </c>
      <c r="F1749" t="s">
        <v>3179</v>
      </c>
      <c r="G1749" t="s">
        <v>1716</v>
      </c>
      <c r="H1749" t="s">
        <v>2192</v>
      </c>
      <c r="I1749" t="s">
        <v>201</v>
      </c>
    </row>
    <row r="1750" spans="1:9" x14ac:dyDescent="0.3">
      <c r="A1750">
        <v>1749</v>
      </c>
      <c r="B1750">
        <v>1749</v>
      </c>
      <c r="C1750" t="s">
        <v>4413</v>
      </c>
      <c r="D1750" t="s">
        <v>51</v>
      </c>
      <c r="E1750" t="s">
        <v>726</v>
      </c>
      <c r="F1750" t="s">
        <v>2355</v>
      </c>
      <c r="G1750" t="s">
        <v>4414</v>
      </c>
      <c r="H1750" t="s">
        <v>2606</v>
      </c>
      <c r="I1750" t="s">
        <v>1671</v>
      </c>
    </row>
    <row r="1751" spans="1:9" x14ac:dyDescent="0.3">
      <c r="A1751">
        <v>1750</v>
      </c>
      <c r="B1751">
        <v>1750</v>
      </c>
      <c r="C1751" t="s">
        <v>4415</v>
      </c>
      <c r="D1751" t="s">
        <v>35</v>
      </c>
      <c r="E1751" t="s">
        <v>64</v>
      </c>
      <c r="F1751" t="s">
        <v>419</v>
      </c>
      <c r="G1751" t="s">
        <v>3060</v>
      </c>
      <c r="H1751" t="s">
        <v>3583</v>
      </c>
      <c r="I1751" t="s">
        <v>2725</v>
      </c>
    </row>
    <row r="1752" spans="1:9" x14ac:dyDescent="0.3">
      <c r="A1752">
        <v>1751</v>
      </c>
      <c r="B1752">
        <v>1751</v>
      </c>
      <c r="C1752" t="s">
        <v>4416</v>
      </c>
      <c r="D1752" t="s">
        <v>681</v>
      </c>
      <c r="E1752" t="s">
        <v>11</v>
      </c>
      <c r="F1752" t="s">
        <v>947</v>
      </c>
      <c r="G1752" t="s">
        <v>3376</v>
      </c>
      <c r="H1752" t="s">
        <v>888</v>
      </c>
      <c r="I1752" t="s">
        <v>3801</v>
      </c>
    </row>
    <row r="1753" spans="1:9" x14ac:dyDescent="0.3">
      <c r="A1753">
        <v>1752</v>
      </c>
      <c r="B1753">
        <v>1752</v>
      </c>
      <c r="C1753" t="s">
        <v>4417</v>
      </c>
      <c r="D1753" t="s">
        <v>51</v>
      </c>
      <c r="E1753" t="s">
        <v>130</v>
      </c>
      <c r="F1753" t="s">
        <v>1080</v>
      </c>
      <c r="G1753" t="s">
        <v>3245</v>
      </c>
      <c r="H1753" t="s">
        <v>2537</v>
      </c>
      <c r="I1753" t="s">
        <v>933</v>
      </c>
    </row>
    <row r="1754" spans="1:9" x14ac:dyDescent="0.3">
      <c r="A1754">
        <v>1753</v>
      </c>
      <c r="B1754">
        <v>1753</v>
      </c>
      <c r="C1754" t="s">
        <v>4418</v>
      </c>
      <c r="D1754" t="s">
        <v>51</v>
      </c>
      <c r="E1754" t="s">
        <v>141</v>
      </c>
      <c r="F1754" t="s">
        <v>2636</v>
      </c>
      <c r="G1754" t="s">
        <v>2850</v>
      </c>
      <c r="H1754" t="s">
        <v>1804</v>
      </c>
      <c r="I1754" t="s">
        <v>2483</v>
      </c>
    </row>
    <row r="1755" spans="1:9" x14ac:dyDescent="0.3">
      <c r="A1755">
        <v>1754</v>
      </c>
      <c r="B1755">
        <v>1754</v>
      </c>
      <c r="C1755" t="s">
        <v>4419</v>
      </c>
      <c r="D1755" t="s">
        <v>4420</v>
      </c>
      <c r="E1755" t="s">
        <v>365</v>
      </c>
      <c r="F1755" t="s">
        <v>3875</v>
      </c>
      <c r="G1755" t="s">
        <v>2348</v>
      </c>
      <c r="H1755" t="s">
        <v>3337</v>
      </c>
      <c r="I1755" t="s">
        <v>2518</v>
      </c>
    </row>
    <row r="1756" spans="1:9" x14ac:dyDescent="0.3">
      <c r="A1756">
        <v>1755</v>
      </c>
      <c r="B1756">
        <v>1755</v>
      </c>
      <c r="C1756" t="s">
        <v>4421</v>
      </c>
      <c r="D1756" t="s">
        <v>10</v>
      </c>
      <c r="E1756" t="s">
        <v>64</v>
      </c>
      <c r="F1756" t="s">
        <v>2897</v>
      </c>
      <c r="G1756" t="s">
        <v>1671</v>
      </c>
      <c r="H1756" t="s">
        <v>739</v>
      </c>
      <c r="I1756" t="s">
        <v>239</v>
      </c>
    </row>
    <row r="1757" spans="1:9" x14ac:dyDescent="0.3">
      <c r="A1757">
        <v>1756</v>
      </c>
      <c r="B1757">
        <v>1756</v>
      </c>
      <c r="C1757" t="s">
        <v>4422</v>
      </c>
      <c r="D1757" t="s">
        <v>452</v>
      </c>
      <c r="E1757" t="s">
        <v>715</v>
      </c>
      <c r="F1757" t="s">
        <v>3982</v>
      </c>
      <c r="G1757" t="s">
        <v>1857</v>
      </c>
      <c r="H1757" t="s">
        <v>683</v>
      </c>
      <c r="I1757" t="s">
        <v>3405</v>
      </c>
    </row>
    <row r="1758" spans="1:9" x14ac:dyDescent="0.3">
      <c r="A1758">
        <v>1757</v>
      </c>
      <c r="B1758">
        <v>1757</v>
      </c>
      <c r="C1758" t="s">
        <v>4423</v>
      </c>
      <c r="D1758" t="s">
        <v>10</v>
      </c>
      <c r="E1758" t="s">
        <v>250</v>
      </c>
      <c r="F1758" t="s">
        <v>1322</v>
      </c>
      <c r="G1758" t="s">
        <v>1572</v>
      </c>
      <c r="H1758" t="s">
        <v>662</v>
      </c>
      <c r="I1758" t="s">
        <v>2871</v>
      </c>
    </row>
    <row r="1759" spans="1:9" x14ac:dyDescent="0.3">
      <c r="A1759">
        <v>1758</v>
      </c>
      <c r="B1759">
        <v>1758</v>
      </c>
      <c r="C1759" t="s">
        <v>4424</v>
      </c>
      <c r="D1759" t="s">
        <v>10</v>
      </c>
      <c r="E1759" t="s">
        <v>58</v>
      </c>
      <c r="F1759" t="s">
        <v>1556</v>
      </c>
      <c r="G1759" t="s">
        <v>2376</v>
      </c>
      <c r="H1759" t="s">
        <v>3451</v>
      </c>
      <c r="I1759" t="s">
        <v>3629</v>
      </c>
    </row>
    <row r="1760" spans="1:9" x14ac:dyDescent="0.3">
      <c r="A1760">
        <v>1759</v>
      </c>
      <c r="B1760">
        <v>1759</v>
      </c>
      <c r="C1760" t="s">
        <v>4425</v>
      </c>
      <c r="D1760" t="s">
        <v>10</v>
      </c>
      <c r="E1760" t="s">
        <v>29</v>
      </c>
      <c r="F1760" t="s">
        <v>4426</v>
      </c>
      <c r="G1760" t="s">
        <v>3551</v>
      </c>
      <c r="H1760" t="s">
        <v>754</v>
      </c>
      <c r="I1760" t="s">
        <v>1563</v>
      </c>
    </row>
    <row r="1761" spans="1:9" x14ac:dyDescent="0.3">
      <c r="A1761">
        <v>1760</v>
      </c>
      <c r="B1761">
        <v>1760</v>
      </c>
      <c r="C1761" t="s">
        <v>4427</v>
      </c>
      <c r="D1761" t="s">
        <v>2925</v>
      </c>
      <c r="E1761" t="s">
        <v>58</v>
      </c>
      <c r="F1761" t="s">
        <v>413</v>
      </c>
      <c r="G1761" t="s">
        <v>3427</v>
      </c>
      <c r="H1761" t="s">
        <v>1470</v>
      </c>
      <c r="I1761" t="s">
        <v>1094</v>
      </c>
    </row>
    <row r="1762" spans="1:9" x14ac:dyDescent="0.3">
      <c r="A1762">
        <v>1761</v>
      </c>
      <c r="B1762">
        <v>1761</v>
      </c>
      <c r="C1762" t="s">
        <v>4428</v>
      </c>
      <c r="D1762" t="s">
        <v>51</v>
      </c>
      <c r="E1762" t="s">
        <v>130</v>
      </c>
      <c r="F1762" t="s">
        <v>1155</v>
      </c>
      <c r="G1762" t="s">
        <v>2842</v>
      </c>
      <c r="H1762" t="s">
        <v>356</v>
      </c>
      <c r="I1762" t="s">
        <v>900</v>
      </c>
    </row>
    <row r="1763" spans="1:9" x14ac:dyDescent="0.3">
      <c r="A1763">
        <v>1762</v>
      </c>
      <c r="B1763">
        <v>1762</v>
      </c>
      <c r="C1763" t="s">
        <v>4429</v>
      </c>
      <c r="D1763" t="s">
        <v>124</v>
      </c>
      <c r="E1763" t="s">
        <v>726</v>
      </c>
      <c r="F1763" t="s">
        <v>2719</v>
      </c>
      <c r="G1763" t="s">
        <v>1577</v>
      </c>
      <c r="H1763" t="s">
        <v>4248</v>
      </c>
      <c r="I1763" t="s">
        <v>2589</v>
      </c>
    </row>
    <row r="1764" spans="1:9" x14ac:dyDescent="0.3">
      <c r="A1764">
        <v>1763</v>
      </c>
      <c r="B1764">
        <v>1763</v>
      </c>
      <c r="C1764" t="s">
        <v>4430</v>
      </c>
      <c r="D1764" t="s">
        <v>10</v>
      </c>
      <c r="E1764" t="s">
        <v>58</v>
      </c>
      <c r="F1764" t="s">
        <v>1137</v>
      </c>
      <c r="G1764" t="s">
        <v>2376</v>
      </c>
      <c r="H1764" t="s">
        <v>1510</v>
      </c>
      <c r="I1764" t="s">
        <v>3566</v>
      </c>
    </row>
    <row r="1765" spans="1:9" x14ac:dyDescent="0.3">
      <c r="A1765">
        <v>1764</v>
      </c>
      <c r="B1765">
        <v>1764</v>
      </c>
      <c r="C1765" t="s">
        <v>4431</v>
      </c>
      <c r="D1765" t="s">
        <v>51</v>
      </c>
      <c r="E1765" t="s">
        <v>11</v>
      </c>
      <c r="F1765" t="s">
        <v>1949</v>
      </c>
      <c r="G1765" t="s">
        <v>3608</v>
      </c>
      <c r="H1765" t="s">
        <v>31</v>
      </c>
      <c r="I1765" t="s">
        <v>799</v>
      </c>
    </row>
    <row r="1766" spans="1:9" x14ac:dyDescent="0.3">
      <c r="A1766">
        <v>1765</v>
      </c>
      <c r="B1766">
        <v>1765</v>
      </c>
      <c r="C1766" t="s">
        <v>4432</v>
      </c>
      <c r="D1766" t="s">
        <v>70</v>
      </c>
      <c r="E1766" t="s">
        <v>365</v>
      </c>
      <c r="F1766" t="s">
        <v>2199</v>
      </c>
      <c r="G1766">
        <v>0</v>
      </c>
      <c r="H1766" t="s">
        <v>3765</v>
      </c>
      <c r="I1766" t="s">
        <v>3772</v>
      </c>
    </row>
    <row r="1767" spans="1:9" x14ac:dyDescent="0.3">
      <c r="A1767">
        <v>1766</v>
      </c>
      <c r="B1767">
        <v>1766</v>
      </c>
      <c r="C1767" t="s">
        <v>4433</v>
      </c>
      <c r="D1767" t="s">
        <v>249</v>
      </c>
      <c r="E1767" t="s">
        <v>726</v>
      </c>
      <c r="F1767" t="s">
        <v>2383</v>
      </c>
      <c r="G1767" t="s">
        <v>4306</v>
      </c>
      <c r="H1767" t="s">
        <v>1526</v>
      </c>
      <c r="I1767" t="s">
        <v>1474</v>
      </c>
    </row>
    <row r="1768" spans="1:9" x14ac:dyDescent="0.3">
      <c r="A1768">
        <v>1767</v>
      </c>
      <c r="B1768">
        <v>1767</v>
      </c>
      <c r="C1768" t="s">
        <v>4434</v>
      </c>
      <c r="D1768" t="s">
        <v>10</v>
      </c>
      <c r="E1768" t="s">
        <v>345</v>
      </c>
      <c r="F1768" t="s">
        <v>3742</v>
      </c>
      <c r="G1768" t="s">
        <v>1572</v>
      </c>
      <c r="H1768" t="s">
        <v>1998</v>
      </c>
      <c r="I1768" t="s">
        <v>4050</v>
      </c>
    </row>
    <row r="1769" spans="1:9" x14ac:dyDescent="0.3">
      <c r="A1769">
        <v>1768</v>
      </c>
      <c r="B1769">
        <v>1768</v>
      </c>
      <c r="C1769" t="s">
        <v>4435</v>
      </c>
      <c r="D1769" t="s">
        <v>51</v>
      </c>
      <c r="E1769" t="s">
        <v>11</v>
      </c>
      <c r="F1769" t="s">
        <v>794</v>
      </c>
      <c r="G1769" t="s">
        <v>3883</v>
      </c>
      <c r="H1769" t="s">
        <v>4436</v>
      </c>
      <c r="I1769" t="s">
        <v>692</v>
      </c>
    </row>
    <row r="1770" spans="1:9" x14ac:dyDescent="0.3">
      <c r="A1770">
        <v>1769</v>
      </c>
      <c r="B1770">
        <v>1769</v>
      </c>
      <c r="C1770" t="s">
        <v>4437</v>
      </c>
      <c r="D1770" t="s">
        <v>10</v>
      </c>
      <c r="E1770" t="s">
        <v>743</v>
      </c>
      <c r="F1770" t="s">
        <v>1308</v>
      </c>
      <c r="G1770" t="s">
        <v>2471</v>
      </c>
      <c r="H1770" t="s">
        <v>2350</v>
      </c>
      <c r="I1770" t="s">
        <v>3190</v>
      </c>
    </row>
    <row r="1771" spans="1:9" x14ac:dyDescent="0.3">
      <c r="A1771">
        <v>1770</v>
      </c>
      <c r="B1771">
        <v>1770</v>
      </c>
      <c r="C1771" t="s">
        <v>4438</v>
      </c>
      <c r="D1771" t="s">
        <v>51</v>
      </c>
      <c r="E1771" t="s">
        <v>11</v>
      </c>
      <c r="F1771" t="s">
        <v>915</v>
      </c>
      <c r="G1771" t="s">
        <v>3427</v>
      </c>
      <c r="H1771" t="s">
        <v>4439</v>
      </c>
      <c r="I1771" t="s">
        <v>3677</v>
      </c>
    </row>
    <row r="1772" spans="1:9" x14ac:dyDescent="0.3">
      <c r="A1772">
        <v>1771</v>
      </c>
      <c r="B1772">
        <v>1771</v>
      </c>
      <c r="C1772" t="s">
        <v>4440</v>
      </c>
      <c r="D1772" t="s">
        <v>51</v>
      </c>
      <c r="E1772" t="s">
        <v>726</v>
      </c>
      <c r="F1772" t="s">
        <v>2783</v>
      </c>
      <c r="G1772" t="s">
        <v>2801</v>
      </c>
      <c r="H1772" t="s">
        <v>3083</v>
      </c>
      <c r="I1772" t="s">
        <v>2739</v>
      </c>
    </row>
    <row r="1773" spans="1:9" x14ac:dyDescent="0.3">
      <c r="A1773">
        <v>1772</v>
      </c>
      <c r="B1773">
        <v>1772</v>
      </c>
      <c r="C1773" t="s">
        <v>4441</v>
      </c>
      <c r="D1773" t="s">
        <v>51</v>
      </c>
      <c r="E1773" t="s">
        <v>510</v>
      </c>
      <c r="F1773" t="s">
        <v>4050</v>
      </c>
      <c r="G1773" t="s">
        <v>2092</v>
      </c>
      <c r="H1773" t="s">
        <v>3999</v>
      </c>
      <c r="I1773" t="s">
        <v>1618</v>
      </c>
    </row>
    <row r="1774" spans="1:9" x14ac:dyDescent="0.3">
      <c r="A1774">
        <v>1773</v>
      </c>
      <c r="B1774">
        <v>1773</v>
      </c>
      <c r="C1774" t="s">
        <v>4442</v>
      </c>
      <c r="D1774" t="s">
        <v>10</v>
      </c>
      <c r="E1774" t="s">
        <v>52</v>
      </c>
      <c r="F1774" t="s">
        <v>1914</v>
      </c>
      <c r="G1774" t="s">
        <v>1995</v>
      </c>
      <c r="H1774" t="s">
        <v>3220</v>
      </c>
      <c r="I1774" t="s">
        <v>201</v>
      </c>
    </row>
    <row r="1775" spans="1:9" x14ac:dyDescent="0.3">
      <c r="A1775">
        <v>1774</v>
      </c>
      <c r="B1775">
        <v>1774</v>
      </c>
      <c r="C1775" t="s">
        <v>4443</v>
      </c>
      <c r="D1775" t="s">
        <v>35</v>
      </c>
      <c r="E1775" t="s">
        <v>345</v>
      </c>
      <c r="F1775" t="s">
        <v>2192</v>
      </c>
      <c r="G1775" t="s">
        <v>2388</v>
      </c>
      <c r="H1775" t="s">
        <v>1596</v>
      </c>
      <c r="I1775" t="s">
        <v>3449</v>
      </c>
    </row>
    <row r="1776" spans="1:9" x14ac:dyDescent="0.3">
      <c r="A1776">
        <v>1775</v>
      </c>
      <c r="B1776">
        <v>1775</v>
      </c>
      <c r="C1776" t="s">
        <v>4444</v>
      </c>
      <c r="D1776" t="s">
        <v>51</v>
      </c>
      <c r="E1776" t="s">
        <v>11</v>
      </c>
      <c r="F1776" t="s">
        <v>1128</v>
      </c>
      <c r="G1776" t="s">
        <v>1910</v>
      </c>
      <c r="H1776" t="s">
        <v>4445</v>
      </c>
      <c r="I1776" t="s">
        <v>873</v>
      </c>
    </row>
    <row r="1777" spans="1:9" x14ac:dyDescent="0.3">
      <c r="A1777">
        <v>1776</v>
      </c>
      <c r="B1777">
        <v>1776</v>
      </c>
      <c r="C1777" t="s">
        <v>4446</v>
      </c>
      <c r="D1777" t="s">
        <v>51</v>
      </c>
      <c r="E1777" t="s">
        <v>726</v>
      </c>
      <c r="F1777" t="s">
        <v>356</v>
      </c>
      <c r="G1777" t="s">
        <v>2703</v>
      </c>
      <c r="H1777" t="s">
        <v>3928</v>
      </c>
      <c r="I1777" t="s">
        <v>1249</v>
      </c>
    </row>
    <row r="1778" spans="1:9" x14ac:dyDescent="0.3">
      <c r="A1778">
        <v>1777</v>
      </c>
      <c r="B1778">
        <v>1777</v>
      </c>
      <c r="C1778" t="s">
        <v>4447</v>
      </c>
      <c r="D1778" t="s">
        <v>10</v>
      </c>
      <c r="E1778" t="s">
        <v>58</v>
      </c>
      <c r="F1778" t="s">
        <v>2140</v>
      </c>
      <c r="G1778" t="s">
        <v>2376</v>
      </c>
      <c r="H1778" t="s">
        <v>3005</v>
      </c>
      <c r="I1778" t="s">
        <v>3686</v>
      </c>
    </row>
    <row r="1779" spans="1:9" x14ac:dyDescent="0.3">
      <c r="A1779">
        <v>1778</v>
      </c>
      <c r="B1779">
        <v>1778</v>
      </c>
      <c r="C1779" t="s">
        <v>4448</v>
      </c>
      <c r="D1779" t="s">
        <v>297</v>
      </c>
      <c r="E1779" t="s">
        <v>365</v>
      </c>
      <c r="F1779" t="s">
        <v>1563</v>
      </c>
      <c r="G1779" t="s">
        <v>2455</v>
      </c>
      <c r="H1779" t="s">
        <v>367</v>
      </c>
      <c r="I1779" t="s">
        <v>2736</v>
      </c>
    </row>
    <row r="1780" spans="1:9" x14ac:dyDescent="0.3">
      <c r="A1780">
        <v>1779</v>
      </c>
      <c r="B1780">
        <v>1779</v>
      </c>
      <c r="C1780" t="s">
        <v>4449</v>
      </c>
      <c r="D1780" t="s">
        <v>10</v>
      </c>
      <c r="E1780" t="s">
        <v>11</v>
      </c>
      <c r="F1780" t="s">
        <v>1521</v>
      </c>
      <c r="G1780" t="s">
        <v>2471</v>
      </c>
      <c r="H1780" t="s">
        <v>3315</v>
      </c>
      <c r="I1780" t="s">
        <v>3746</v>
      </c>
    </row>
    <row r="1781" spans="1:9" x14ac:dyDescent="0.3">
      <c r="A1781">
        <v>1780</v>
      </c>
      <c r="B1781">
        <v>1780</v>
      </c>
      <c r="C1781" t="s">
        <v>4450</v>
      </c>
      <c r="D1781" t="s">
        <v>10</v>
      </c>
      <c r="E1781" t="s">
        <v>345</v>
      </c>
      <c r="F1781" t="s">
        <v>382</v>
      </c>
      <c r="G1781" t="s">
        <v>1716</v>
      </c>
      <c r="H1781" t="s">
        <v>2392</v>
      </c>
      <c r="I1781" t="s">
        <v>2746</v>
      </c>
    </row>
    <row r="1782" spans="1:9" x14ac:dyDescent="0.3">
      <c r="A1782">
        <v>1781</v>
      </c>
      <c r="B1782">
        <v>1781</v>
      </c>
      <c r="C1782" t="s">
        <v>4451</v>
      </c>
      <c r="D1782" t="s">
        <v>35</v>
      </c>
      <c r="E1782" t="s">
        <v>23</v>
      </c>
      <c r="F1782" t="s">
        <v>2820</v>
      </c>
      <c r="G1782" t="s">
        <v>2667</v>
      </c>
      <c r="H1782" t="s">
        <v>1334</v>
      </c>
      <c r="I1782" t="s">
        <v>3893</v>
      </c>
    </row>
    <row r="1783" spans="1:9" x14ac:dyDescent="0.3">
      <c r="A1783">
        <v>1782</v>
      </c>
      <c r="B1783">
        <v>1782</v>
      </c>
      <c r="C1783" t="s">
        <v>4452</v>
      </c>
      <c r="D1783" t="s">
        <v>35</v>
      </c>
      <c r="E1783" t="s">
        <v>98</v>
      </c>
      <c r="F1783">
        <v>3</v>
      </c>
      <c r="G1783" t="s">
        <v>4453</v>
      </c>
      <c r="H1783" t="s">
        <v>2421</v>
      </c>
      <c r="I1783" t="s">
        <v>3140</v>
      </c>
    </row>
    <row r="1784" spans="1:9" x14ac:dyDescent="0.3">
      <c r="A1784">
        <v>1783</v>
      </c>
      <c r="B1784">
        <v>1783</v>
      </c>
      <c r="C1784" t="s">
        <v>4454</v>
      </c>
      <c r="D1784" t="s">
        <v>249</v>
      </c>
      <c r="E1784" t="s">
        <v>726</v>
      </c>
      <c r="F1784" t="s">
        <v>1254</v>
      </c>
      <c r="G1784" t="s">
        <v>1254</v>
      </c>
      <c r="H1784" t="s">
        <v>1563</v>
      </c>
      <c r="I1784" t="s">
        <v>2842</v>
      </c>
    </row>
    <row r="1785" spans="1:9" x14ac:dyDescent="0.3">
      <c r="A1785">
        <v>1784</v>
      </c>
      <c r="B1785">
        <v>1784</v>
      </c>
      <c r="C1785" t="s">
        <v>4455</v>
      </c>
      <c r="D1785" t="s">
        <v>51</v>
      </c>
      <c r="E1785" t="s">
        <v>11</v>
      </c>
      <c r="F1785" t="s">
        <v>645</v>
      </c>
      <c r="G1785" t="s">
        <v>3245</v>
      </c>
      <c r="H1785" t="s">
        <v>4456</v>
      </c>
      <c r="I1785" t="s">
        <v>973</v>
      </c>
    </row>
    <row r="1786" spans="1:9" x14ac:dyDescent="0.3">
      <c r="A1786">
        <v>1785</v>
      </c>
      <c r="B1786">
        <v>1785</v>
      </c>
      <c r="C1786" t="s">
        <v>4457</v>
      </c>
      <c r="D1786" t="s">
        <v>417</v>
      </c>
      <c r="E1786" t="s">
        <v>634</v>
      </c>
      <c r="F1786" t="s">
        <v>788</v>
      </c>
      <c r="G1786" t="s">
        <v>1995</v>
      </c>
      <c r="H1786" t="s">
        <v>3176</v>
      </c>
      <c r="I1786" t="s">
        <v>1641</v>
      </c>
    </row>
    <row r="1787" spans="1:9" x14ac:dyDescent="0.3">
      <c r="A1787">
        <v>1786</v>
      </c>
      <c r="B1787">
        <v>1786</v>
      </c>
      <c r="C1787" t="s">
        <v>4458</v>
      </c>
      <c r="D1787" t="s">
        <v>10</v>
      </c>
      <c r="E1787" t="s">
        <v>706</v>
      </c>
      <c r="F1787" t="s">
        <v>833</v>
      </c>
      <c r="G1787" t="s">
        <v>3065</v>
      </c>
      <c r="H1787" t="s">
        <v>2245</v>
      </c>
      <c r="I1787" t="s">
        <v>4050</v>
      </c>
    </row>
    <row r="1788" spans="1:9" x14ac:dyDescent="0.3">
      <c r="A1788">
        <v>1787</v>
      </c>
      <c r="B1788">
        <v>1787</v>
      </c>
      <c r="C1788" t="s">
        <v>4459</v>
      </c>
      <c r="D1788" t="s">
        <v>51</v>
      </c>
      <c r="E1788" t="s">
        <v>11</v>
      </c>
      <c r="F1788" t="s">
        <v>2100</v>
      </c>
      <c r="G1788" t="s">
        <v>2801</v>
      </c>
      <c r="H1788" t="s">
        <v>2838</v>
      </c>
      <c r="I1788" t="s">
        <v>873</v>
      </c>
    </row>
    <row r="1789" spans="1:9" x14ac:dyDescent="0.3">
      <c r="A1789">
        <v>1788</v>
      </c>
      <c r="B1789">
        <v>1788</v>
      </c>
      <c r="C1789" t="s">
        <v>4460</v>
      </c>
      <c r="D1789" t="s">
        <v>10</v>
      </c>
      <c r="E1789" t="s">
        <v>11</v>
      </c>
      <c r="F1789" t="s">
        <v>1949</v>
      </c>
      <c r="G1789" t="s">
        <v>2471</v>
      </c>
      <c r="H1789" t="s">
        <v>1620</v>
      </c>
      <c r="I1789" t="s">
        <v>533</v>
      </c>
    </row>
    <row r="1790" spans="1:9" x14ac:dyDescent="0.3">
      <c r="A1790">
        <v>1789</v>
      </c>
      <c r="B1790">
        <v>1789</v>
      </c>
      <c r="C1790" t="s">
        <v>4461</v>
      </c>
      <c r="D1790" t="s">
        <v>696</v>
      </c>
      <c r="E1790" t="s">
        <v>130</v>
      </c>
      <c r="F1790" t="s">
        <v>683</v>
      </c>
      <c r="G1790" t="s">
        <v>1506</v>
      </c>
      <c r="H1790" t="s">
        <v>3365</v>
      </c>
      <c r="I1790" t="s">
        <v>2958</v>
      </c>
    </row>
    <row r="1791" spans="1:9" x14ac:dyDescent="0.3">
      <c r="A1791">
        <v>1790</v>
      </c>
      <c r="B1791">
        <v>1790</v>
      </c>
      <c r="C1791" t="s">
        <v>4462</v>
      </c>
      <c r="D1791" t="s">
        <v>51</v>
      </c>
      <c r="E1791" t="s">
        <v>11</v>
      </c>
      <c r="F1791" t="s">
        <v>2140</v>
      </c>
      <c r="G1791" t="s">
        <v>3551</v>
      </c>
      <c r="H1791" t="s">
        <v>4463</v>
      </c>
      <c r="I1791" t="s">
        <v>1568</v>
      </c>
    </row>
    <row r="1792" spans="1:9" x14ac:dyDescent="0.3">
      <c r="A1792">
        <v>1791</v>
      </c>
      <c r="B1792">
        <v>1791</v>
      </c>
      <c r="C1792" t="s">
        <v>4464</v>
      </c>
      <c r="D1792" t="s">
        <v>10</v>
      </c>
      <c r="E1792" t="s">
        <v>634</v>
      </c>
      <c r="F1792" t="s">
        <v>321</v>
      </c>
      <c r="G1792" t="s">
        <v>4465</v>
      </c>
      <c r="H1792" t="s">
        <v>2824</v>
      </c>
      <c r="I1792" t="s">
        <v>1322</v>
      </c>
    </row>
    <row r="1793" spans="1:9" x14ac:dyDescent="0.3">
      <c r="A1793">
        <v>1792</v>
      </c>
      <c r="B1793">
        <v>1792</v>
      </c>
      <c r="C1793" t="s">
        <v>4466</v>
      </c>
      <c r="D1793" t="s">
        <v>10</v>
      </c>
      <c r="E1793" t="s">
        <v>634</v>
      </c>
      <c r="F1793" t="s">
        <v>3853</v>
      </c>
      <c r="G1793" t="s">
        <v>2376</v>
      </c>
      <c r="H1793" t="s">
        <v>2926</v>
      </c>
      <c r="I1793" t="s">
        <v>3085</v>
      </c>
    </row>
    <row r="1794" spans="1:9" x14ac:dyDescent="0.3">
      <c r="A1794">
        <v>1793</v>
      </c>
      <c r="B1794">
        <v>1793</v>
      </c>
      <c r="C1794" t="s">
        <v>4467</v>
      </c>
      <c r="D1794" t="s">
        <v>51</v>
      </c>
      <c r="E1794" t="s">
        <v>706</v>
      </c>
      <c r="F1794" t="s">
        <v>408</v>
      </c>
      <c r="G1794" t="s">
        <v>2850</v>
      </c>
      <c r="H1794" t="s">
        <v>2911</v>
      </c>
      <c r="I1794" t="s">
        <v>2192</v>
      </c>
    </row>
    <row r="1795" spans="1:9" x14ac:dyDescent="0.3">
      <c r="A1795">
        <v>1794</v>
      </c>
      <c r="B1795">
        <v>1794</v>
      </c>
      <c r="C1795" t="s">
        <v>4468</v>
      </c>
      <c r="D1795" t="s">
        <v>10</v>
      </c>
      <c r="E1795" t="s">
        <v>64</v>
      </c>
      <c r="F1795" t="s">
        <v>3624</v>
      </c>
      <c r="G1795" t="s">
        <v>2348</v>
      </c>
      <c r="H1795" t="s">
        <v>968</v>
      </c>
      <c r="I1795" t="s">
        <v>331</v>
      </c>
    </row>
    <row r="1796" spans="1:9" x14ac:dyDescent="0.3">
      <c r="A1796">
        <v>1795</v>
      </c>
      <c r="B1796">
        <v>1795</v>
      </c>
      <c r="C1796" t="s">
        <v>4469</v>
      </c>
      <c r="D1796" t="s">
        <v>35</v>
      </c>
      <c r="E1796" t="s">
        <v>726</v>
      </c>
      <c r="F1796" t="s">
        <v>4102</v>
      </c>
      <c r="G1796" t="s">
        <v>4306</v>
      </c>
      <c r="H1796" t="s">
        <v>3458</v>
      </c>
      <c r="I1796" t="s">
        <v>3419</v>
      </c>
    </row>
    <row r="1797" spans="1:9" x14ac:dyDescent="0.3">
      <c r="A1797">
        <v>1796</v>
      </c>
      <c r="B1797">
        <v>1796</v>
      </c>
      <c r="C1797" t="s">
        <v>4470</v>
      </c>
      <c r="D1797" t="s">
        <v>10</v>
      </c>
      <c r="E1797" t="s">
        <v>11</v>
      </c>
      <c r="F1797" t="s">
        <v>1190</v>
      </c>
      <c r="G1797" t="s">
        <v>2092</v>
      </c>
      <c r="H1797" t="s">
        <v>4471</v>
      </c>
      <c r="I1797" t="s">
        <v>387</v>
      </c>
    </row>
    <row r="1798" spans="1:9" x14ac:dyDescent="0.3">
      <c r="A1798">
        <v>1797</v>
      </c>
      <c r="B1798">
        <v>1797</v>
      </c>
      <c r="C1798" t="s">
        <v>4472</v>
      </c>
      <c r="D1798" t="s">
        <v>10</v>
      </c>
      <c r="E1798" t="s">
        <v>11</v>
      </c>
      <c r="F1798" t="s">
        <v>2140</v>
      </c>
      <c r="G1798" t="s">
        <v>2471</v>
      </c>
      <c r="H1798" t="s">
        <v>2366</v>
      </c>
      <c r="I1798" t="s">
        <v>3978</v>
      </c>
    </row>
    <row r="1799" spans="1:9" x14ac:dyDescent="0.3">
      <c r="A1799">
        <v>1798</v>
      </c>
      <c r="B1799">
        <v>1798</v>
      </c>
      <c r="C1799" t="s">
        <v>4473</v>
      </c>
      <c r="D1799" t="s">
        <v>1679</v>
      </c>
      <c r="E1799" t="s">
        <v>64</v>
      </c>
      <c r="F1799" t="s">
        <v>3167</v>
      </c>
      <c r="G1799" t="s">
        <v>3060</v>
      </c>
      <c r="H1799" t="s">
        <v>3021</v>
      </c>
      <c r="I1799" t="s">
        <v>814</v>
      </c>
    </row>
    <row r="1800" spans="1:9" x14ac:dyDescent="0.3">
      <c r="A1800">
        <v>1799</v>
      </c>
      <c r="B1800">
        <v>1799</v>
      </c>
      <c r="C1800" t="s">
        <v>4474</v>
      </c>
      <c r="D1800" t="s">
        <v>51</v>
      </c>
      <c r="E1800" t="s">
        <v>11</v>
      </c>
      <c r="F1800" t="s">
        <v>933</v>
      </c>
      <c r="G1800" t="s">
        <v>2801</v>
      </c>
      <c r="H1800" t="s">
        <v>4475</v>
      </c>
      <c r="I1800" t="s">
        <v>873</v>
      </c>
    </row>
    <row r="1801" spans="1:9" x14ac:dyDescent="0.3">
      <c r="A1801">
        <v>1800</v>
      </c>
      <c r="B1801">
        <v>1800</v>
      </c>
      <c r="C1801" t="s">
        <v>4476</v>
      </c>
      <c r="D1801" t="s">
        <v>10</v>
      </c>
      <c r="E1801" t="s">
        <v>64</v>
      </c>
      <c r="F1801" t="s">
        <v>1955</v>
      </c>
      <c r="G1801" t="s">
        <v>3376</v>
      </c>
      <c r="H1801" t="s">
        <v>2746</v>
      </c>
      <c r="I1801" t="s">
        <v>3475</v>
      </c>
    </row>
    <row r="1802" spans="1:9" x14ac:dyDescent="0.3">
      <c r="A1802">
        <v>1801</v>
      </c>
      <c r="B1802">
        <v>1801</v>
      </c>
      <c r="C1802" t="s">
        <v>4477</v>
      </c>
      <c r="D1802" t="s">
        <v>401</v>
      </c>
      <c r="E1802" t="s">
        <v>23</v>
      </c>
      <c r="F1802" t="s">
        <v>4057</v>
      </c>
      <c r="G1802" t="s">
        <v>1967</v>
      </c>
      <c r="H1802" t="s">
        <v>2098</v>
      </c>
      <c r="I1802" t="s">
        <v>316</v>
      </c>
    </row>
    <row r="1803" spans="1:9" x14ac:dyDescent="0.3">
      <c r="A1803">
        <v>1802</v>
      </c>
      <c r="B1803">
        <v>1802</v>
      </c>
      <c r="C1803" t="s">
        <v>4478</v>
      </c>
      <c r="D1803" t="s">
        <v>10</v>
      </c>
      <c r="E1803" t="s">
        <v>11</v>
      </c>
      <c r="F1803" t="s">
        <v>2042</v>
      </c>
      <c r="G1803" t="s">
        <v>2455</v>
      </c>
      <c r="H1803" t="s">
        <v>2922</v>
      </c>
      <c r="I1803" t="s">
        <v>900</v>
      </c>
    </row>
    <row r="1804" spans="1:9" x14ac:dyDescent="0.3">
      <c r="A1804">
        <v>1803</v>
      </c>
      <c r="B1804">
        <v>1803</v>
      </c>
      <c r="C1804" t="s">
        <v>4479</v>
      </c>
      <c r="D1804" t="s">
        <v>10</v>
      </c>
      <c r="E1804" t="s">
        <v>365</v>
      </c>
      <c r="F1804" t="s">
        <v>4480</v>
      </c>
      <c r="G1804" t="s">
        <v>2092</v>
      </c>
      <c r="H1804" t="s">
        <v>2192</v>
      </c>
      <c r="I1804" t="s">
        <v>3746</v>
      </c>
    </row>
    <row r="1805" spans="1:9" x14ac:dyDescent="0.3">
      <c r="A1805">
        <v>1804</v>
      </c>
      <c r="B1805">
        <v>1804</v>
      </c>
      <c r="C1805" t="s">
        <v>4481</v>
      </c>
      <c r="D1805" t="s">
        <v>51</v>
      </c>
      <c r="E1805" t="s">
        <v>687</v>
      </c>
      <c r="F1805" t="s">
        <v>2004</v>
      </c>
      <c r="G1805" t="s">
        <v>3551</v>
      </c>
      <c r="H1805" t="s">
        <v>3306</v>
      </c>
      <c r="I1805" t="s">
        <v>956</v>
      </c>
    </row>
    <row r="1806" spans="1:9" x14ac:dyDescent="0.3">
      <c r="A1806">
        <v>1805</v>
      </c>
      <c r="B1806">
        <v>1805</v>
      </c>
      <c r="C1806" t="s">
        <v>4482</v>
      </c>
      <c r="D1806" t="s">
        <v>249</v>
      </c>
      <c r="E1806" t="s">
        <v>634</v>
      </c>
      <c r="F1806" t="s">
        <v>201</v>
      </c>
      <c r="G1806" t="s">
        <v>1572</v>
      </c>
      <c r="H1806" t="s">
        <v>3684</v>
      </c>
      <c r="I1806" t="s">
        <v>4057</v>
      </c>
    </row>
    <row r="1807" spans="1:9" x14ac:dyDescent="0.3">
      <c r="A1807">
        <v>1806</v>
      </c>
      <c r="B1807">
        <v>1806</v>
      </c>
      <c r="C1807" t="s">
        <v>4483</v>
      </c>
      <c r="D1807" t="s">
        <v>10</v>
      </c>
      <c r="E1807" t="s">
        <v>345</v>
      </c>
      <c r="F1807" t="s">
        <v>995</v>
      </c>
      <c r="G1807" t="s">
        <v>1671</v>
      </c>
      <c r="H1807" t="s">
        <v>162</v>
      </c>
      <c r="I1807" t="s">
        <v>828</v>
      </c>
    </row>
    <row r="1808" spans="1:9" x14ac:dyDescent="0.3">
      <c r="A1808">
        <v>1807</v>
      </c>
      <c r="B1808">
        <v>1807</v>
      </c>
      <c r="C1808" t="s">
        <v>4484</v>
      </c>
      <c r="D1808" t="s">
        <v>2172</v>
      </c>
      <c r="E1808" t="s">
        <v>11</v>
      </c>
      <c r="F1808" t="s">
        <v>1164</v>
      </c>
      <c r="G1808" t="s">
        <v>4306</v>
      </c>
      <c r="H1808" t="s">
        <v>713</v>
      </c>
      <c r="I1808" t="s">
        <v>1506</v>
      </c>
    </row>
    <row r="1809" spans="1:9" x14ac:dyDescent="0.3">
      <c r="A1809">
        <v>1808</v>
      </c>
      <c r="B1809">
        <v>1808</v>
      </c>
      <c r="C1809" t="s">
        <v>4485</v>
      </c>
      <c r="D1809" t="s">
        <v>51</v>
      </c>
      <c r="E1809" t="s">
        <v>11</v>
      </c>
      <c r="F1809" t="s">
        <v>645</v>
      </c>
      <c r="G1809" t="s">
        <v>3245</v>
      </c>
      <c r="H1809" t="s">
        <v>3430</v>
      </c>
      <c r="I1809" t="s">
        <v>1866</v>
      </c>
    </row>
    <row r="1810" spans="1:9" x14ac:dyDescent="0.3">
      <c r="A1810">
        <v>1809</v>
      </c>
      <c r="B1810">
        <v>1809</v>
      </c>
      <c r="C1810" t="s">
        <v>4486</v>
      </c>
      <c r="D1810" t="s">
        <v>10</v>
      </c>
      <c r="E1810" t="s">
        <v>743</v>
      </c>
      <c r="F1810" t="s">
        <v>3806</v>
      </c>
      <c r="G1810" t="s">
        <v>1857</v>
      </c>
      <c r="H1810" t="s">
        <v>1000</v>
      </c>
      <c r="I1810" t="s">
        <v>2879</v>
      </c>
    </row>
    <row r="1811" spans="1:9" x14ac:dyDescent="0.3">
      <c r="A1811">
        <v>1810</v>
      </c>
      <c r="B1811">
        <v>1810</v>
      </c>
      <c r="C1811" t="s">
        <v>4487</v>
      </c>
      <c r="D1811" t="s">
        <v>205</v>
      </c>
      <c r="E1811" t="s">
        <v>706</v>
      </c>
      <c r="F1811" t="s">
        <v>3583</v>
      </c>
      <c r="G1811" t="s">
        <v>2842</v>
      </c>
      <c r="H1811" t="s">
        <v>2392</v>
      </c>
      <c r="I1811" t="s">
        <v>3571</v>
      </c>
    </row>
    <row r="1812" spans="1:9" x14ac:dyDescent="0.3">
      <c r="A1812">
        <v>1811</v>
      </c>
      <c r="B1812">
        <v>1811</v>
      </c>
      <c r="C1812" t="s">
        <v>4488</v>
      </c>
      <c r="D1812" t="s">
        <v>51</v>
      </c>
      <c r="E1812" t="s">
        <v>11</v>
      </c>
      <c r="F1812" t="s">
        <v>1254</v>
      </c>
      <c r="G1812" t="s">
        <v>3756</v>
      </c>
      <c r="H1812" t="s">
        <v>2454</v>
      </c>
      <c r="I1812" t="s">
        <v>1350</v>
      </c>
    </row>
    <row r="1813" spans="1:9" x14ac:dyDescent="0.3">
      <c r="A1813">
        <v>1812</v>
      </c>
      <c r="B1813">
        <v>1812</v>
      </c>
      <c r="C1813" t="s">
        <v>4489</v>
      </c>
      <c r="D1813" t="s">
        <v>35</v>
      </c>
      <c r="E1813" t="s">
        <v>464</v>
      </c>
      <c r="F1813">
        <v>8</v>
      </c>
      <c r="G1813" t="s">
        <v>3551</v>
      </c>
      <c r="H1813" t="s">
        <v>3626</v>
      </c>
      <c r="I1813" t="s">
        <v>3179</v>
      </c>
    </row>
    <row r="1814" spans="1:9" x14ac:dyDescent="0.3">
      <c r="A1814">
        <v>1813</v>
      </c>
      <c r="B1814">
        <v>1813</v>
      </c>
      <c r="C1814" t="s">
        <v>4490</v>
      </c>
      <c r="D1814" t="s">
        <v>2329</v>
      </c>
      <c r="E1814" t="s">
        <v>726</v>
      </c>
      <c r="F1814" t="s">
        <v>2820</v>
      </c>
      <c r="G1814" t="s">
        <v>1118</v>
      </c>
      <c r="H1814" t="s">
        <v>377</v>
      </c>
      <c r="I1814" t="s">
        <v>3162</v>
      </c>
    </row>
    <row r="1815" spans="1:9" x14ac:dyDescent="0.3">
      <c r="A1815">
        <v>1814</v>
      </c>
      <c r="B1815">
        <v>1814</v>
      </c>
      <c r="C1815" t="s">
        <v>4491</v>
      </c>
      <c r="D1815" t="s">
        <v>10</v>
      </c>
      <c r="E1815" t="s">
        <v>345</v>
      </c>
      <c r="F1815" t="s">
        <v>3321</v>
      </c>
      <c r="G1815" t="s">
        <v>2543</v>
      </c>
      <c r="H1815" t="s">
        <v>1307</v>
      </c>
      <c r="I1815" t="s">
        <v>2860</v>
      </c>
    </row>
    <row r="1816" spans="1:9" x14ac:dyDescent="0.3">
      <c r="A1816">
        <v>1815</v>
      </c>
      <c r="B1816">
        <v>1815</v>
      </c>
      <c r="C1816" t="s">
        <v>4492</v>
      </c>
      <c r="D1816" t="s">
        <v>10</v>
      </c>
      <c r="E1816" t="s">
        <v>706</v>
      </c>
      <c r="F1816" t="s">
        <v>567</v>
      </c>
      <c r="G1816" t="s">
        <v>1857</v>
      </c>
      <c r="H1816" t="s">
        <v>3013</v>
      </c>
      <c r="I1816" t="s">
        <v>2636</v>
      </c>
    </row>
    <row r="1817" spans="1:9" x14ac:dyDescent="0.3">
      <c r="A1817">
        <v>1816</v>
      </c>
      <c r="B1817">
        <v>1816</v>
      </c>
      <c r="C1817" t="s">
        <v>4493</v>
      </c>
      <c r="D1817" t="s">
        <v>51</v>
      </c>
      <c r="E1817" t="s">
        <v>687</v>
      </c>
      <c r="F1817" t="s">
        <v>433</v>
      </c>
      <c r="G1817" t="s">
        <v>3060</v>
      </c>
      <c r="H1817" t="s">
        <v>3199</v>
      </c>
      <c r="I1817" t="s">
        <v>619</v>
      </c>
    </row>
    <row r="1818" spans="1:9" x14ac:dyDescent="0.3">
      <c r="A1818">
        <v>1817</v>
      </c>
      <c r="B1818">
        <v>1817</v>
      </c>
      <c r="C1818" t="s">
        <v>4494</v>
      </c>
      <c r="D1818" t="s">
        <v>10</v>
      </c>
      <c r="E1818" t="s">
        <v>743</v>
      </c>
      <c r="F1818" t="s">
        <v>3557</v>
      </c>
      <c r="G1818" t="s">
        <v>3060</v>
      </c>
      <c r="H1818" t="s">
        <v>3801</v>
      </c>
      <c r="I1818" t="s">
        <v>619</v>
      </c>
    </row>
    <row r="1819" spans="1:9" x14ac:dyDescent="0.3">
      <c r="A1819">
        <v>1818</v>
      </c>
      <c r="B1819">
        <v>1818</v>
      </c>
      <c r="C1819" t="s">
        <v>4495</v>
      </c>
      <c r="D1819" t="s">
        <v>10</v>
      </c>
      <c r="E1819" t="s">
        <v>345</v>
      </c>
      <c r="F1819" t="s">
        <v>4050</v>
      </c>
      <c r="G1819" t="s">
        <v>1716</v>
      </c>
      <c r="H1819" t="s">
        <v>1407</v>
      </c>
      <c r="I1819" t="s">
        <v>392</v>
      </c>
    </row>
    <row r="1820" spans="1:9" x14ac:dyDescent="0.3">
      <c r="A1820">
        <v>1819</v>
      </c>
      <c r="B1820">
        <v>1819</v>
      </c>
      <c r="C1820" t="s">
        <v>4496</v>
      </c>
      <c r="D1820" t="s">
        <v>10</v>
      </c>
      <c r="E1820" t="s">
        <v>706</v>
      </c>
      <c r="F1820" t="s">
        <v>1190</v>
      </c>
      <c r="G1820" t="s">
        <v>3060</v>
      </c>
      <c r="H1820" t="s">
        <v>877</v>
      </c>
      <c r="I1820" t="s">
        <v>3560</v>
      </c>
    </row>
    <row r="1821" spans="1:9" x14ac:dyDescent="0.3">
      <c r="A1821">
        <v>1820</v>
      </c>
      <c r="B1821">
        <v>1820</v>
      </c>
      <c r="C1821" t="s">
        <v>4497</v>
      </c>
      <c r="D1821" t="s">
        <v>458</v>
      </c>
      <c r="E1821" t="s">
        <v>151</v>
      </c>
      <c r="F1821" t="s">
        <v>397</v>
      </c>
      <c r="G1821" t="s">
        <v>1572</v>
      </c>
      <c r="H1821" t="s">
        <v>2860</v>
      </c>
      <c r="I1821" t="s">
        <v>3150</v>
      </c>
    </row>
    <row r="1822" spans="1:9" x14ac:dyDescent="0.3">
      <c r="A1822">
        <v>1821</v>
      </c>
      <c r="B1822">
        <v>1821</v>
      </c>
      <c r="C1822" t="s">
        <v>4498</v>
      </c>
      <c r="D1822" t="s">
        <v>1441</v>
      </c>
      <c r="E1822" t="s">
        <v>98</v>
      </c>
      <c r="F1822" t="s">
        <v>2997</v>
      </c>
      <c r="G1822" t="s">
        <v>1572</v>
      </c>
      <c r="H1822" t="s">
        <v>1308</v>
      </c>
      <c r="I1822" t="s">
        <v>3629</v>
      </c>
    </row>
    <row r="1823" spans="1:9" x14ac:dyDescent="0.3">
      <c r="A1823">
        <v>1822</v>
      </c>
      <c r="B1823">
        <v>1822</v>
      </c>
      <c r="C1823" t="s">
        <v>4499</v>
      </c>
      <c r="D1823" t="s">
        <v>1441</v>
      </c>
      <c r="E1823" t="s">
        <v>23</v>
      </c>
      <c r="F1823" t="s">
        <v>599</v>
      </c>
      <c r="G1823" t="s">
        <v>3467</v>
      </c>
      <c r="H1823" t="s">
        <v>4500</v>
      </c>
      <c r="I1823" t="s">
        <v>3106</v>
      </c>
    </row>
    <row r="1824" spans="1:9" x14ac:dyDescent="0.3">
      <c r="A1824">
        <v>1823</v>
      </c>
      <c r="B1824">
        <v>1823</v>
      </c>
      <c r="C1824" t="s">
        <v>4501</v>
      </c>
      <c r="D1824" t="s">
        <v>51</v>
      </c>
      <c r="E1824" t="s">
        <v>687</v>
      </c>
      <c r="F1824" t="s">
        <v>267</v>
      </c>
      <c r="G1824" t="s">
        <v>3065</v>
      </c>
      <c r="H1824" t="s">
        <v>212</v>
      </c>
      <c r="I1824" t="s">
        <v>4057</v>
      </c>
    </row>
    <row r="1825" spans="1:9" x14ac:dyDescent="0.3">
      <c r="A1825">
        <v>1824</v>
      </c>
      <c r="B1825">
        <v>1824</v>
      </c>
      <c r="C1825" t="s">
        <v>4502</v>
      </c>
      <c r="D1825" t="s">
        <v>10</v>
      </c>
      <c r="E1825" t="s">
        <v>11</v>
      </c>
      <c r="F1825" t="s">
        <v>1949</v>
      </c>
      <c r="G1825" t="s">
        <v>2471</v>
      </c>
      <c r="H1825" t="s">
        <v>3532</v>
      </c>
      <c r="I1825" t="s">
        <v>3646</v>
      </c>
    </row>
    <row r="1826" spans="1:9" x14ac:dyDescent="0.3">
      <c r="A1826">
        <v>1825</v>
      </c>
      <c r="B1826">
        <v>1825</v>
      </c>
      <c r="C1826" t="s">
        <v>4503</v>
      </c>
      <c r="D1826" t="s">
        <v>51</v>
      </c>
      <c r="E1826" t="s">
        <v>11</v>
      </c>
      <c r="F1826" t="s">
        <v>2140</v>
      </c>
      <c r="G1826" t="s">
        <v>3551</v>
      </c>
      <c r="H1826" t="s">
        <v>4504</v>
      </c>
      <c r="I1826" t="s">
        <v>783</v>
      </c>
    </row>
    <row r="1827" spans="1:9" x14ac:dyDescent="0.3">
      <c r="A1827">
        <v>1826</v>
      </c>
      <c r="B1827">
        <v>1826</v>
      </c>
      <c r="C1827" t="s">
        <v>4505</v>
      </c>
      <c r="D1827" t="s">
        <v>1463</v>
      </c>
      <c r="E1827" t="s">
        <v>151</v>
      </c>
      <c r="F1827" t="s">
        <v>3686</v>
      </c>
      <c r="G1827" t="s">
        <v>3551</v>
      </c>
      <c r="H1827" t="s">
        <v>137</v>
      </c>
      <c r="I1827" t="s">
        <v>799</v>
      </c>
    </row>
    <row r="1828" spans="1:9" x14ac:dyDescent="0.3">
      <c r="A1828">
        <v>1827</v>
      </c>
      <c r="B1828">
        <v>1827</v>
      </c>
      <c r="C1828" t="s">
        <v>4506</v>
      </c>
      <c r="D1828" t="s">
        <v>10</v>
      </c>
      <c r="E1828" t="s">
        <v>726</v>
      </c>
      <c r="F1828" t="s">
        <v>501</v>
      </c>
      <c r="G1828" t="s">
        <v>2348</v>
      </c>
      <c r="H1828" t="s">
        <v>2589</v>
      </c>
      <c r="I1828" t="s">
        <v>294</v>
      </c>
    </row>
    <row r="1829" spans="1:9" x14ac:dyDescent="0.3">
      <c r="A1829">
        <v>1828</v>
      </c>
      <c r="B1829">
        <v>1828</v>
      </c>
      <c r="C1829" t="s">
        <v>4507</v>
      </c>
      <c r="D1829" t="s">
        <v>10</v>
      </c>
      <c r="E1829" t="s">
        <v>58</v>
      </c>
      <c r="F1829" t="s">
        <v>1098</v>
      </c>
      <c r="G1829" t="s">
        <v>3843</v>
      </c>
      <c r="H1829" t="s">
        <v>1576</v>
      </c>
      <c r="I1829" t="s">
        <v>783</v>
      </c>
    </row>
    <row r="1830" spans="1:9" x14ac:dyDescent="0.3">
      <c r="A1830">
        <v>1829</v>
      </c>
      <c r="B1830">
        <v>1829</v>
      </c>
      <c r="C1830" t="s">
        <v>4508</v>
      </c>
      <c r="D1830" t="s">
        <v>417</v>
      </c>
      <c r="E1830" t="s">
        <v>232</v>
      </c>
      <c r="F1830" t="s">
        <v>4068</v>
      </c>
      <c r="G1830" t="s">
        <v>2703</v>
      </c>
      <c r="H1830" t="s">
        <v>2601</v>
      </c>
      <c r="I1830" t="s">
        <v>2795</v>
      </c>
    </row>
    <row r="1831" spans="1:9" x14ac:dyDescent="0.3">
      <c r="A1831">
        <v>1830</v>
      </c>
      <c r="B1831">
        <v>1830</v>
      </c>
      <c r="C1831" t="s">
        <v>4509</v>
      </c>
      <c r="D1831" t="s">
        <v>10</v>
      </c>
      <c r="E1831" t="s">
        <v>345</v>
      </c>
      <c r="F1831" t="s">
        <v>1236</v>
      </c>
      <c r="G1831" t="s">
        <v>2376</v>
      </c>
      <c r="H1831" t="s">
        <v>2660</v>
      </c>
      <c r="I1831" t="s">
        <v>239</v>
      </c>
    </row>
    <row r="1832" spans="1:9" x14ac:dyDescent="0.3">
      <c r="A1832">
        <v>1831</v>
      </c>
      <c r="B1832">
        <v>1831</v>
      </c>
      <c r="C1832" t="s">
        <v>4510</v>
      </c>
      <c r="D1832" t="s">
        <v>2172</v>
      </c>
      <c r="E1832" t="s">
        <v>345</v>
      </c>
      <c r="F1832" t="s">
        <v>1042</v>
      </c>
      <c r="G1832" t="s">
        <v>1572</v>
      </c>
      <c r="H1832" t="s">
        <v>3342</v>
      </c>
      <c r="I1832" t="s">
        <v>814</v>
      </c>
    </row>
    <row r="1833" spans="1:9" x14ac:dyDescent="0.3">
      <c r="A1833">
        <v>1832</v>
      </c>
      <c r="B1833">
        <v>1832</v>
      </c>
      <c r="C1833" t="s">
        <v>4511</v>
      </c>
      <c r="D1833" t="s">
        <v>452</v>
      </c>
      <c r="E1833" t="s">
        <v>634</v>
      </c>
      <c r="F1833" t="s">
        <v>1857</v>
      </c>
      <c r="G1833" t="s">
        <v>1556</v>
      </c>
      <c r="H1833" t="s">
        <v>1399</v>
      </c>
      <c r="I1833" t="s">
        <v>905</v>
      </c>
    </row>
    <row r="1834" spans="1:9" x14ac:dyDescent="0.3">
      <c r="A1834">
        <v>1833</v>
      </c>
      <c r="B1834">
        <v>1833</v>
      </c>
      <c r="C1834" t="s">
        <v>4512</v>
      </c>
      <c r="D1834" t="s">
        <v>124</v>
      </c>
      <c r="E1834" t="s">
        <v>634</v>
      </c>
      <c r="F1834" t="s">
        <v>2942</v>
      </c>
      <c r="G1834" t="s">
        <v>3376</v>
      </c>
      <c r="H1834" t="s">
        <v>3505</v>
      </c>
      <c r="I1834" t="s">
        <v>982</v>
      </c>
    </row>
    <row r="1835" spans="1:9" x14ac:dyDescent="0.3">
      <c r="A1835">
        <v>1834</v>
      </c>
      <c r="B1835">
        <v>1834</v>
      </c>
      <c r="C1835" t="s">
        <v>4513</v>
      </c>
      <c r="D1835" t="s">
        <v>452</v>
      </c>
      <c r="E1835" t="s">
        <v>29</v>
      </c>
      <c r="F1835" t="s">
        <v>733</v>
      </c>
      <c r="G1835" t="s">
        <v>1671</v>
      </c>
      <c r="H1835" t="s">
        <v>3111</v>
      </c>
      <c r="I1835" t="s">
        <v>262</v>
      </c>
    </row>
    <row r="1836" spans="1:9" x14ac:dyDescent="0.3">
      <c r="A1836">
        <v>1835</v>
      </c>
      <c r="B1836">
        <v>1835</v>
      </c>
      <c r="C1836" t="s">
        <v>4514</v>
      </c>
      <c r="D1836" t="s">
        <v>51</v>
      </c>
      <c r="E1836" t="s">
        <v>11</v>
      </c>
      <c r="F1836" t="s">
        <v>1399</v>
      </c>
      <c r="G1836" t="s">
        <v>3245</v>
      </c>
      <c r="H1836" t="s">
        <v>4515</v>
      </c>
      <c r="I1836" t="s">
        <v>1249</v>
      </c>
    </row>
    <row r="1837" spans="1:9" x14ac:dyDescent="0.3">
      <c r="A1837">
        <v>1836</v>
      </c>
      <c r="B1837">
        <v>1836</v>
      </c>
      <c r="C1837" t="s">
        <v>4516</v>
      </c>
      <c r="D1837" t="s">
        <v>10</v>
      </c>
      <c r="E1837" t="s">
        <v>345</v>
      </c>
      <c r="F1837" t="s">
        <v>3365</v>
      </c>
      <c r="G1837" t="s">
        <v>2455</v>
      </c>
      <c r="H1837" t="s">
        <v>1892</v>
      </c>
      <c r="I1837" t="s">
        <v>428</v>
      </c>
    </row>
    <row r="1838" spans="1:9" x14ac:dyDescent="0.3">
      <c r="A1838">
        <v>1837</v>
      </c>
      <c r="B1838">
        <v>1837</v>
      </c>
      <c r="C1838" t="s">
        <v>4517</v>
      </c>
      <c r="D1838" t="s">
        <v>696</v>
      </c>
      <c r="E1838" t="s">
        <v>743</v>
      </c>
      <c r="F1838" t="s">
        <v>2904</v>
      </c>
      <c r="G1838" t="s">
        <v>3376</v>
      </c>
      <c r="H1838">
        <v>4</v>
      </c>
      <c r="I1838" t="s">
        <v>3404</v>
      </c>
    </row>
    <row r="1839" spans="1:9" x14ac:dyDescent="0.3">
      <c r="A1839">
        <v>1838</v>
      </c>
      <c r="B1839">
        <v>1838</v>
      </c>
      <c r="C1839" t="s">
        <v>4518</v>
      </c>
      <c r="D1839" t="s">
        <v>417</v>
      </c>
      <c r="E1839" t="s">
        <v>706</v>
      </c>
      <c r="F1839" t="s">
        <v>2173</v>
      </c>
      <c r="G1839" t="s">
        <v>2471</v>
      </c>
      <c r="H1839" t="s">
        <v>4194</v>
      </c>
      <c r="I1839" t="s">
        <v>3017</v>
      </c>
    </row>
    <row r="1840" spans="1:9" x14ac:dyDescent="0.3">
      <c r="A1840">
        <v>1839</v>
      </c>
      <c r="B1840">
        <v>1839</v>
      </c>
      <c r="C1840" t="s">
        <v>4519</v>
      </c>
      <c r="D1840" t="s">
        <v>51</v>
      </c>
      <c r="E1840" t="s">
        <v>634</v>
      </c>
      <c r="F1840" t="s">
        <v>471</v>
      </c>
      <c r="G1840" t="s">
        <v>2842</v>
      </c>
      <c r="H1840" t="s">
        <v>3132</v>
      </c>
      <c r="I1840" t="s">
        <v>1236</v>
      </c>
    </row>
    <row r="1841" spans="1:9" x14ac:dyDescent="0.3">
      <c r="A1841">
        <v>1840</v>
      </c>
      <c r="B1841">
        <v>1840</v>
      </c>
      <c r="C1841" t="s">
        <v>4520</v>
      </c>
      <c r="D1841" t="s">
        <v>35</v>
      </c>
      <c r="E1841" t="s">
        <v>706</v>
      </c>
      <c r="F1841" t="s">
        <v>3017</v>
      </c>
      <c r="G1841" t="s">
        <v>4521</v>
      </c>
      <c r="H1841" t="s">
        <v>2719</v>
      </c>
      <c r="I1841" t="s">
        <v>3155</v>
      </c>
    </row>
    <row r="1842" spans="1:9" x14ac:dyDescent="0.3">
      <c r="A1842">
        <v>1841</v>
      </c>
      <c r="B1842">
        <v>1841</v>
      </c>
      <c r="C1842" t="s">
        <v>4522</v>
      </c>
      <c r="D1842" t="s">
        <v>51</v>
      </c>
      <c r="E1842" t="s">
        <v>11</v>
      </c>
      <c r="F1842" t="s">
        <v>1254</v>
      </c>
      <c r="G1842" t="s">
        <v>3551</v>
      </c>
      <c r="H1842" t="s">
        <v>1518</v>
      </c>
      <c r="I1842" t="s">
        <v>1967</v>
      </c>
    </row>
    <row r="1843" spans="1:9" x14ac:dyDescent="0.3">
      <c r="A1843">
        <v>1842</v>
      </c>
      <c r="B1843">
        <v>1842</v>
      </c>
      <c r="C1843" t="s">
        <v>4523</v>
      </c>
      <c r="D1843" t="s">
        <v>297</v>
      </c>
      <c r="E1843" t="s">
        <v>345</v>
      </c>
      <c r="F1843" t="s">
        <v>1694</v>
      </c>
      <c r="G1843" t="s">
        <v>2376</v>
      </c>
      <c r="H1843" t="s">
        <v>3677</v>
      </c>
      <c r="I1843" t="s">
        <v>3277</v>
      </c>
    </row>
    <row r="1844" spans="1:9" x14ac:dyDescent="0.3">
      <c r="A1844">
        <v>1843</v>
      </c>
      <c r="B1844">
        <v>1843</v>
      </c>
      <c r="C1844" t="s">
        <v>4524</v>
      </c>
      <c r="D1844" t="s">
        <v>51</v>
      </c>
      <c r="E1844" t="s">
        <v>11</v>
      </c>
      <c r="F1844" t="s">
        <v>1128</v>
      </c>
      <c r="G1844" t="s">
        <v>3551</v>
      </c>
      <c r="H1844" t="s">
        <v>1023</v>
      </c>
      <c r="I1844" t="s">
        <v>1164</v>
      </c>
    </row>
    <row r="1845" spans="1:9" x14ac:dyDescent="0.3">
      <c r="A1845">
        <v>1844</v>
      </c>
      <c r="B1845">
        <v>1844</v>
      </c>
      <c r="C1845" t="s">
        <v>4525</v>
      </c>
      <c r="D1845" t="s">
        <v>681</v>
      </c>
      <c r="E1845" t="s">
        <v>706</v>
      </c>
      <c r="F1845" t="s">
        <v>2592</v>
      </c>
      <c r="G1845" t="s">
        <v>2801</v>
      </c>
      <c r="H1845" t="s">
        <v>4225</v>
      </c>
      <c r="I1845" t="s">
        <v>2636</v>
      </c>
    </row>
    <row r="1846" spans="1:9" x14ac:dyDescent="0.3">
      <c r="A1846">
        <v>1845</v>
      </c>
      <c r="B1846">
        <v>1845</v>
      </c>
      <c r="C1846" t="s">
        <v>4526</v>
      </c>
      <c r="D1846" t="s">
        <v>10</v>
      </c>
      <c r="E1846" t="s">
        <v>706</v>
      </c>
      <c r="F1846" t="s">
        <v>3573</v>
      </c>
      <c r="G1846" t="s">
        <v>2455</v>
      </c>
      <c r="H1846">
        <v>1</v>
      </c>
      <c r="I1846" t="s">
        <v>2358</v>
      </c>
    </row>
    <row r="1847" spans="1:9" x14ac:dyDescent="0.3">
      <c r="A1847">
        <v>1846</v>
      </c>
      <c r="B1847">
        <v>1846</v>
      </c>
      <c r="C1847" t="s">
        <v>4527</v>
      </c>
      <c r="D1847" t="s">
        <v>70</v>
      </c>
      <c r="E1847" t="s">
        <v>11</v>
      </c>
      <c r="F1847" t="s">
        <v>1866</v>
      </c>
      <c r="G1847" t="s">
        <v>2850</v>
      </c>
      <c r="H1847" t="s">
        <v>1378</v>
      </c>
      <c r="I1847" t="s">
        <v>1268</v>
      </c>
    </row>
    <row r="1848" spans="1:9" x14ac:dyDescent="0.3">
      <c r="A1848">
        <v>1847</v>
      </c>
      <c r="B1848">
        <v>1847</v>
      </c>
      <c r="C1848" t="s">
        <v>4528</v>
      </c>
      <c r="D1848" t="s">
        <v>51</v>
      </c>
      <c r="E1848" t="s">
        <v>792</v>
      </c>
      <c r="F1848" t="s">
        <v>3053</v>
      </c>
      <c r="G1848" t="s">
        <v>3245</v>
      </c>
      <c r="H1848" t="s">
        <v>1693</v>
      </c>
      <c r="I1848" t="s">
        <v>1118</v>
      </c>
    </row>
    <row r="1849" spans="1:9" x14ac:dyDescent="0.3">
      <c r="A1849">
        <v>1848</v>
      </c>
      <c r="B1849">
        <v>1848</v>
      </c>
      <c r="C1849" t="s">
        <v>4529</v>
      </c>
      <c r="D1849" t="s">
        <v>10</v>
      </c>
      <c r="E1849" t="s">
        <v>634</v>
      </c>
      <c r="F1849" t="s">
        <v>3344</v>
      </c>
      <c r="G1849" t="s">
        <v>2417</v>
      </c>
      <c r="H1849" t="s">
        <v>1645</v>
      </c>
      <c r="I1849" t="s">
        <v>1152</v>
      </c>
    </row>
    <row r="1850" spans="1:9" x14ac:dyDescent="0.3">
      <c r="A1850">
        <v>1849</v>
      </c>
      <c r="B1850">
        <v>1849</v>
      </c>
      <c r="C1850" t="s">
        <v>4530</v>
      </c>
      <c r="D1850" t="s">
        <v>35</v>
      </c>
      <c r="E1850" t="s">
        <v>464</v>
      </c>
      <c r="F1850" t="s">
        <v>3774</v>
      </c>
      <c r="G1850" t="s">
        <v>2842</v>
      </c>
      <c r="H1850" t="s">
        <v>413</v>
      </c>
      <c r="I1850" t="s">
        <v>294</v>
      </c>
    </row>
    <row r="1851" spans="1:9" x14ac:dyDescent="0.3">
      <c r="A1851">
        <v>1850</v>
      </c>
      <c r="B1851">
        <v>1850</v>
      </c>
      <c r="C1851" t="s">
        <v>4531</v>
      </c>
      <c r="D1851" t="s">
        <v>2925</v>
      </c>
      <c r="E1851" t="s">
        <v>11</v>
      </c>
      <c r="F1851" t="s">
        <v>728</v>
      </c>
      <c r="G1851" t="s">
        <v>2842</v>
      </c>
      <c r="H1851" t="s">
        <v>4532</v>
      </c>
      <c r="I1851" t="s">
        <v>1350</v>
      </c>
    </row>
    <row r="1852" spans="1:9" x14ac:dyDescent="0.3">
      <c r="A1852">
        <v>1851</v>
      </c>
      <c r="B1852">
        <v>1851</v>
      </c>
      <c r="C1852" t="s">
        <v>4533</v>
      </c>
      <c r="D1852" t="s">
        <v>51</v>
      </c>
      <c r="E1852" t="s">
        <v>174</v>
      </c>
      <c r="F1852" t="s">
        <v>4194</v>
      </c>
      <c r="G1852" t="s">
        <v>2092</v>
      </c>
      <c r="H1852" t="s">
        <v>3696</v>
      </c>
      <c r="I1852" t="s">
        <v>614</v>
      </c>
    </row>
    <row r="1853" spans="1:9" x14ac:dyDescent="0.3">
      <c r="A1853">
        <v>1852</v>
      </c>
      <c r="B1853">
        <v>1852</v>
      </c>
      <c r="C1853" t="s">
        <v>4534</v>
      </c>
      <c r="D1853" t="s">
        <v>10</v>
      </c>
      <c r="E1853" t="s">
        <v>23</v>
      </c>
      <c r="F1853" t="s">
        <v>3742</v>
      </c>
      <c r="G1853" t="s">
        <v>3060</v>
      </c>
      <c r="H1853">
        <v>3</v>
      </c>
      <c r="I1853" t="s">
        <v>2460</v>
      </c>
    </row>
    <row r="1854" spans="1:9" x14ac:dyDescent="0.3">
      <c r="A1854">
        <v>1853</v>
      </c>
      <c r="B1854">
        <v>1853</v>
      </c>
      <c r="C1854" t="s">
        <v>4535</v>
      </c>
      <c r="D1854" t="s">
        <v>10</v>
      </c>
      <c r="E1854" t="s">
        <v>29</v>
      </c>
      <c r="F1854" t="s">
        <v>873</v>
      </c>
      <c r="G1854" t="s">
        <v>1995</v>
      </c>
      <c r="H1854" t="s">
        <v>2904</v>
      </c>
      <c r="I1854" t="s">
        <v>2355</v>
      </c>
    </row>
    <row r="1855" spans="1:9" x14ac:dyDescent="0.3">
      <c r="A1855">
        <v>1854</v>
      </c>
      <c r="B1855">
        <v>1854</v>
      </c>
      <c r="C1855" t="s">
        <v>4536</v>
      </c>
      <c r="D1855" t="s">
        <v>10</v>
      </c>
      <c r="E1855" t="s">
        <v>232</v>
      </c>
      <c r="F1855" t="s">
        <v>717</v>
      </c>
      <c r="G1855" t="s">
        <v>1572</v>
      </c>
      <c r="H1855" t="s">
        <v>2888</v>
      </c>
      <c r="I1855" t="s">
        <v>2350</v>
      </c>
    </row>
    <row r="1856" spans="1:9" x14ac:dyDescent="0.3">
      <c r="A1856">
        <v>1855</v>
      </c>
      <c r="B1856">
        <v>1855</v>
      </c>
      <c r="C1856" t="s">
        <v>4537</v>
      </c>
      <c r="D1856" t="s">
        <v>51</v>
      </c>
      <c r="E1856" t="s">
        <v>11</v>
      </c>
      <c r="F1856" t="s">
        <v>1128</v>
      </c>
      <c r="G1856" t="s">
        <v>3551</v>
      </c>
      <c r="H1856" t="s">
        <v>1296</v>
      </c>
      <c r="I1856" t="s">
        <v>1217</v>
      </c>
    </row>
    <row r="1857" spans="1:9" x14ac:dyDescent="0.3">
      <c r="A1857">
        <v>1856</v>
      </c>
      <c r="B1857">
        <v>1856</v>
      </c>
      <c r="C1857" t="s">
        <v>4538</v>
      </c>
      <c r="D1857" t="s">
        <v>3359</v>
      </c>
      <c r="E1857" t="s">
        <v>243</v>
      </c>
      <c r="F1857" t="s">
        <v>356</v>
      </c>
      <c r="G1857" t="s">
        <v>2850</v>
      </c>
      <c r="H1857" t="s">
        <v>2917</v>
      </c>
      <c r="I1857" t="s">
        <v>1286</v>
      </c>
    </row>
    <row r="1858" spans="1:9" x14ac:dyDescent="0.3">
      <c r="A1858">
        <v>1857</v>
      </c>
      <c r="B1858">
        <v>1857</v>
      </c>
      <c r="C1858" t="s">
        <v>4539</v>
      </c>
      <c r="D1858" t="s">
        <v>205</v>
      </c>
      <c r="E1858" t="s">
        <v>52</v>
      </c>
      <c r="F1858" t="s">
        <v>2633</v>
      </c>
      <c r="G1858" t="s">
        <v>1995</v>
      </c>
      <c r="H1858" t="s">
        <v>3285</v>
      </c>
      <c r="I1858" t="s">
        <v>3068</v>
      </c>
    </row>
    <row r="1859" spans="1:9" x14ac:dyDescent="0.3">
      <c r="A1859">
        <v>1858</v>
      </c>
      <c r="B1859">
        <v>1858</v>
      </c>
      <c r="C1859" t="s">
        <v>4540</v>
      </c>
      <c r="D1859" t="s">
        <v>51</v>
      </c>
      <c r="E1859" t="s">
        <v>11</v>
      </c>
      <c r="F1859" t="s">
        <v>1254</v>
      </c>
      <c r="G1859" t="s">
        <v>3245</v>
      </c>
      <c r="H1859">
        <v>16</v>
      </c>
      <c r="I1859" t="s">
        <v>1364</v>
      </c>
    </row>
    <row r="1860" spans="1:9" x14ac:dyDescent="0.3">
      <c r="A1860">
        <v>1859</v>
      </c>
      <c r="B1860">
        <v>1859</v>
      </c>
      <c r="C1860" t="s">
        <v>4541</v>
      </c>
      <c r="D1860" t="s">
        <v>10</v>
      </c>
      <c r="E1860" t="s">
        <v>706</v>
      </c>
      <c r="F1860" t="s">
        <v>2058</v>
      </c>
      <c r="G1860" t="s">
        <v>2940</v>
      </c>
      <c r="H1860" t="s">
        <v>1936</v>
      </c>
      <c r="I1860" t="s">
        <v>3078</v>
      </c>
    </row>
    <row r="1861" spans="1:9" x14ac:dyDescent="0.3">
      <c r="A1861">
        <v>1860</v>
      </c>
      <c r="B1861">
        <v>1860</v>
      </c>
      <c r="C1861" t="s">
        <v>4542</v>
      </c>
      <c r="D1861" t="s">
        <v>51</v>
      </c>
      <c r="E1861" t="s">
        <v>11</v>
      </c>
      <c r="F1861" t="s">
        <v>1202</v>
      </c>
      <c r="G1861">
        <v>0</v>
      </c>
      <c r="H1861" t="s">
        <v>872</v>
      </c>
      <c r="I1861" t="s">
        <v>933</v>
      </c>
    </row>
    <row r="1862" spans="1:9" x14ac:dyDescent="0.3">
      <c r="A1862">
        <v>1861</v>
      </c>
      <c r="B1862">
        <v>1861</v>
      </c>
      <c r="C1862" t="s">
        <v>4543</v>
      </c>
      <c r="D1862" t="s">
        <v>4544</v>
      </c>
      <c r="E1862" t="s">
        <v>58</v>
      </c>
      <c r="F1862" t="s">
        <v>433</v>
      </c>
      <c r="G1862" t="s">
        <v>2471</v>
      </c>
      <c r="H1862" t="s">
        <v>2468</v>
      </c>
      <c r="I1862" t="s">
        <v>1068</v>
      </c>
    </row>
    <row r="1863" spans="1:9" x14ac:dyDescent="0.3">
      <c r="A1863">
        <v>1862</v>
      </c>
      <c r="B1863">
        <v>1862</v>
      </c>
      <c r="C1863" t="s">
        <v>4545</v>
      </c>
      <c r="D1863" t="s">
        <v>35</v>
      </c>
      <c r="E1863" t="s">
        <v>365</v>
      </c>
      <c r="F1863" t="s">
        <v>1641</v>
      </c>
      <c r="G1863" t="s">
        <v>1572</v>
      </c>
      <c r="H1863" t="s">
        <v>347</v>
      </c>
      <c r="I1863" t="s">
        <v>692</v>
      </c>
    </row>
    <row r="1864" spans="1:9" x14ac:dyDescent="0.3">
      <c r="A1864">
        <v>1863</v>
      </c>
      <c r="B1864">
        <v>1863</v>
      </c>
      <c r="C1864" t="s">
        <v>4546</v>
      </c>
      <c r="D1864" t="s">
        <v>10</v>
      </c>
      <c r="E1864" t="s">
        <v>634</v>
      </c>
      <c r="F1864" t="s">
        <v>3367</v>
      </c>
      <c r="G1864" t="s">
        <v>4306</v>
      </c>
      <c r="H1864" t="s">
        <v>2636</v>
      </c>
      <c r="I1864" t="s">
        <v>547</v>
      </c>
    </row>
    <row r="1865" spans="1:9" x14ac:dyDescent="0.3">
      <c r="A1865">
        <v>1864</v>
      </c>
      <c r="B1865">
        <v>1864</v>
      </c>
      <c r="C1865" t="s">
        <v>4547</v>
      </c>
      <c r="D1865" t="s">
        <v>3273</v>
      </c>
      <c r="E1865" t="s">
        <v>464</v>
      </c>
      <c r="F1865" t="s">
        <v>2643</v>
      </c>
      <c r="G1865" t="s">
        <v>2842</v>
      </c>
      <c r="H1865" t="s">
        <v>851</v>
      </c>
      <c r="I1865" t="s">
        <v>1568</v>
      </c>
    </row>
    <row r="1866" spans="1:9" x14ac:dyDescent="0.3">
      <c r="A1866">
        <v>1865</v>
      </c>
      <c r="B1866">
        <v>1865</v>
      </c>
      <c r="C1866" t="s">
        <v>4548</v>
      </c>
      <c r="D1866" t="s">
        <v>1992</v>
      </c>
      <c r="E1866" t="s">
        <v>11</v>
      </c>
      <c r="F1866" t="s">
        <v>3573</v>
      </c>
      <c r="G1866" t="s">
        <v>2009</v>
      </c>
      <c r="H1866" t="s">
        <v>1709</v>
      </c>
      <c r="I1866" t="s">
        <v>3236</v>
      </c>
    </row>
    <row r="1867" spans="1:9" x14ac:dyDescent="0.3">
      <c r="A1867">
        <v>1866</v>
      </c>
      <c r="B1867">
        <v>1866</v>
      </c>
      <c r="C1867" t="s">
        <v>4549</v>
      </c>
      <c r="D1867" t="s">
        <v>10</v>
      </c>
      <c r="E1867" t="s">
        <v>232</v>
      </c>
      <c r="F1867" t="s">
        <v>1967</v>
      </c>
      <c r="G1867" t="s">
        <v>2471</v>
      </c>
      <c r="H1867">
        <v>1</v>
      </c>
      <c r="I1867" t="s">
        <v>162</v>
      </c>
    </row>
    <row r="1868" spans="1:9" x14ac:dyDescent="0.3">
      <c r="A1868">
        <v>1867</v>
      </c>
      <c r="B1868">
        <v>1867</v>
      </c>
      <c r="C1868" t="s">
        <v>4550</v>
      </c>
      <c r="D1868" t="s">
        <v>51</v>
      </c>
      <c r="E1868" t="s">
        <v>58</v>
      </c>
      <c r="F1868" t="s">
        <v>865</v>
      </c>
      <c r="G1868" t="s">
        <v>3245</v>
      </c>
      <c r="H1868" t="s">
        <v>19</v>
      </c>
      <c r="I1868" t="s">
        <v>2455</v>
      </c>
    </row>
    <row r="1869" spans="1:9" x14ac:dyDescent="0.3">
      <c r="A1869">
        <v>1868</v>
      </c>
      <c r="B1869">
        <v>1868</v>
      </c>
      <c r="C1869" t="s">
        <v>4551</v>
      </c>
      <c r="D1869" t="s">
        <v>452</v>
      </c>
      <c r="E1869" t="s">
        <v>29</v>
      </c>
      <c r="F1869" t="s">
        <v>4057</v>
      </c>
      <c r="G1869" t="s">
        <v>2982</v>
      </c>
      <c r="H1869" t="s">
        <v>196</v>
      </c>
      <c r="I1869" t="s">
        <v>3874</v>
      </c>
    </row>
    <row r="1870" spans="1:9" x14ac:dyDescent="0.3">
      <c r="A1870">
        <v>1869</v>
      </c>
      <c r="B1870">
        <v>1869</v>
      </c>
      <c r="C1870" t="s">
        <v>4552</v>
      </c>
      <c r="D1870" t="s">
        <v>124</v>
      </c>
      <c r="E1870" t="s">
        <v>64</v>
      </c>
      <c r="F1870" t="s">
        <v>3340</v>
      </c>
      <c r="G1870" t="s">
        <v>3551</v>
      </c>
      <c r="H1870" t="s">
        <v>1552</v>
      </c>
      <c r="I1870" t="s">
        <v>576</v>
      </c>
    </row>
    <row r="1871" spans="1:9" x14ac:dyDescent="0.3">
      <c r="A1871">
        <v>1870</v>
      </c>
      <c r="B1871">
        <v>1870</v>
      </c>
      <c r="C1871" t="s">
        <v>4553</v>
      </c>
      <c r="D1871" t="s">
        <v>10</v>
      </c>
      <c r="E1871" t="s">
        <v>232</v>
      </c>
      <c r="F1871" t="s">
        <v>783</v>
      </c>
      <c r="G1871" t="s">
        <v>2376</v>
      </c>
      <c r="H1871" t="s">
        <v>788</v>
      </c>
      <c r="I1871" t="s">
        <v>3378</v>
      </c>
    </row>
    <row r="1872" spans="1:9" x14ac:dyDescent="0.3">
      <c r="A1872">
        <v>1871</v>
      </c>
      <c r="B1872">
        <v>1871</v>
      </c>
      <c r="C1872" t="s">
        <v>4554</v>
      </c>
      <c r="D1872" t="s">
        <v>401</v>
      </c>
      <c r="E1872" t="s">
        <v>232</v>
      </c>
      <c r="F1872" t="s">
        <v>1995</v>
      </c>
      <c r="G1872" t="s">
        <v>1286</v>
      </c>
      <c r="H1872" t="s">
        <v>1737</v>
      </c>
      <c r="I1872" t="s">
        <v>1949</v>
      </c>
    </row>
    <row r="1873" spans="1:9" x14ac:dyDescent="0.3">
      <c r="A1873">
        <v>1872</v>
      </c>
      <c r="B1873">
        <v>1872</v>
      </c>
      <c r="C1873" t="s">
        <v>4555</v>
      </c>
      <c r="D1873" t="s">
        <v>10</v>
      </c>
      <c r="E1873" t="s">
        <v>58</v>
      </c>
      <c r="F1873" t="s">
        <v>673</v>
      </c>
      <c r="G1873" t="s">
        <v>2471</v>
      </c>
      <c r="H1873" t="s">
        <v>2654</v>
      </c>
      <c r="I1873" t="s">
        <v>2589</v>
      </c>
    </row>
    <row r="1874" spans="1:9" x14ac:dyDescent="0.3">
      <c r="A1874">
        <v>1873</v>
      </c>
      <c r="B1874">
        <v>1873</v>
      </c>
      <c r="C1874" t="s">
        <v>4556</v>
      </c>
      <c r="D1874" t="s">
        <v>124</v>
      </c>
      <c r="E1874" t="s">
        <v>58</v>
      </c>
      <c r="F1874" t="s">
        <v>1128</v>
      </c>
      <c r="G1874" t="s">
        <v>1506</v>
      </c>
      <c r="H1874" t="s">
        <v>3626</v>
      </c>
      <c r="I1874" t="s">
        <v>3864</v>
      </c>
    </row>
    <row r="1875" spans="1:9" x14ac:dyDescent="0.3">
      <c r="A1875">
        <v>1874</v>
      </c>
      <c r="B1875">
        <v>1874</v>
      </c>
      <c r="C1875" t="s">
        <v>4557</v>
      </c>
      <c r="D1875" t="s">
        <v>737</v>
      </c>
      <c r="E1875" t="s">
        <v>365</v>
      </c>
      <c r="F1875" t="s">
        <v>1012</v>
      </c>
      <c r="G1875" t="s">
        <v>3060</v>
      </c>
      <c r="H1875" t="s">
        <v>3365</v>
      </c>
      <c r="I1875" t="s">
        <v>3059</v>
      </c>
    </row>
    <row r="1876" spans="1:9" x14ac:dyDescent="0.3">
      <c r="A1876">
        <v>1875</v>
      </c>
      <c r="B1876">
        <v>1875</v>
      </c>
      <c r="C1876" t="s">
        <v>4558</v>
      </c>
      <c r="D1876" t="s">
        <v>35</v>
      </c>
      <c r="E1876" t="s">
        <v>715</v>
      </c>
      <c r="F1876" t="s">
        <v>2699</v>
      </c>
      <c r="G1876" t="s">
        <v>4559</v>
      </c>
      <c r="H1876" t="s">
        <v>2518</v>
      </c>
      <c r="I1876" t="s">
        <v>2471</v>
      </c>
    </row>
    <row r="1877" spans="1:9" x14ac:dyDescent="0.3">
      <c r="A1877">
        <v>1876</v>
      </c>
      <c r="B1877">
        <v>1876</v>
      </c>
      <c r="C1877" t="s">
        <v>4560</v>
      </c>
      <c r="D1877" t="s">
        <v>2364</v>
      </c>
      <c r="E1877" t="s">
        <v>11</v>
      </c>
      <c r="F1877" t="s">
        <v>754</v>
      </c>
      <c r="G1877" t="s">
        <v>3376</v>
      </c>
      <c r="H1877" t="s">
        <v>2107</v>
      </c>
      <c r="I1877" t="s">
        <v>3199</v>
      </c>
    </row>
    <row r="1878" spans="1:9" x14ac:dyDescent="0.3">
      <c r="A1878">
        <v>1877</v>
      </c>
      <c r="B1878">
        <v>1877</v>
      </c>
      <c r="C1878" t="s">
        <v>4561</v>
      </c>
      <c r="D1878" t="s">
        <v>35</v>
      </c>
      <c r="E1878" t="s">
        <v>345</v>
      </c>
      <c r="F1878" t="s">
        <v>1607</v>
      </c>
      <c r="G1878" t="s">
        <v>3060</v>
      </c>
      <c r="H1878" t="s">
        <v>2121</v>
      </c>
      <c r="I1878" t="s">
        <v>361</v>
      </c>
    </row>
    <row r="1879" spans="1:9" x14ac:dyDescent="0.3">
      <c r="A1879">
        <v>1878</v>
      </c>
      <c r="B1879">
        <v>1878</v>
      </c>
      <c r="C1879" t="s">
        <v>4562</v>
      </c>
      <c r="D1879" t="s">
        <v>51</v>
      </c>
      <c r="E1879" t="s">
        <v>510</v>
      </c>
      <c r="F1879" t="s">
        <v>3505</v>
      </c>
      <c r="G1879" t="s">
        <v>3065</v>
      </c>
      <c r="H1879" t="s">
        <v>2253</v>
      </c>
      <c r="I1879" t="s">
        <v>3768</v>
      </c>
    </row>
    <row r="1880" spans="1:9" x14ac:dyDescent="0.3">
      <c r="A1880">
        <v>1879</v>
      </c>
      <c r="B1880">
        <v>1879</v>
      </c>
      <c r="C1880" t="s">
        <v>4563</v>
      </c>
      <c r="D1880" t="s">
        <v>1441</v>
      </c>
      <c r="E1880" t="s">
        <v>151</v>
      </c>
      <c r="F1880">
        <v>1</v>
      </c>
      <c r="G1880" t="s">
        <v>1741</v>
      </c>
      <c r="H1880" t="s">
        <v>3557</v>
      </c>
      <c r="I1880" t="s">
        <v>828</v>
      </c>
    </row>
    <row r="1881" spans="1:9" x14ac:dyDescent="0.3">
      <c r="A1881">
        <v>1880</v>
      </c>
      <c r="B1881">
        <v>1880</v>
      </c>
      <c r="C1881" t="s">
        <v>4564</v>
      </c>
      <c r="D1881" t="s">
        <v>51</v>
      </c>
      <c r="E1881" t="s">
        <v>634</v>
      </c>
      <c r="F1881" t="s">
        <v>547</v>
      </c>
      <c r="G1881" t="s">
        <v>3680</v>
      </c>
      <c r="H1881" t="s">
        <v>2549</v>
      </c>
      <c r="I1881" t="s">
        <v>2860</v>
      </c>
    </row>
    <row r="1882" spans="1:9" x14ac:dyDescent="0.3">
      <c r="A1882">
        <v>1881</v>
      </c>
      <c r="B1882">
        <v>1881</v>
      </c>
      <c r="C1882" t="s">
        <v>4565</v>
      </c>
      <c r="D1882" t="s">
        <v>10</v>
      </c>
      <c r="E1882" t="s">
        <v>130</v>
      </c>
      <c r="F1882" t="s">
        <v>2986</v>
      </c>
      <c r="G1882" t="s">
        <v>2455</v>
      </c>
      <c r="H1882" t="s">
        <v>2795</v>
      </c>
      <c r="I1882" t="s">
        <v>833</v>
      </c>
    </row>
    <row r="1883" spans="1:9" x14ac:dyDescent="0.3">
      <c r="A1883">
        <v>1882</v>
      </c>
      <c r="B1883">
        <v>1882</v>
      </c>
      <c r="C1883" t="s">
        <v>4566</v>
      </c>
      <c r="D1883" t="s">
        <v>249</v>
      </c>
      <c r="E1883" t="s">
        <v>715</v>
      </c>
      <c r="F1883" t="s">
        <v>1399</v>
      </c>
      <c r="G1883" t="s">
        <v>1716</v>
      </c>
      <c r="H1883" t="s">
        <v>1694</v>
      </c>
      <c r="I1883" t="s">
        <v>3703</v>
      </c>
    </row>
    <row r="1884" spans="1:9" x14ac:dyDescent="0.3">
      <c r="A1884">
        <v>1883</v>
      </c>
      <c r="B1884">
        <v>1883</v>
      </c>
      <c r="C1884" t="s">
        <v>4567</v>
      </c>
      <c r="D1884" t="s">
        <v>2172</v>
      </c>
      <c r="E1884" t="s">
        <v>58</v>
      </c>
      <c r="F1884" t="s">
        <v>640</v>
      </c>
      <c r="G1884" t="s">
        <v>3376</v>
      </c>
      <c r="H1884" t="s">
        <v>4568</v>
      </c>
      <c r="I1884" t="s">
        <v>1259</v>
      </c>
    </row>
    <row r="1885" spans="1:9" x14ac:dyDescent="0.3">
      <c r="A1885">
        <v>1884</v>
      </c>
      <c r="B1885">
        <v>1884</v>
      </c>
      <c r="C1885" t="s">
        <v>4569</v>
      </c>
      <c r="D1885" t="s">
        <v>10</v>
      </c>
      <c r="E1885" t="s">
        <v>706</v>
      </c>
      <c r="F1885" t="s">
        <v>3475</v>
      </c>
      <c r="G1885" t="s">
        <v>1995</v>
      </c>
      <c r="H1885" t="s">
        <v>2788</v>
      </c>
      <c r="I1885" t="s">
        <v>3285</v>
      </c>
    </row>
    <row r="1886" spans="1:9" x14ac:dyDescent="0.3">
      <c r="A1886">
        <v>1885</v>
      </c>
      <c r="B1886">
        <v>1885</v>
      </c>
      <c r="C1886" t="s">
        <v>4570</v>
      </c>
      <c r="D1886" t="s">
        <v>10</v>
      </c>
      <c r="E1886" t="s">
        <v>98</v>
      </c>
      <c r="F1886" t="s">
        <v>3199</v>
      </c>
      <c r="G1886" t="s">
        <v>2975</v>
      </c>
      <c r="H1886" t="s">
        <v>3710</v>
      </c>
      <c r="I1886" t="s">
        <v>2537</v>
      </c>
    </row>
    <row r="1887" spans="1:9" x14ac:dyDescent="0.3">
      <c r="A1887">
        <v>1886</v>
      </c>
      <c r="B1887">
        <v>1886</v>
      </c>
      <c r="C1887" t="s">
        <v>4571</v>
      </c>
      <c r="D1887" t="s">
        <v>10</v>
      </c>
      <c r="E1887" t="s">
        <v>706</v>
      </c>
      <c r="F1887" t="s">
        <v>683</v>
      </c>
      <c r="G1887" t="s">
        <v>3843</v>
      </c>
      <c r="H1887" t="s">
        <v>2186</v>
      </c>
      <c r="I1887" t="s">
        <v>3075</v>
      </c>
    </row>
    <row r="1888" spans="1:9" x14ac:dyDescent="0.3">
      <c r="A1888">
        <v>1887</v>
      </c>
      <c r="B1888">
        <v>1887</v>
      </c>
      <c r="C1888" t="s">
        <v>4572</v>
      </c>
      <c r="D1888" t="s">
        <v>124</v>
      </c>
      <c r="E1888" t="s">
        <v>464</v>
      </c>
      <c r="F1888" t="s">
        <v>2811</v>
      </c>
      <c r="G1888" t="s">
        <v>2667</v>
      </c>
      <c r="H1888" t="s">
        <v>367</v>
      </c>
      <c r="I1888" t="s">
        <v>1399</v>
      </c>
    </row>
    <row r="1889" spans="1:9" x14ac:dyDescent="0.3">
      <c r="A1889">
        <v>1888</v>
      </c>
      <c r="B1889">
        <v>1888</v>
      </c>
      <c r="C1889" t="s">
        <v>4573</v>
      </c>
      <c r="D1889" t="s">
        <v>10</v>
      </c>
      <c r="E1889" t="s">
        <v>29</v>
      </c>
      <c r="F1889" t="s">
        <v>1345</v>
      </c>
      <c r="G1889" t="s">
        <v>1716</v>
      </c>
      <c r="H1889" t="s">
        <v>331</v>
      </c>
      <c r="I1889" t="s">
        <v>3011</v>
      </c>
    </row>
    <row r="1890" spans="1:9" x14ac:dyDescent="0.3">
      <c r="A1890">
        <v>1889</v>
      </c>
      <c r="B1890">
        <v>1889</v>
      </c>
      <c r="C1890" t="s">
        <v>4574</v>
      </c>
      <c r="D1890" t="s">
        <v>51</v>
      </c>
      <c r="E1890" t="s">
        <v>11</v>
      </c>
      <c r="F1890" t="s">
        <v>1330</v>
      </c>
      <c r="G1890" t="s">
        <v>3245</v>
      </c>
      <c r="H1890" t="s">
        <v>4575</v>
      </c>
      <c r="I1890" t="s">
        <v>1182</v>
      </c>
    </row>
    <row r="1891" spans="1:9" x14ac:dyDescent="0.3">
      <c r="A1891">
        <v>1890</v>
      </c>
      <c r="B1891">
        <v>1890</v>
      </c>
      <c r="C1891" t="s">
        <v>4576</v>
      </c>
      <c r="D1891" t="s">
        <v>10</v>
      </c>
      <c r="E1891" t="s">
        <v>345</v>
      </c>
      <c r="F1891" t="s">
        <v>196</v>
      </c>
      <c r="G1891" t="s">
        <v>2682</v>
      </c>
      <c r="H1891" t="s">
        <v>89</v>
      </c>
      <c r="I1891" t="s">
        <v>1225</v>
      </c>
    </row>
    <row r="1892" spans="1:9" x14ac:dyDescent="0.3">
      <c r="A1892">
        <v>1891</v>
      </c>
      <c r="B1892">
        <v>1891</v>
      </c>
      <c r="C1892" t="s">
        <v>4577</v>
      </c>
      <c r="D1892" t="s">
        <v>51</v>
      </c>
      <c r="E1892" t="s">
        <v>174</v>
      </c>
      <c r="F1892" t="s">
        <v>733</v>
      </c>
      <c r="G1892" t="s">
        <v>2975</v>
      </c>
      <c r="H1892" t="s">
        <v>476</v>
      </c>
      <c r="I1892" t="s">
        <v>2190</v>
      </c>
    </row>
    <row r="1893" spans="1:9" x14ac:dyDescent="0.3">
      <c r="A1893">
        <v>1892</v>
      </c>
      <c r="B1893">
        <v>1892</v>
      </c>
      <c r="C1893" t="s">
        <v>4578</v>
      </c>
      <c r="D1893" t="s">
        <v>1441</v>
      </c>
      <c r="E1893" t="s">
        <v>11</v>
      </c>
      <c r="F1893" t="s">
        <v>1521</v>
      </c>
      <c r="G1893" t="s">
        <v>3233</v>
      </c>
      <c r="H1893" t="s">
        <v>4579</v>
      </c>
      <c r="I1893" t="s">
        <v>973</v>
      </c>
    </row>
    <row r="1894" spans="1:9" x14ac:dyDescent="0.3">
      <c r="A1894">
        <v>1893</v>
      </c>
      <c r="B1894">
        <v>1893</v>
      </c>
      <c r="C1894" t="s">
        <v>4580</v>
      </c>
      <c r="D1894" t="s">
        <v>216</v>
      </c>
      <c r="E1894" t="s">
        <v>11</v>
      </c>
      <c r="F1894" t="s">
        <v>1038</v>
      </c>
      <c r="G1894" t="s">
        <v>3843</v>
      </c>
      <c r="H1894" t="s">
        <v>4581</v>
      </c>
      <c r="I1894" t="s">
        <v>767</v>
      </c>
    </row>
    <row r="1895" spans="1:9" x14ac:dyDescent="0.3">
      <c r="A1895">
        <v>1894</v>
      </c>
      <c r="B1895">
        <v>1894</v>
      </c>
      <c r="C1895" t="s">
        <v>4582</v>
      </c>
      <c r="D1895" t="s">
        <v>51</v>
      </c>
      <c r="E1895" t="s">
        <v>64</v>
      </c>
      <c r="F1895" t="s">
        <v>4293</v>
      </c>
      <c r="G1895" t="s">
        <v>3065</v>
      </c>
      <c r="H1895" t="s">
        <v>4225</v>
      </c>
      <c r="I1895" t="s">
        <v>3926</v>
      </c>
    </row>
    <row r="1896" spans="1:9" x14ac:dyDescent="0.3">
      <c r="A1896">
        <v>1895</v>
      </c>
      <c r="B1896">
        <v>1895</v>
      </c>
      <c r="C1896" t="s">
        <v>4583</v>
      </c>
      <c r="D1896" t="s">
        <v>249</v>
      </c>
      <c r="E1896" t="s">
        <v>687</v>
      </c>
      <c r="F1896" t="s">
        <v>2872</v>
      </c>
      <c r="G1896" t="s">
        <v>2092</v>
      </c>
      <c r="H1896" t="s">
        <v>3643</v>
      </c>
      <c r="I1896" t="s">
        <v>3620</v>
      </c>
    </row>
    <row r="1897" spans="1:9" x14ac:dyDescent="0.3">
      <c r="A1897">
        <v>1896</v>
      </c>
      <c r="B1897">
        <v>1896</v>
      </c>
      <c r="C1897" t="s">
        <v>4584</v>
      </c>
      <c r="D1897" t="s">
        <v>35</v>
      </c>
      <c r="E1897" t="s">
        <v>726</v>
      </c>
      <c r="F1897" t="s">
        <v>2197</v>
      </c>
      <c r="G1897" t="s">
        <v>2092</v>
      </c>
      <c r="H1897" t="s">
        <v>153</v>
      </c>
      <c r="I1897" t="s">
        <v>448</v>
      </c>
    </row>
    <row r="1898" spans="1:9" x14ac:dyDescent="0.3">
      <c r="A1898">
        <v>1897</v>
      </c>
      <c r="B1898">
        <v>1897</v>
      </c>
      <c r="C1898" t="s">
        <v>4585</v>
      </c>
      <c r="D1898" t="s">
        <v>51</v>
      </c>
      <c r="E1898" t="s">
        <v>11</v>
      </c>
      <c r="F1898" t="s">
        <v>1737</v>
      </c>
      <c r="G1898" t="s">
        <v>2975</v>
      </c>
      <c r="H1898" t="s">
        <v>881</v>
      </c>
      <c r="I1898" t="s">
        <v>1128</v>
      </c>
    </row>
    <row r="1899" spans="1:9" x14ac:dyDescent="0.3">
      <c r="A1899">
        <v>1898</v>
      </c>
      <c r="B1899">
        <v>1898</v>
      </c>
      <c r="C1899" t="s">
        <v>4586</v>
      </c>
      <c r="D1899" t="s">
        <v>216</v>
      </c>
      <c r="E1899" t="s">
        <v>345</v>
      </c>
      <c r="F1899" t="s">
        <v>387</v>
      </c>
      <c r="G1899" t="s">
        <v>3060</v>
      </c>
      <c r="H1899" t="s">
        <v>2854</v>
      </c>
      <c r="I1899" t="s">
        <v>501</v>
      </c>
    </row>
    <row r="1900" spans="1:9" x14ac:dyDescent="0.3">
      <c r="A1900">
        <v>1899</v>
      </c>
      <c r="B1900">
        <v>1899</v>
      </c>
      <c r="C1900" t="s">
        <v>4587</v>
      </c>
      <c r="D1900" t="s">
        <v>1441</v>
      </c>
      <c r="E1900" t="s">
        <v>52</v>
      </c>
      <c r="F1900" t="s">
        <v>581</v>
      </c>
      <c r="G1900" t="s">
        <v>1857</v>
      </c>
      <c r="H1900" t="s">
        <v>3583</v>
      </c>
      <c r="I1900" t="s">
        <v>2772</v>
      </c>
    </row>
    <row r="1901" spans="1:9" x14ac:dyDescent="0.3">
      <c r="A1901">
        <v>1900</v>
      </c>
      <c r="B1901">
        <v>1900</v>
      </c>
      <c r="C1901" t="s">
        <v>4588</v>
      </c>
      <c r="D1901" t="s">
        <v>51</v>
      </c>
      <c r="E1901" t="s">
        <v>634</v>
      </c>
      <c r="F1901" t="s">
        <v>3481</v>
      </c>
      <c r="G1901" t="s">
        <v>3245</v>
      </c>
      <c r="H1901" t="s">
        <v>4589</v>
      </c>
      <c r="I1901" t="s">
        <v>1029</v>
      </c>
    </row>
    <row r="1902" spans="1:9" x14ac:dyDescent="0.3">
      <c r="A1902">
        <v>1901</v>
      </c>
      <c r="B1902">
        <v>1901</v>
      </c>
      <c r="C1902" t="s">
        <v>4590</v>
      </c>
      <c r="D1902" t="s">
        <v>10</v>
      </c>
      <c r="E1902" t="s">
        <v>11</v>
      </c>
      <c r="F1902" t="s">
        <v>799</v>
      </c>
      <c r="G1902" t="s">
        <v>2092</v>
      </c>
      <c r="H1902" t="s">
        <v>1626</v>
      </c>
      <c r="I1902" t="s">
        <v>2820</v>
      </c>
    </row>
    <row r="1903" spans="1:9" x14ac:dyDescent="0.3">
      <c r="A1903">
        <v>1902</v>
      </c>
      <c r="B1903">
        <v>1902</v>
      </c>
      <c r="C1903" t="s">
        <v>4591</v>
      </c>
      <c r="D1903" t="s">
        <v>737</v>
      </c>
      <c r="E1903" t="s">
        <v>11</v>
      </c>
      <c r="F1903" t="s">
        <v>1268</v>
      </c>
      <c r="G1903" t="s">
        <v>1995</v>
      </c>
      <c r="H1903" t="s">
        <v>1558</v>
      </c>
      <c r="I1903" t="s">
        <v>3068</v>
      </c>
    </row>
    <row r="1904" spans="1:9" x14ac:dyDescent="0.3">
      <c r="A1904">
        <v>1903</v>
      </c>
      <c r="B1904">
        <v>1903</v>
      </c>
      <c r="C1904" t="s">
        <v>4592</v>
      </c>
      <c r="D1904" t="s">
        <v>205</v>
      </c>
      <c r="E1904" t="s">
        <v>345</v>
      </c>
      <c r="F1904" t="s">
        <v>728</v>
      </c>
      <c r="G1904" t="s">
        <v>2471</v>
      </c>
      <c r="H1904" t="s">
        <v>3277</v>
      </c>
      <c r="I1904" t="s">
        <v>547</v>
      </c>
    </row>
    <row r="1905" spans="1:9" x14ac:dyDescent="0.3">
      <c r="A1905">
        <v>1904</v>
      </c>
      <c r="B1905">
        <v>1904</v>
      </c>
      <c r="C1905" t="s">
        <v>4593</v>
      </c>
      <c r="D1905" t="s">
        <v>35</v>
      </c>
      <c r="E1905" t="s">
        <v>634</v>
      </c>
      <c r="F1905" t="s">
        <v>1225</v>
      </c>
      <c r="G1905" t="s">
        <v>2455</v>
      </c>
      <c r="H1905" t="s">
        <v>2589</v>
      </c>
      <c r="I1905" t="s">
        <v>3132</v>
      </c>
    </row>
    <row r="1906" spans="1:9" x14ac:dyDescent="0.3">
      <c r="A1906">
        <v>1905</v>
      </c>
      <c r="B1906">
        <v>1905</v>
      </c>
      <c r="C1906" t="s">
        <v>4594</v>
      </c>
      <c r="D1906" t="s">
        <v>417</v>
      </c>
      <c r="E1906" t="s">
        <v>98</v>
      </c>
      <c r="F1906" t="s">
        <v>2096</v>
      </c>
      <c r="G1906" t="s">
        <v>1830</v>
      </c>
      <c r="H1906" t="s">
        <v>1494</v>
      </c>
      <c r="I1906" t="s">
        <v>2178</v>
      </c>
    </row>
    <row r="1907" spans="1:9" x14ac:dyDescent="0.3">
      <c r="A1907">
        <v>1906</v>
      </c>
      <c r="B1907">
        <v>1906</v>
      </c>
      <c r="C1907" t="s">
        <v>4595</v>
      </c>
      <c r="D1907" t="s">
        <v>51</v>
      </c>
      <c r="E1907" t="s">
        <v>792</v>
      </c>
      <c r="F1907" t="s">
        <v>4596</v>
      </c>
      <c r="G1907" t="s">
        <v>4306</v>
      </c>
      <c r="H1907" t="s">
        <v>2926</v>
      </c>
      <c r="I1907" t="s">
        <v>1671</v>
      </c>
    </row>
    <row r="1908" spans="1:9" x14ac:dyDescent="0.3">
      <c r="A1908">
        <v>1907</v>
      </c>
      <c r="B1908">
        <v>1907</v>
      </c>
      <c r="C1908" t="s">
        <v>4597</v>
      </c>
      <c r="D1908" t="s">
        <v>10</v>
      </c>
      <c r="E1908" t="s">
        <v>151</v>
      </c>
      <c r="F1908" t="s">
        <v>2369</v>
      </c>
      <c r="G1908" t="s">
        <v>1335</v>
      </c>
      <c r="H1908" t="s">
        <v>191</v>
      </c>
      <c r="I1908" t="s">
        <v>512</v>
      </c>
    </row>
    <row r="1909" spans="1:9" x14ac:dyDescent="0.3">
      <c r="A1909">
        <v>1908</v>
      </c>
      <c r="B1909">
        <v>1908</v>
      </c>
      <c r="C1909" t="s">
        <v>4598</v>
      </c>
      <c r="D1909" t="s">
        <v>10</v>
      </c>
      <c r="E1909" t="s">
        <v>11</v>
      </c>
      <c r="F1909" t="s">
        <v>1268</v>
      </c>
      <c r="G1909" t="s">
        <v>2801</v>
      </c>
      <c r="H1909" t="s">
        <v>2195</v>
      </c>
      <c r="I1909" t="s">
        <v>3703</v>
      </c>
    </row>
    <row r="1910" spans="1:9" x14ac:dyDescent="0.3">
      <c r="A1910">
        <v>1909</v>
      </c>
      <c r="B1910">
        <v>1909</v>
      </c>
      <c r="C1910" t="s">
        <v>4599</v>
      </c>
      <c r="D1910" t="s">
        <v>10</v>
      </c>
      <c r="E1910" t="s">
        <v>365</v>
      </c>
      <c r="F1910" t="s">
        <v>2815</v>
      </c>
      <c r="G1910">
        <v>0</v>
      </c>
      <c r="H1910" t="s">
        <v>267</v>
      </c>
      <c r="I1910" t="s">
        <v>624</v>
      </c>
    </row>
    <row r="1911" spans="1:9" x14ac:dyDescent="0.3">
      <c r="A1911">
        <v>1910</v>
      </c>
      <c r="B1911">
        <v>1910</v>
      </c>
      <c r="C1911" t="s">
        <v>4600</v>
      </c>
      <c r="D1911" t="s">
        <v>51</v>
      </c>
      <c r="E1911" t="s">
        <v>11</v>
      </c>
      <c r="F1911" t="s">
        <v>1111</v>
      </c>
      <c r="G1911" t="s">
        <v>2703</v>
      </c>
      <c r="H1911" t="s">
        <v>4601</v>
      </c>
      <c r="I1911" t="s">
        <v>1202</v>
      </c>
    </row>
    <row r="1912" spans="1:9" x14ac:dyDescent="0.3">
      <c r="A1912">
        <v>1911</v>
      </c>
      <c r="B1912">
        <v>1911</v>
      </c>
      <c r="C1912" t="s">
        <v>4602</v>
      </c>
      <c r="D1912" t="s">
        <v>51</v>
      </c>
      <c r="E1912" t="s">
        <v>232</v>
      </c>
      <c r="F1912" t="s">
        <v>1152</v>
      </c>
      <c r="G1912" t="s">
        <v>2092</v>
      </c>
      <c r="H1912" t="s">
        <v>3083</v>
      </c>
      <c r="I1912" t="s">
        <v>3017</v>
      </c>
    </row>
    <row r="1913" spans="1:9" x14ac:dyDescent="0.3">
      <c r="A1913">
        <v>1912</v>
      </c>
      <c r="B1913">
        <v>1912</v>
      </c>
      <c r="C1913" t="s">
        <v>4603</v>
      </c>
      <c r="D1913" t="s">
        <v>1632</v>
      </c>
      <c r="E1913" t="s">
        <v>11</v>
      </c>
      <c r="F1913" t="s">
        <v>576</v>
      </c>
      <c r="G1913" t="s">
        <v>2801</v>
      </c>
      <c r="H1913" t="s">
        <v>3040</v>
      </c>
      <c r="I1913" t="s">
        <v>1474</v>
      </c>
    </row>
    <row r="1914" spans="1:9" x14ac:dyDescent="0.3">
      <c r="A1914">
        <v>1913</v>
      </c>
      <c r="B1914">
        <v>1913</v>
      </c>
      <c r="C1914" t="s">
        <v>4604</v>
      </c>
      <c r="D1914" t="s">
        <v>657</v>
      </c>
      <c r="E1914" t="s">
        <v>792</v>
      </c>
      <c r="F1914" t="s">
        <v>3083</v>
      </c>
      <c r="G1914" t="s">
        <v>3843</v>
      </c>
      <c r="H1914" t="s">
        <v>3934</v>
      </c>
      <c r="I1914" t="s">
        <v>3162</v>
      </c>
    </row>
    <row r="1915" spans="1:9" x14ac:dyDescent="0.3">
      <c r="A1915">
        <v>1914</v>
      </c>
      <c r="B1915">
        <v>1914</v>
      </c>
      <c r="C1915" t="s">
        <v>4605</v>
      </c>
      <c r="D1915" t="s">
        <v>452</v>
      </c>
      <c r="E1915" t="s">
        <v>634</v>
      </c>
      <c r="F1915" t="s">
        <v>772</v>
      </c>
      <c r="G1915" t="s">
        <v>3680</v>
      </c>
      <c r="H1915" t="s">
        <v>1776</v>
      </c>
      <c r="I1915" t="s">
        <v>3973</v>
      </c>
    </row>
    <row r="1916" spans="1:9" x14ac:dyDescent="0.3">
      <c r="A1916">
        <v>1915</v>
      </c>
      <c r="B1916">
        <v>1915</v>
      </c>
      <c r="C1916" t="s">
        <v>4606</v>
      </c>
      <c r="D1916" t="s">
        <v>657</v>
      </c>
      <c r="E1916" t="s">
        <v>151</v>
      </c>
      <c r="F1916">
        <v>2</v>
      </c>
      <c r="G1916" t="s">
        <v>2471</v>
      </c>
      <c r="H1916" t="s">
        <v>2995</v>
      </c>
      <c r="I1916" t="s">
        <v>2466</v>
      </c>
    </row>
    <row r="1917" spans="1:9" x14ac:dyDescent="0.3">
      <c r="A1917">
        <v>1916</v>
      </c>
      <c r="B1917">
        <v>1916</v>
      </c>
      <c r="C1917" t="s">
        <v>4607</v>
      </c>
      <c r="D1917" t="s">
        <v>70</v>
      </c>
      <c r="E1917" t="s">
        <v>11</v>
      </c>
      <c r="F1917" t="s">
        <v>1474</v>
      </c>
      <c r="G1917" t="s">
        <v>2850</v>
      </c>
      <c r="H1917" t="s">
        <v>1007</v>
      </c>
      <c r="I1917" t="s">
        <v>3893</v>
      </c>
    </row>
    <row r="1918" spans="1:9" x14ac:dyDescent="0.3">
      <c r="A1918">
        <v>1917</v>
      </c>
      <c r="B1918">
        <v>1917</v>
      </c>
      <c r="C1918" t="s">
        <v>4608</v>
      </c>
      <c r="D1918" t="s">
        <v>452</v>
      </c>
      <c r="E1918" t="s">
        <v>58</v>
      </c>
      <c r="F1918" t="s">
        <v>1768</v>
      </c>
      <c r="G1918" t="s">
        <v>3065</v>
      </c>
      <c r="H1918" t="s">
        <v>3807</v>
      </c>
      <c r="I1918" t="s">
        <v>2520</v>
      </c>
    </row>
    <row r="1919" spans="1:9" x14ac:dyDescent="0.3">
      <c r="A1919">
        <v>1918</v>
      </c>
      <c r="B1919">
        <v>1918</v>
      </c>
      <c r="C1919" t="s">
        <v>4609</v>
      </c>
      <c r="D1919" t="s">
        <v>51</v>
      </c>
      <c r="E1919" t="s">
        <v>11</v>
      </c>
      <c r="F1919" t="s">
        <v>1330</v>
      </c>
      <c r="G1919" t="s">
        <v>3245</v>
      </c>
      <c r="H1919" t="s">
        <v>782</v>
      </c>
      <c r="I1919" t="s">
        <v>506</v>
      </c>
    </row>
    <row r="1920" spans="1:9" x14ac:dyDescent="0.3">
      <c r="A1920">
        <v>1919</v>
      </c>
      <c r="B1920">
        <v>1919</v>
      </c>
      <c r="C1920" t="s">
        <v>4610</v>
      </c>
      <c r="D1920" t="s">
        <v>35</v>
      </c>
      <c r="E1920" t="s">
        <v>365</v>
      </c>
      <c r="F1920" t="s">
        <v>2282</v>
      </c>
      <c r="G1920" t="s">
        <v>1506</v>
      </c>
      <c r="H1920" t="s">
        <v>3344</v>
      </c>
      <c r="I1920" t="s">
        <v>2192</v>
      </c>
    </row>
    <row r="1921" spans="1:9" x14ac:dyDescent="0.3">
      <c r="A1921">
        <v>1920</v>
      </c>
      <c r="B1921">
        <v>1920</v>
      </c>
      <c r="C1921" t="s">
        <v>4611</v>
      </c>
      <c r="D1921" t="s">
        <v>10</v>
      </c>
      <c r="E1921" t="s">
        <v>345</v>
      </c>
      <c r="F1921" t="s">
        <v>3893</v>
      </c>
      <c r="G1921" t="s">
        <v>1857</v>
      </c>
      <c r="H1921" t="s">
        <v>3422</v>
      </c>
      <c r="I1921" t="s">
        <v>331</v>
      </c>
    </row>
    <row r="1922" spans="1:9" x14ac:dyDescent="0.3">
      <c r="A1922">
        <v>1921</v>
      </c>
      <c r="B1922">
        <v>1921</v>
      </c>
      <c r="C1922" t="s">
        <v>4612</v>
      </c>
      <c r="D1922" t="s">
        <v>10</v>
      </c>
      <c r="E1922" t="s">
        <v>174</v>
      </c>
      <c r="F1922" t="s">
        <v>3875</v>
      </c>
      <c r="G1922">
        <v>0</v>
      </c>
      <c r="H1922" t="s">
        <v>3404</v>
      </c>
      <c r="I1922" t="s">
        <v>3289</v>
      </c>
    </row>
    <row r="1923" spans="1:9" x14ac:dyDescent="0.3">
      <c r="A1923">
        <v>1922</v>
      </c>
      <c r="B1923">
        <v>1922</v>
      </c>
      <c r="C1923" t="s">
        <v>4613</v>
      </c>
      <c r="D1923" t="s">
        <v>1172</v>
      </c>
      <c r="E1923" t="s">
        <v>151</v>
      </c>
      <c r="F1923" t="s">
        <v>576</v>
      </c>
      <c r="G1923" t="s">
        <v>1716</v>
      </c>
      <c r="H1923" t="s">
        <v>3176</v>
      </c>
      <c r="I1923" t="s">
        <v>3667</v>
      </c>
    </row>
    <row r="1924" spans="1:9" x14ac:dyDescent="0.3">
      <c r="A1924">
        <v>1923</v>
      </c>
      <c r="B1924">
        <v>1923</v>
      </c>
      <c r="C1924" t="s">
        <v>4614</v>
      </c>
      <c r="D1924" t="s">
        <v>10</v>
      </c>
      <c r="E1924" t="s">
        <v>11</v>
      </c>
      <c r="F1924" t="s">
        <v>973</v>
      </c>
      <c r="G1924" t="s">
        <v>2455</v>
      </c>
      <c r="H1924" t="s">
        <v>2301</v>
      </c>
      <c r="I1924" t="s">
        <v>542</v>
      </c>
    </row>
    <row r="1925" spans="1:9" x14ac:dyDescent="0.3">
      <c r="A1925">
        <v>1924</v>
      </c>
      <c r="B1925">
        <v>1924</v>
      </c>
      <c r="C1925" t="s">
        <v>4615</v>
      </c>
      <c r="D1925" t="s">
        <v>51</v>
      </c>
      <c r="E1925" t="s">
        <v>130</v>
      </c>
      <c r="F1925" t="s">
        <v>143</v>
      </c>
      <c r="G1925" t="s">
        <v>2801</v>
      </c>
      <c r="H1925" t="s">
        <v>2689</v>
      </c>
      <c r="I1925" t="s">
        <v>3475</v>
      </c>
    </row>
    <row r="1926" spans="1:9" x14ac:dyDescent="0.3">
      <c r="A1926">
        <v>1925</v>
      </c>
      <c r="B1926">
        <v>1925</v>
      </c>
      <c r="C1926" t="s">
        <v>4616</v>
      </c>
      <c r="D1926" t="s">
        <v>10</v>
      </c>
      <c r="E1926" t="s">
        <v>250</v>
      </c>
      <c r="F1926" t="s">
        <v>1359</v>
      </c>
      <c r="G1926" t="s">
        <v>2842</v>
      </c>
      <c r="H1926" t="s">
        <v>995</v>
      </c>
      <c r="I1926" t="s">
        <v>1896</v>
      </c>
    </row>
    <row r="1927" spans="1:9" x14ac:dyDescent="0.3">
      <c r="A1927">
        <v>1926</v>
      </c>
      <c r="B1927">
        <v>1926</v>
      </c>
      <c r="C1927" t="s">
        <v>4617</v>
      </c>
      <c r="D1927" t="s">
        <v>10</v>
      </c>
      <c r="E1927" t="s">
        <v>64</v>
      </c>
      <c r="F1927" t="s">
        <v>272</v>
      </c>
      <c r="G1927" t="s">
        <v>1995</v>
      </c>
      <c r="H1927" t="s">
        <v>2636</v>
      </c>
      <c r="I1927" t="s">
        <v>788</v>
      </c>
    </row>
    <row r="1928" spans="1:9" x14ac:dyDescent="0.3">
      <c r="A1928">
        <v>1927</v>
      </c>
      <c r="B1928">
        <v>1927</v>
      </c>
      <c r="C1928" t="s">
        <v>4618</v>
      </c>
      <c r="D1928" t="s">
        <v>2925</v>
      </c>
      <c r="E1928" t="s">
        <v>11</v>
      </c>
      <c r="F1928" t="s">
        <v>1568</v>
      </c>
      <c r="G1928" t="s">
        <v>4306</v>
      </c>
      <c r="H1928" t="s">
        <v>4619</v>
      </c>
      <c r="I1928" t="s">
        <v>1012</v>
      </c>
    </row>
    <row r="1929" spans="1:9" x14ac:dyDescent="0.3">
      <c r="A1929">
        <v>1928</v>
      </c>
      <c r="B1929">
        <v>1928</v>
      </c>
      <c r="C1929" t="s">
        <v>4620</v>
      </c>
      <c r="D1929" t="s">
        <v>51</v>
      </c>
      <c r="E1929" t="s">
        <v>130</v>
      </c>
      <c r="F1929" t="s">
        <v>2568</v>
      </c>
      <c r="G1929" t="s">
        <v>3741</v>
      </c>
      <c r="H1929" t="s">
        <v>3626</v>
      </c>
      <c r="I1929" t="s">
        <v>799</v>
      </c>
    </row>
    <row r="1930" spans="1:9" x14ac:dyDescent="0.3">
      <c r="A1930">
        <v>1929</v>
      </c>
      <c r="B1930">
        <v>1929</v>
      </c>
      <c r="C1930" t="s">
        <v>4621</v>
      </c>
      <c r="D1930" t="s">
        <v>10</v>
      </c>
      <c r="E1930" t="s">
        <v>98</v>
      </c>
      <c r="F1930" t="s">
        <v>1364</v>
      </c>
      <c r="G1930" t="s">
        <v>4252</v>
      </c>
      <c r="H1930" t="s">
        <v>2466</v>
      </c>
      <c r="I1930" t="s">
        <v>2659</v>
      </c>
    </row>
    <row r="1931" spans="1:9" x14ac:dyDescent="0.3">
      <c r="A1931">
        <v>1930</v>
      </c>
      <c r="B1931">
        <v>1930</v>
      </c>
      <c r="C1931" t="s">
        <v>4622</v>
      </c>
      <c r="D1931" t="s">
        <v>10</v>
      </c>
      <c r="E1931" t="s">
        <v>23</v>
      </c>
      <c r="F1931" t="s">
        <v>4057</v>
      </c>
      <c r="G1931" t="s">
        <v>3060</v>
      </c>
      <c r="H1931" t="s">
        <v>614</v>
      </c>
      <c r="I1931" t="s">
        <v>1936</v>
      </c>
    </row>
    <row r="1932" spans="1:9" x14ac:dyDescent="0.3">
      <c r="A1932">
        <v>1931</v>
      </c>
      <c r="B1932">
        <v>1931</v>
      </c>
      <c r="C1932" t="s">
        <v>4623</v>
      </c>
      <c r="D1932" t="s">
        <v>249</v>
      </c>
      <c r="E1932" t="s">
        <v>726</v>
      </c>
      <c r="F1932" t="s">
        <v>3451</v>
      </c>
      <c r="G1932" t="s">
        <v>2376</v>
      </c>
      <c r="H1932" t="s">
        <v>3344</v>
      </c>
      <c r="I1932" t="s">
        <v>873</v>
      </c>
    </row>
    <row r="1933" spans="1:9" x14ac:dyDescent="0.3">
      <c r="A1933">
        <v>1932</v>
      </c>
      <c r="B1933">
        <v>1932</v>
      </c>
      <c r="C1933" t="s">
        <v>4624</v>
      </c>
      <c r="D1933" t="s">
        <v>216</v>
      </c>
      <c r="E1933" t="s">
        <v>687</v>
      </c>
      <c r="F1933" t="s">
        <v>947</v>
      </c>
      <c r="G1933" t="s">
        <v>2376</v>
      </c>
      <c r="H1933" t="s">
        <v>1000</v>
      </c>
      <c r="I1933" t="s">
        <v>4194</v>
      </c>
    </row>
    <row r="1934" spans="1:9" x14ac:dyDescent="0.3">
      <c r="A1934">
        <v>1933</v>
      </c>
      <c r="B1934">
        <v>1933</v>
      </c>
      <c r="C1934" t="s">
        <v>4625</v>
      </c>
      <c r="D1934" t="s">
        <v>35</v>
      </c>
      <c r="E1934" t="s">
        <v>726</v>
      </c>
      <c r="F1934" t="s">
        <v>3690</v>
      </c>
      <c r="G1934" t="s">
        <v>1577</v>
      </c>
      <c r="H1934" t="s">
        <v>2518</v>
      </c>
      <c r="I1934" t="s">
        <v>2882</v>
      </c>
    </row>
    <row r="1935" spans="1:9" x14ac:dyDescent="0.3">
      <c r="A1935">
        <v>1934</v>
      </c>
      <c r="B1935">
        <v>1934</v>
      </c>
      <c r="C1935" t="s">
        <v>4626</v>
      </c>
      <c r="D1935" t="s">
        <v>2672</v>
      </c>
      <c r="E1935" t="s">
        <v>130</v>
      </c>
      <c r="F1935" t="s">
        <v>2860</v>
      </c>
      <c r="G1935" t="s">
        <v>1716</v>
      </c>
      <c r="H1935" t="s">
        <v>481</v>
      </c>
      <c r="I1935" t="s">
        <v>2173</v>
      </c>
    </row>
    <row r="1936" spans="1:9" x14ac:dyDescent="0.3">
      <c r="A1936">
        <v>1935</v>
      </c>
      <c r="B1936">
        <v>1935</v>
      </c>
      <c r="C1936" t="s">
        <v>4627</v>
      </c>
      <c r="D1936" t="s">
        <v>10</v>
      </c>
      <c r="E1936" t="s">
        <v>250</v>
      </c>
      <c r="F1936" t="s">
        <v>448</v>
      </c>
      <c r="G1936" t="s">
        <v>3741</v>
      </c>
      <c r="H1936" t="s">
        <v>833</v>
      </c>
      <c r="I1936" t="s">
        <v>4596</v>
      </c>
    </row>
    <row r="1937" spans="1:9" x14ac:dyDescent="0.3">
      <c r="A1937">
        <v>1936</v>
      </c>
      <c r="B1937">
        <v>1936</v>
      </c>
      <c r="C1937" t="s">
        <v>4628</v>
      </c>
      <c r="D1937" t="s">
        <v>51</v>
      </c>
      <c r="E1937" t="s">
        <v>11</v>
      </c>
      <c r="F1937" t="s">
        <v>1768</v>
      </c>
      <c r="G1937" t="s">
        <v>3245</v>
      </c>
      <c r="H1937" t="s">
        <v>4629</v>
      </c>
      <c r="I1937" t="s">
        <v>552</v>
      </c>
    </row>
    <row r="1938" spans="1:9" x14ac:dyDescent="0.3">
      <c r="A1938">
        <v>1937</v>
      </c>
      <c r="B1938">
        <v>1937</v>
      </c>
      <c r="C1938" t="s">
        <v>4630</v>
      </c>
      <c r="D1938" t="s">
        <v>436</v>
      </c>
      <c r="E1938" t="s">
        <v>11</v>
      </c>
      <c r="F1938" t="s">
        <v>1137</v>
      </c>
      <c r="G1938" t="s">
        <v>3376</v>
      </c>
      <c r="H1938" t="s">
        <v>4631</v>
      </c>
      <c r="I1938" t="s">
        <v>3620</v>
      </c>
    </row>
    <row r="1939" spans="1:9" x14ac:dyDescent="0.3">
      <c r="A1939">
        <v>1938</v>
      </c>
      <c r="B1939">
        <v>1938</v>
      </c>
      <c r="C1939" t="s">
        <v>4632</v>
      </c>
      <c r="D1939" t="s">
        <v>10</v>
      </c>
      <c r="E1939" t="s">
        <v>11</v>
      </c>
      <c r="F1939" t="s">
        <v>397</v>
      </c>
      <c r="G1939" t="s">
        <v>3843</v>
      </c>
      <c r="H1939" t="s">
        <v>4633</v>
      </c>
      <c r="I1939" t="s">
        <v>4057</v>
      </c>
    </row>
    <row r="1940" spans="1:9" x14ac:dyDescent="0.3">
      <c r="A1940">
        <v>1939</v>
      </c>
      <c r="B1940">
        <v>1939</v>
      </c>
      <c r="C1940" t="s">
        <v>4634</v>
      </c>
      <c r="D1940" t="s">
        <v>10</v>
      </c>
      <c r="E1940" t="s">
        <v>743</v>
      </c>
      <c r="F1940" t="s">
        <v>3801</v>
      </c>
      <c r="G1940" t="s">
        <v>1572</v>
      </c>
      <c r="H1940" t="s">
        <v>3864</v>
      </c>
      <c r="I1940">
        <v>3</v>
      </c>
    </row>
    <row r="1941" spans="1:9" x14ac:dyDescent="0.3">
      <c r="A1941">
        <v>1940</v>
      </c>
      <c r="B1941">
        <v>1940</v>
      </c>
      <c r="C1941" t="s">
        <v>4635</v>
      </c>
      <c r="D1941" t="s">
        <v>70</v>
      </c>
      <c r="E1941" t="s">
        <v>11</v>
      </c>
      <c r="F1941" t="s">
        <v>1521</v>
      </c>
      <c r="G1941" t="s">
        <v>3376</v>
      </c>
      <c r="H1941" t="s">
        <v>4636</v>
      </c>
      <c r="I1941" t="s">
        <v>2005</v>
      </c>
    </row>
    <row r="1942" spans="1:9" x14ac:dyDescent="0.3">
      <c r="A1942">
        <v>1941</v>
      </c>
      <c r="B1942">
        <v>1941</v>
      </c>
      <c r="C1942" t="s">
        <v>4637</v>
      </c>
      <c r="D1942" t="s">
        <v>737</v>
      </c>
      <c r="E1942" t="s">
        <v>11</v>
      </c>
      <c r="F1942" t="s">
        <v>1286</v>
      </c>
      <c r="G1942" t="s">
        <v>2455</v>
      </c>
      <c r="H1942" t="s">
        <v>1770</v>
      </c>
      <c r="I1942" t="s">
        <v>670</v>
      </c>
    </row>
    <row r="1943" spans="1:9" x14ac:dyDescent="0.3">
      <c r="A1943">
        <v>1942</v>
      </c>
      <c r="B1943">
        <v>1942</v>
      </c>
      <c r="C1943" t="s">
        <v>4638</v>
      </c>
      <c r="D1943" t="s">
        <v>458</v>
      </c>
      <c r="E1943" t="s">
        <v>52</v>
      </c>
      <c r="F1943" t="s">
        <v>3083</v>
      </c>
      <c r="G1943" t="s">
        <v>2801</v>
      </c>
      <c r="H1943" t="s">
        <v>471</v>
      </c>
      <c r="I1943" t="s">
        <v>1737</v>
      </c>
    </row>
    <row r="1944" spans="1:9" x14ac:dyDescent="0.3">
      <c r="A1944">
        <v>1943</v>
      </c>
      <c r="B1944">
        <v>1943</v>
      </c>
      <c r="C1944" t="s">
        <v>4639</v>
      </c>
      <c r="D1944" t="s">
        <v>2329</v>
      </c>
      <c r="E1944" t="s">
        <v>52</v>
      </c>
      <c r="F1944" t="s">
        <v>448</v>
      </c>
      <c r="G1944" t="s">
        <v>1716</v>
      </c>
      <c r="H1944" t="s">
        <v>3449</v>
      </c>
      <c r="I1944" t="s">
        <v>3002</v>
      </c>
    </row>
    <row r="1945" spans="1:9" x14ac:dyDescent="0.3">
      <c r="A1945">
        <v>1944</v>
      </c>
      <c r="B1945">
        <v>1944</v>
      </c>
      <c r="C1945" t="s">
        <v>4640</v>
      </c>
      <c r="D1945" t="s">
        <v>4641</v>
      </c>
      <c r="E1945" t="s">
        <v>634</v>
      </c>
      <c r="F1945" t="s">
        <v>1857</v>
      </c>
      <c r="G1945" t="s">
        <v>1995</v>
      </c>
      <c r="H1945" t="s">
        <v>915</v>
      </c>
      <c r="I1945" t="s">
        <v>3629</v>
      </c>
    </row>
    <row r="1946" spans="1:9" x14ac:dyDescent="0.3">
      <c r="A1946">
        <v>1945</v>
      </c>
      <c r="B1946">
        <v>1945</v>
      </c>
      <c r="C1946" t="s">
        <v>4642</v>
      </c>
      <c r="D1946" t="s">
        <v>10</v>
      </c>
      <c r="E1946" t="s">
        <v>11</v>
      </c>
      <c r="F1946" t="s">
        <v>1268</v>
      </c>
      <c r="G1946" t="s">
        <v>2455</v>
      </c>
      <c r="H1946" t="s">
        <v>2784</v>
      </c>
      <c r="I1946" t="s">
        <v>702</v>
      </c>
    </row>
    <row r="1947" spans="1:9" x14ac:dyDescent="0.3">
      <c r="A1947">
        <v>1946</v>
      </c>
      <c r="B1947">
        <v>1946</v>
      </c>
      <c r="C1947" t="s">
        <v>4643</v>
      </c>
      <c r="D1947" t="s">
        <v>51</v>
      </c>
      <c r="E1947" t="s">
        <v>11</v>
      </c>
      <c r="F1947" t="s">
        <v>2096</v>
      </c>
      <c r="G1947" t="s">
        <v>3245</v>
      </c>
      <c r="H1947" t="s">
        <v>3408</v>
      </c>
      <c r="I1947" t="s">
        <v>397</v>
      </c>
    </row>
    <row r="1948" spans="1:9" x14ac:dyDescent="0.3">
      <c r="A1948">
        <v>1947</v>
      </c>
      <c r="B1948">
        <v>1947</v>
      </c>
      <c r="C1948" t="s">
        <v>4644</v>
      </c>
      <c r="D1948" t="s">
        <v>124</v>
      </c>
      <c r="E1948" t="s">
        <v>232</v>
      </c>
      <c r="F1948" t="s">
        <v>3840</v>
      </c>
      <c r="G1948" t="s">
        <v>3376</v>
      </c>
      <c r="H1948" t="s">
        <v>517</v>
      </c>
      <c r="I1948" t="s">
        <v>2971</v>
      </c>
    </row>
    <row r="1949" spans="1:9" x14ac:dyDescent="0.3">
      <c r="A1949">
        <v>1948</v>
      </c>
      <c r="B1949">
        <v>1948</v>
      </c>
      <c r="C1949" t="s">
        <v>4645</v>
      </c>
      <c r="D1949" t="s">
        <v>35</v>
      </c>
      <c r="E1949" t="s">
        <v>58</v>
      </c>
      <c r="F1949" t="s">
        <v>823</v>
      </c>
      <c r="G1949" t="s">
        <v>2471</v>
      </c>
      <c r="H1949" t="s">
        <v>294</v>
      </c>
      <c r="I1949" t="s">
        <v>3057</v>
      </c>
    </row>
    <row r="1950" spans="1:9" x14ac:dyDescent="0.3">
      <c r="A1950">
        <v>1949</v>
      </c>
      <c r="B1950">
        <v>1949</v>
      </c>
      <c r="C1950" t="s">
        <v>4646</v>
      </c>
      <c r="D1950" t="s">
        <v>10</v>
      </c>
      <c r="E1950" t="s">
        <v>232</v>
      </c>
      <c r="F1950" t="s">
        <v>4169</v>
      </c>
      <c r="G1950" t="s">
        <v>1830</v>
      </c>
      <c r="H1950" t="s">
        <v>3776</v>
      </c>
      <c r="I1950" t="s">
        <v>3155</v>
      </c>
    </row>
    <row r="1951" spans="1:9" x14ac:dyDescent="0.3">
      <c r="A1951">
        <v>1950</v>
      </c>
      <c r="B1951">
        <v>1950</v>
      </c>
      <c r="C1951" t="s">
        <v>4647</v>
      </c>
      <c r="D1951" t="s">
        <v>51</v>
      </c>
      <c r="E1951" t="s">
        <v>11</v>
      </c>
      <c r="F1951" t="s">
        <v>1768</v>
      </c>
      <c r="G1951" t="s">
        <v>1830</v>
      </c>
      <c r="H1951" t="s">
        <v>4648</v>
      </c>
      <c r="I1951" t="s">
        <v>1038</v>
      </c>
    </row>
    <row r="1952" spans="1:9" x14ac:dyDescent="0.3">
      <c r="A1952">
        <v>1951</v>
      </c>
      <c r="B1952">
        <v>1951</v>
      </c>
      <c r="C1952" t="s">
        <v>4649</v>
      </c>
      <c r="D1952" t="s">
        <v>3276</v>
      </c>
      <c r="E1952" t="s">
        <v>634</v>
      </c>
      <c r="F1952" t="s">
        <v>3416</v>
      </c>
      <c r="G1952" t="s">
        <v>2092</v>
      </c>
      <c r="H1952" t="s">
        <v>2911</v>
      </c>
      <c r="I1952" t="s">
        <v>3566</v>
      </c>
    </row>
    <row r="1953" spans="1:9" x14ac:dyDescent="0.3">
      <c r="A1953">
        <v>1952</v>
      </c>
      <c r="B1953">
        <v>1952</v>
      </c>
      <c r="C1953" t="s">
        <v>4650</v>
      </c>
      <c r="D1953" t="s">
        <v>10</v>
      </c>
      <c r="E1953" t="s">
        <v>58</v>
      </c>
      <c r="F1953" t="s">
        <v>2369</v>
      </c>
      <c r="G1953" t="s">
        <v>1563</v>
      </c>
      <c r="H1953" t="s">
        <v>326</v>
      </c>
      <c r="I1953" t="s">
        <v>2801</v>
      </c>
    </row>
    <row r="1954" spans="1:9" x14ac:dyDescent="0.3">
      <c r="A1954">
        <v>1953</v>
      </c>
      <c r="B1954">
        <v>1953</v>
      </c>
      <c r="C1954" t="s">
        <v>4651</v>
      </c>
      <c r="D1954" t="s">
        <v>1679</v>
      </c>
      <c r="E1954" t="s">
        <v>687</v>
      </c>
      <c r="F1954" t="s">
        <v>3140</v>
      </c>
      <c r="G1954" t="s">
        <v>3060</v>
      </c>
      <c r="H1954" t="s">
        <v>4194</v>
      </c>
      <c r="I1954" t="s">
        <v>947</v>
      </c>
    </row>
    <row r="1955" spans="1:9" x14ac:dyDescent="0.3">
      <c r="A1955">
        <v>1954</v>
      </c>
      <c r="B1955">
        <v>1954</v>
      </c>
      <c r="C1955" t="s">
        <v>4652</v>
      </c>
      <c r="D1955" t="s">
        <v>51</v>
      </c>
      <c r="E1955" t="s">
        <v>792</v>
      </c>
      <c r="F1955" t="s">
        <v>2032</v>
      </c>
      <c r="G1955" t="s">
        <v>2850</v>
      </c>
      <c r="H1955" t="s">
        <v>3321</v>
      </c>
      <c r="I1955" t="s">
        <v>1340</v>
      </c>
    </row>
    <row r="1956" spans="1:9" x14ac:dyDescent="0.3">
      <c r="A1956">
        <v>1955</v>
      </c>
      <c r="B1956">
        <v>1955</v>
      </c>
      <c r="C1956" t="s">
        <v>4653</v>
      </c>
      <c r="D1956" t="s">
        <v>10</v>
      </c>
      <c r="E1956" t="s">
        <v>706</v>
      </c>
      <c r="F1956" t="s">
        <v>3768</v>
      </c>
      <c r="G1956" t="s">
        <v>1995</v>
      </c>
      <c r="H1956" t="s">
        <v>3557</v>
      </c>
      <c r="I1956" t="s">
        <v>3560</v>
      </c>
    </row>
    <row r="1957" spans="1:9" x14ac:dyDescent="0.3">
      <c r="A1957">
        <v>1956</v>
      </c>
      <c r="B1957">
        <v>1956</v>
      </c>
      <c r="C1957" t="s">
        <v>4654</v>
      </c>
      <c r="D1957" t="s">
        <v>35</v>
      </c>
      <c r="E1957" t="s">
        <v>715</v>
      </c>
      <c r="F1957" t="s">
        <v>799</v>
      </c>
      <c r="G1957" t="s">
        <v>3060</v>
      </c>
      <c r="H1957" t="s">
        <v>586</v>
      </c>
      <c r="I1957" t="s">
        <v>3036</v>
      </c>
    </row>
    <row r="1958" spans="1:9" x14ac:dyDescent="0.3">
      <c r="A1958">
        <v>1957</v>
      </c>
      <c r="B1958">
        <v>1957</v>
      </c>
      <c r="C1958" t="s">
        <v>4655</v>
      </c>
      <c r="D1958" t="s">
        <v>3276</v>
      </c>
      <c r="E1958" t="s">
        <v>64</v>
      </c>
      <c r="F1958" t="s">
        <v>1236</v>
      </c>
      <c r="G1958" t="s">
        <v>2455</v>
      </c>
      <c r="H1958" t="s">
        <v>2820</v>
      </c>
      <c r="I1958" t="s">
        <v>3086</v>
      </c>
    </row>
    <row r="1959" spans="1:9" x14ac:dyDescent="0.3">
      <c r="A1959">
        <v>1958</v>
      </c>
      <c r="B1959">
        <v>1958</v>
      </c>
      <c r="C1959" t="s">
        <v>4656</v>
      </c>
      <c r="D1959" t="s">
        <v>76</v>
      </c>
      <c r="E1959" t="s">
        <v>464</v>
      </c>
      <c r="F1959" t="s">
        <v>2676</v>
      </c>
      <c r="G1959" t="s">
        <v>2703</v>
      </c>
      <c r="H1959" t="s">
        <v>3671</v>
      </c>
      <c r="I1959" t="s">
        <v>865</v>
      </c>
    </row>
    <row r="1960" spans="1:9" x14ac:dyDescent="0.3">
      <c r="A1960">
        <v>1959</v>
      </c>
      <c r="B1960">
        <v>1959</v>
      </c>
      <c r="C1960" t="s">
        <v>4657</v>
      </c>
      <c r="D1960" t="s">
        <v>10</v>
      </c>
      <c r="E1960" t="s">
        <v>560</v>
      </c>
      <c r="F1960" t="s">
        <v>833</v>
      </c>
      <c r="G1960" t="s">
        <v>3060</v>
      </c>
      <c r="H1960" t="s">
        <v>2518</v>
      </c>
      <c r="I1960" t="s">
        <v>419</v>
      </c>
    </row>
    <row r="1961" spans="1:9" x14ac:dyDescent="0.3">
      <c r="A1961">
        <v>1960</v>
      </c>
      <c r="B1961">
        <v>1960</v>
      </c>
      <c r="C1961" t="s">
        <v>4658</v>
      </c>
      <c r="D1961" t="s">
        <v>70</v>
      </c>
      <c r="E1961" t="s">
        <v>11</v>
      </c>
      <c r="F1961" t="s">
        <v>506</v>
      </c>
      <c r="G1961" t="s">
        <v>2842</v>
      </c>
      <c r="H1961" t="s">
        <v>988</v>
      </c>
      <c r="I1961" t="s">
        <v>523</v>
      </c>
    </row>
    <row r="1962" spans="1:9" x14ac:dyDescent="0.3">
      <c r="A1962">
        <v>1961</v>
      </c>
      <c r="B1962">
        <v>1961</v>
      </c>
      <c r="C1962" t="s">
        <v>4659</v>
      </c>
      <c r="D1962" t="s">
        <v>124</v>
      </c>
      <c r="E1962" t="s">
        <v>58</v>
      </c>
      <c r="F1962" t="s">
        <v>3245</v>
      </c>
      <c r="G1962" t="s">
        <v>1967</v>
      </c>
      <c r="H1962" t="s">
        <v>2369</v>
      </c>
      <c r="I1962" t="s">
        <v>915</v>
      </c>
    </row>
    <row r="1963" spans="1:9" x14ac:dyDescent="0.3">
      <c r="A1963">
        <v>1962</v>
      </c>
      <c r="B1963">
        <v>1962</v>
      </c>
      <c r="C1963" t="s">
        <v>4660</v>
      </c>
      <c r="D1963" t="s">
        <v>51</v>
      </c>
      <c r="E1963" t="s">
        <v>64</v>
      </c>
      <c r="F1963" t="s">
        <v>977</v>
      </c>
      <c r="G1963" t="s">
        <v>1967</v>
      </c>
      <c r="H1963" t="s">
        <v>1350</v>
      </c>
      <c r="I1963" t="s">
        <v>1857</v>
      </c>
    </row>
    <row r="1964" spans="1:9" x14ac:dyDescent="0.3">
      <c r="A1964">
        <v>1963</v>
      </c>
      <c r="B1964">
        <v>1963</v>
      </c>
      <c r="C1964" t="s">
        <v>4661</v>
      </c>
      <c r="D1964" t="s">
        <v>417</v>
      </c>
      <c r="E1964" t="s">
        <v>11</v>
      </c>
      <c r="F1964" t="s">
        <v>673</v>
      </c>
      <c r="G1964" t="s">
        <v>3376</v>
      </c>
      <c r="H1964" t="s">
        <v>2639</v>
      </c>
      <c r="I1964" t="s">
        <v>1038</v>
      </c>
    </row>
    <row r="1965" spans="1:9" x14ac:dyDescent="0.3">
      <c r="A1965">
        <v>1964</v>
      </c>
      <c r="B1965">
        <v>1964</v>
      </c>
      <c r="C1965" t="s">
        <v>4662</v>
      </c>
      <c r="D1965" t="s">
        <v>205</v>
      </c>
      <c r="E1965" t="s">
        <v>11</v>
      </c>
      <c r="F1965" t="s">
        <v>1510</v>
      </c>
      <c r="G1965" t="s">
        <v>2850</v>
      </c>
      <c r="H1965" t="s">
        <v>1658</v>
      </c>
      <c r="I1965" t="s">
        <v>316</v>
      </c>
    </row>
    <row r="1966" spans="1:9" x14ac:dyDescent="0.3">
      <c r="A1966">
        <v>1965</v>
      </c>
      <c r="B1966">
        <v>1965</v>
      </c>
      <c r="C1966" t="s">
        <v>4663</v>
      </c>
      <c r="D1966" t="s">
        <v>70</v>
      </c>
      <c r="E1966" t="s">
        <v>11</v>
      </c>
      <c r="F1966" t="s">
        <v>933</v>
      </c>
      <c r="G1966" t="s">
        <v>2842</v>
      </c>
      <c r="H1966" t="s">
        <v>1453</v>
      </c>
      <c r="I1966" t="s">
        <v>3982</v>
      </c>
    </row>
    <row r="1967" spans="1:9" x14ac:dyDescent="0.3">
      <c r="A1967">
        <v>1966</v>
      </c>
      <c r="B1967">
        <v>1966</v>
      </c>
      <c r="C1967" t="s">
        <v>4664</v>
      </c>
      <c r="D1967" t="s">
        <v>10</v>
      </c>
      <c r="E1967" t="s">
        <v>345</v>
      </c>
      <c r="F1967" t="s">
        <v>3321</v>
      </c>
      <c r="G1967" t="s">
        <v>4665</v>
      </c>
      <c r="H1967" t="s">
        <v>3143</v>
      </c>
      <c r="I1967" t="s">
        <v>772</v>
      </c>
    </row>
    <row r="1968" spans="1:9" x14ac:dyDescent="0.3">
      <c r="A1968">
        <v>1967</v>
      </c>
      <c r="B1968">
        <v>1967</v>
      </c>
      <c r="C1968" t="s">
        <v>4666</v>
      </c>
      <c r="D1968" t="s">
        <v>124</v>
      </c>
      <c r="E1968" t="s">
        <v>130</v>
      </c>
      <c r="F1968" t="s">
        <v>1645</v>
      </c>
      <c r="G1968" t="s">
        <v>2801</v>
      </c>
      <c r="H1968" t="s">
        <v>501</v>
      </c>
      <c r="I1968" t="s">
        <v>1694</v>
      </c>
    </row>
    <row r="1969" spans="1:9" x14ac:dyDescent="0.3">
      <c r="A1969">
        <v>1968</v>
      </c>
      <c r="B1969">
        <v>1968</v>
      </c>
      <c r="C1969" t="s">
        <v>4667</v>
      </c>
      <c r="D1969" t="s">
        <v>51</v>
      </c>
      <c r="E1969" t="s">
        <v>98</v>
      </c>
      <c r="F1969" t="s">
        <v>1474</v>
      </c>
      <c r="G1969" t="s">
        <v>2455</v>
      </c>
      <c r="H1969" t="s">
        <v>517</v>
      </c>
      <c r="I1969" t="s">
        <v>2433</v>
      </c>
    </row>
    <row r="1970" spans="1:9" x14ac:dyDescent="0.3">
      <c r="A1970">
        <v>1969</v>
      </c>
      <c r="B1970">
        <v>1969</v>
      </c>
      <c r="C1970" t="s">
        <v>4668</v>
      </c>
      <c r="D1970" t="s">
        <v>2364</v>
      </c>
      <c r="E1970" t="s">
        <v>29</v>
      </c>
      <c r="F1970" t="s">
        <v>2136</v>
      </c>
      <c r="G1970" t="s">
        <v>3376</v>
      </c>
      <c r="H1970" t="s">
        <v>331</v>
      </c>
      <c r="I1970" t="s">
        <v>3140</v>
      </c>
    </row>
    <row r="1971" spans="1:9" x14ac:dyDescent="0.3">
      <c r="A1971">
        <v>1970</v>
      </c>
      <c r="B1971">
        <v>1970</v>
      </c>
      <c r="C1971" t="s">
        <v>4669</v>
      </c>
      <c r="D1971" t="s">
        <v>10</v>
      </c>
      <c r="E1971" t="s">
        <v>464</v>
      </c>
      <c r="F1971" t="s">
        <v>2515</v>
      </c>
      <c r="G1971" t="s">
        <v>3376</v>
      </c>
      <c r="H1971" t="s">
        <v>512</v>
      </c>
      <c r="I1971" t="s">
        <v>624</v>
      </c>
    </row>
    <row r="1972" spans="1:9" x14ac:dyDescent="0.3">
      <c r="A1972">
        <v>1971</v>
      </c>
      <c r="B1972">
        <v>1971</v>
      </c>
      <c r="C1972" t="s">
        <v>4670</v>
      </c>
      <c r="D1972" t="s">
        <v>10</v>
      </c>
      <c r="E1972" t="s">
        <v>706</v>
      </c>
      <c r="F1972" t="s">
        <v>1510</v>
      </c>
      <c r="G1972" t="s">
        <v>1572</v>
      </c>
      <c r="H1972" t="s">
        <v>692</v>
      </c>
      <c r="I1972" t="s">
        <v>3492</v>
      </c>
    </row>
    <row r="1973" spans="1:9" x14ac:dyDescent="0.3">
      <c r="A1973">
        <v>1972</v>
      </c>
      <c r="B1973">
        <v>1972</v>
      </c>
      <c r="C1973" t="s">
        <v>4671</v>
      </c>
      <c r="D1973" t="s">
        <v>104</v>
      </c>
      <c r="E1973" t="s">
        <v>52</v>
      </c>
      <c r="F1973" t="s">
        <v>3455</v>
      </c>
      <c r="G1973" t="s">
        <v>2471</v>
      </c>
      <c r="H1973" t="s">
        <v>3646</v>
      </c>
      <c r="I1973" t="s">
        <v>3068</v>
      </c>
    </row>
    <row r="1974" spans="1:9" x14ac:dyDescent="0.3">
      <c r="A1974">
        <v>1973</v>
      </c>
      <c r="B1974">
        <v>1973</v>
      </c>
      <c r="C1974" t="s">
        <v>4672</v>
      </c>
      <c r="D1974" t="s">
        <v>297</v>
      </c>
      <c r="E1974" t="s">
        <v>365</v>
      </c>
      <c r="F1974" t="s">
        <v>3021</v>
      </c>
      <c r="G1974" t="s">
        <v>3376</v>
      </c>
      <c r="H1974" t="s">
        <v>2253</v>
      </c>
      <c r="I1974" t="s">
        <v>2500</v>
      </c>
    </row>
    <row r="1975" spans="1:9" x14ac:dyDescent="0.3">
      <c r="A1975">
        <v>1974</v>
      </c>
      <c r="B1975">
        <v>1974</v>
      </c>
      <c r="C1975" t="s">
        <v>4673</v>
      </c>
      <c r="D1975" t="s">
        <v>417</v>
      </c>
      <c r="E1975" t="s">
        <v>634</v>
      </c>
      <c r="F1975" t="s">
        <v>1137</v>
      </c>
      <c r="G1975" t="s">
        <v>1506</v>
      </c>
      <c r="H1975" t="s">
        <v>3011</v>
      </c>
      <c r="I1975" t="s">
        <v>3464</v>
      </c>
    </row>
    <row r="1976" spans="1:9" x14ac:dyDescent="0.3">
      <c r="A1976">
        <v>1975</v>
      </c>
      <c r="B1976">
        <v>1975</v>
      </c>
      <c r="C1976" t="s">
        <v>4674</v>
      </c>
      <c r="D1976" t="s">
        <v>1172</v>
      </c>
      <c r="E1976" t="s">
        <v>634</v>
      </c>
      <c r="F1976" t="s">
        <v>1340</v>
      </c>
      <c r="G1976" t="s">
        <v>1012</v>
      </c>
      <c r="H1976" t="s">
        <v>3801</v>
      </c>
      <c r="I1976" t="s">
        <v>392</v>
      </c>
    </row>
    <row r="1977" spans="1:9" x14ac:dyDescent="0.3">
      <c r="A1977">
        <v>1976</v>
      </c>
      <c r="B1977">
        <v>1976</v>
      </c>
      <c r="C1977" t="s">
        <v>4675</v>
      </c>
      <c r="D1977" t="s">
        <v>1441</v>
      </c>
      <c r="E1977" t="s">
        <v>11</v>
      </c>
      <c r="F1977" t="s">
        <v>2282</v>
      </c>
      <c r="G1977" t="s">
        <v>3065</v>
      </c>
      <c r="H1977" t="s">
        <v>1502</v>
      </c>
      <c r="I1977" t="s">
        <v>3068</v>
      </c>
    </row>
    <row r="1978" spans="1:9" x14ac:dyDescent="0.3">
      <c r="A1978">
        <v>1977</v>
      </c>
      <c r="B1978">
        <v>1977</v>
      </c>
      <c r="C1978" t="s">
        <v>4676</v>
      </c>
      <c r="D1978" t="s">
        <v>10</v>
      </c>
      <c r="E1978" t="s">
        <v>130</v>
      </c>
      <c r="F1978" t="s">
        <v>2879</v>
      </c>
      <c r="G1978" t="s">
        <v>1572</v>
      </c>
      <c r="H1978" t="s">
        <v>3321</v>
      </c>
      <c r="I1978" t="s">
        <v>576</v>
      </c>
    </row>
    <row r="1979" spans="1:9" x14ac:dyDescent="0.3">
      <c r="A1979">
        <v>1978</v>
      </c>
      <c r="B1979">
        <v>1978</v>
      </c>
      <c r="C1979" t="s">
        <v>4677</v>
      </c>
      <c r="D1979" t="s">
        <v>249</v>
      </c>
      <c r="E1979" t="s">
        <v>792</v>
      </c>
      <c r="F1979" t="s">
        <v>2952</v>
      </c>
      <c r="G1979" t="s">
        <v>3376</v>
      </c>
      <c r="H1979" t="s">
        <v>3013</v>
      </c>
      <c r="I1979" t="s">
        <v>1768</v>
      </c>
    </row>
    <row r="1980" spans="1:9" x14ac:dyDescent="0.3">
      <c r="A1980">
        <v>1979</v>
      </c>
      <c r="B1980">
        <v>1979</v>
      </c>
      <c r="C1980" t="s">
        <v>4678</v>
      </c>
      <c r="D1980" t="s">
        <v>205</v>
      </c>
      <c r="E1980" t="s">
        <v>11</v>
      </c>
      <c r="F1980" t="s">
        <v>397</v>
      </c>
      <c r="G1980" t="s">
        <v>2842</v>
      </c>
      <c r="H1980" t="s">
        <v>4679</v>
      </c>
      <c r="I1980" t="s">
        <v>1607</v>
      </c>
    </row>
    <row r="1981" spans="1:9" x14ac:dyDescent="0.3">
      <c r="A1981">
        <v>1980</v>
      </c>
      <c r="B1981">
        <v>1980</v>
      </c>
      <c r="C1981" t="s">
        <v>4680</v>
      </c>
      <c r="D1981" t="s">
        <v>76</v>
      </c>
      <c r="E1981" t="s">
        <v>792</v>
      </c>
      <c r="F1981" t="s">
        <v>181</v>
      </c>
      <c r="G1981" t="s">
        <v>2732</v>
      </c>
      <c r="H1981" t="s">
        <v>4068</v>
      </c>
      <c r="I1981" t="s">
        <v>1577</v>
      </c>
    </row>
    <row r="1982" spans="1:9" x14ac:dyDescent="0.3">
      <c r="A1982">
        <v>1981</v>
      </c>
      <c r="B1982">
        <v>1981</v>
      </c>
      <c r="C1982" t="s">
        <v>4681</v>
      </c>
      <c r="D1982" t="s">
        <v>657</v>
      </c>
      <c r="E1982" t="s">
        <v>634</v>
      </c>
      <c r="F1982" t="s">
        <v>3449</v>
      </c>
      <c r="G1982" t="s">
        <v>2703</v>
      </c>
      <c r="H1982" t="s">
        <v>2995</v>
      </c>
      <c r="I1982" t="s">
        <v>491</v>
      </c>
    </row>
    <row r="1983" spans="1:9" x14ac:dyDescent="0.3">
      <c r="A1983">
        <v>1982</v>
      </c>
      <c r="B1983">
        <v>1982</v>
      </c>
      <c r="C1983" t="s">
        <v>4682</v>
      </c>
      <c r="D1983" t="s">
        <v>51</v>
      </c>
      <c r="E1983" t="s">
        <v>726</v>
      </c>
      <c r="F1983" t="s">
        <v>1212</v>
      </c>
      <c r="G1983" t="s">
        <v>3688</v>
      </c>
      <c r="H1983" t="s">
        <v>3840</v>
      </c>
      <c r="I1983" t="s">
        <v>702</v>
      </c>
    </row>
    <row r="1984" spans="1:9" x14ac:dyDescent="0.3">
      <c r="A1984">
        <v>1983</v>
      </c>
      <c r="B1984">
        <v>1983</v>
      </c>
      <c r="C1984" t="s">
        <v>4683</v>
      </c>
      <c r="D1984" t="s">
        <v>1172</v>
      </c>
      <c r="E1984" t="s">
        <v>151</v>
      </c>
      <c r="F1984" t="s">
        <v>1137</v>
      </c>
      <c r="G1984" t="s">
        <v>4055</v>
      </c>
      <c r="H1984" t="s">
        <v>3765</v>
      </c>
      <c r="I1984" t="s">
        <v>1377</v>
      </c>
    </row>
    <row r="1985" spans="1:9" x14ac:dyDescent="0.3">
      <c r="A1985">
        <v>1984</v>
      </c>
      <c r="B1985">
        <v>1984</v>
      </c>
      <c r="C1985" t="s">
        <v>4684</v>
      </c>
      <c r="D1985" t="s">
        <v>1172</v>
      </c>
      <c r="E1985" t="s">
        <v>11</v>
      </c>
      <c r="F1985" t="s">
        <v>1089</v>
      </c>
      <c r="G1985" t="s">
        <v>2092</v>
      </c>
      <c r="H1985" t="s">
        <v>1749</v>
      </c>
      <c r="I1985" t="s">
        <v>1340</v>
      </c>
    </row>
    <row r="1986" spans="1:9" x14ac:dyDescent="0.3">
      <c r="A1986">
        <v>1985</v>
      </c>
      <c r="B1986">
        <v>1985</v>
      </c>
      <c r="C1986" t="s">
        <v>4685</v>
      </c>
      <c r="D1986" t="s">
        <v>10</v>
      </c>
      <c r="E1986" t="s">
        <v>58</v>
      </c>
      <c r="F1986" t="s">
        <v>1716</v>
      </c>
      <c r="G1986" t="s">
        <v>1577</v>
      </c>
      <c r="H1986" t="s">
        <v>387</v>
      </c>
      <c r="I1986" t="s">
        <v>4248</v>
      </c>
    </row>
    <row r="1987" spans="1:9" x14ac:dyDescent="0.3">
      <c r="A1987">
        <v>1986</v>
      </c>
      <c r="B1987">
        <v>1986</v>
      </c>
      <c r="C1987" t="s">
        <v>4686</v>
      </c>
      <c r="D1987" t="s">
        <v>51</v>
      </c>
      <c r="E1987" t="s">
        <v>11</v>
      </c>
      <c r="F1987" t="s">
        <v>1556</v>
      </c>
      <c r="G1987" t="s">
        <v>3065</v>
      </c>
      <c r="H1987" t="s">
        <v>2945</v>
      </c>
      <c r="I1987" t="s">
        <v>1254</v>
      </c>
    </row>
    <row r="1988" spans="1:9" x14ac:dyDescent="0.3">
      <c r="A1988">
        <v>1987</v>
      </c>
      <c r="B1988">
        <v>1987</v>
      </c>
      <c r="C1988" t="s">
        <v>4687</v>
      </c>
      <c r="D1988" t="s">
        <v>4325</v>
      </c>
      <c r="E1988" t="s">
        <v>11</v>
      </c>
      <c r="F1988" t="s">
        <v>1521</v>
      </c>
      <c r="G1988" t="s">
        <v>2455</v>
      </c>
      <c r="H1988" t="s">
        <v>2178</v>
      </c>
      <c r="I1988" t="s">
        <v>4068</v>
      </c>
    </row>
    <row r="1989" spans="1:9" x14ac:dyDescent="0.3">
      <c r="A1989">
        <v>1988</v>
      </c>
      <c r="B1989">
        <v>1988</v>
      </c>
      <c r="C1989" t="s">
        <v>4688</v>
      </c>
      <c r="D1989" t="s">
        <v>51</v>
      </c>
      <c r="E1989" t="s">
        <v>726</v>
      </c>
      <c r="F1989" t="s">
        <v>1407</v>
      </c>
      <c r="G1989" t="s">
        <v>3065</v>
      </c>
      <c r="H1989" t="s">
        <v>1776</v>
      </c>
      <c r="I1989" t="s">
        <v>1350</v>
      </c>
    </row>
    <row r="1990" spans="1:9" x14ac:dyDescent="0.3">
      <c r="A1990">
        <v>1989</v>
      </c>
      <c r="B1990">
        <v>1989</v>
      </c>
      <c r="C1990" t="s">
        <v>4689</v>
      </c>
      <c r="D1990" t="s">
        <v>51</v>
      </c>
      <c r="E1990" t="s">
        <v>52</v>
      </c>
      <c r="F1990">
        <v>2</v>
      </c>
      <c r="G1990" t="s">
        <v>1995</v>
      </c>
      <c r="H1990" t="s">
        <v>2890</v>
      </c>
      <c r="I1990" t="s">
        <v>3003</v>
      </c>
    </row>
    <row r="1991" spans="1:9" x14ac:dyDescent="0.3">
      <c r="A1991">
        <v>1990</v>
      </c>
      <c r="B1991">
        <v>1990</v>
      </c>
      <c r="C1991" t="s">
        <v>4690</v>
      </c>
      <c r="D1991" t="s">
        <v>10</v>
      </c>
      <c r="E1991" t="s">
        <v>58</v>
      </c>
      <c r="F1991" t="s">
        <v>1521</v>
      </c>
      <c r="G1991" t="s">
        <v>2376</v>
      </c>
      <c r="H1991" t="s">
        <v>2451</v>
      </c>
      <c r="I1991" t="s">
        <v>2589</v>
      </c>
    </row>
    <row r="1992" spans="1:9" x14ac:dyDescent="0.3">
      <c r="A1992">
        <v>1991</v>
      </c>
      <c r="B1992">
        <v>1991</v>
      </c>
      <c r="C1992" t="s">
        <v>4691</v>
      </c>
      <c r="D1992" t="s">
        <v>10</v>
      </c>
      <c r="E1992" t="s">
        <v>634</v>
      </c>
      <c r="F1992" t="s">
        <v>3853</v>
      </c>
      <c r="G1992" t="s">
        <v>3065</v>
      </c>
      <c r="H1992" t="s">
        <v>3187</v>
      </c>
      <c r="I1992" t="s">
        <v>3742</v>
      </c>
    </row>
    <row r="1993" spans="1:9" x14ac:dyDescent="0.3">
      <c r="A1993">
        <v>1992</v>
      </c>
      <c r="B1993">
        <v>1992</v>
      </c>
      <c r="C1993" t="s">
        <v>4692</v>
      </c>
      <c r="D1993" t="s">
        <v>452</v>
      </c>
      <c r="E1993" t="s">
        <v>345</v>
      </c>
      <c r="F1993" t="s">
        <v>316</v>
      </c>
      <c r="G1993" t="s">
        <v>1995</v>
      </c>
      <c r="H1993" t="s">
        <v>3487</v>
      </c>
      <c r="I1993" t="s">
        <v>2192</v>
      </c>
    </row>
    <row r="1994" spans="1:9" x14ac:dyDescent="0.3">
      <c r="A1994">
        <v>1993</v>
      </c>
      <c r="B1994">
        <v>1993</v>
      </c>
      <c r="C1994" t="s">
        <v>4693</v>
      </c>
      <c r="D1994" t="s">
        <v>216</v>
      </c>
      <c r="E1994" t="s">
        <v>232</v>
      </c>
      <c r="F1994" t="s">
        <v>2005</v>
      </c>
      <c r="G1994" t="s">
        <v>2703</v>
      </c>
      <c r="H1994" t="s">
        <v>191</v>
      </c>
      <c r="I1994" t="s">
        <v>2151</v>
      </c>
    </row>
    <row r="1995" spans="1:9" x14ac:dyDescent="0.3">
      <c r="A1995">
        <v>1994</v>
      </c>
      <c r="B1995">
        <v>1994</v>
      </c>
      <c r="C1995" t="s">
        <v>4694</v>
      </c>
      <c r="D1995" t="s">
        <v>124</v>
      </c>
      <c r="E1995" t="s">
        <v>151</v>
      </c>
      <c r="F1995" t="s">
        <v>2882</v>
      </c>
      <c r="G1995" t="s">
        <v>4695</v>
      </c>
      <c r="H1995" t="s">
        <v>1324</v>
      </c>
      <c r="I1995" t="s">
        <v>717</v>
      </c>
    </row>
    <row r="1996" spans="1:9" x14ac:dyDescent="0.3">
      <c r="A1996">
        <v>1995</v>
      </c>
      <c r="B1996">
        <v>1995</v>
      </c>
      <c r="C1996" t="s">
        <v>4696</v>
      </c>
      <c r="D1996" t="s">
        <v>35</v>
      </c>
      <c r="E1996" t="s">
        <v>726</v>
      </c>
      <c r="F1996" t="s">
        <v>3265</v>
      </c>
      <c r="G1996" t="s">
        <v>3551</v>
      </c>
      <c r="H1996" t="s">
        <v>1308</v>
      </c>
      <c r="I1996" t="s">
        <v>191</v>
      </c>
    </row>
    <row r="1997" spans="1:9" x14ac:dyDescent="0.3">
      <c r="A1997">
        <v>1996</v>
      </c>
      <c r="B1997">
        <v>1996</v>
      </c>
      <c r="C1997" t="s">
        <v>4697</v>
      </c>
      <c r="D1997" t="s">
        <v>1992</v>
      </c>
      <c r="E1997" t="s">
        <v>11</v>
      </c>
      <c r="F1997" t="s">
        <v>809</v>
      </c>
      <c r="G1997" t="s">
        <v>3551</v>
      </c>
      <c r="H1997" t="s">
        <v>890</v>
      </c>
      <c r="I1997" t="s">
        <v>542</v>
      </c>
    </row>
    <row r="1998" spans="1:9" x14ac:dyDescent="0.3">
      <c r="A1998">
        <v>1997</v>
      </c>
      <c r="B1998">
        <v>1997</v>
      </c>
      <c r="C1998" t="s">
        <v>4698</v>
      </c>
      <c r="D1998" t="s">
        <v>51</v>
      </c>
      <c r="E1998" t="s">
        <v>706</v>
      </c>
      <c r="F1998" t="s">
        <v>2986</v>
      </c>
      <c r="G1998" t="s">
        <v>2940</v>
      </c>
      <c r="H1998" t="s">
        <v>1936</v>
      </c>
      <c r="I1998" t="s">
        <v>619</v>
      </c>
    </row>
    <row r="1999" spans="1:9" x14ac:dyDescent="0.3">
      <c r="A1999">
        <v>1998</v>
      </c>
      <c r="B1999">
        <v>1998</v>
      </c>
      <c r="C1999" t="s">
        <v>4699</v>
      </c>
      <c r="D1999" t="s">
        <v>1172</v>
      </c>
      <c r="E1999" t="s">
        <v>634</v>
      </c>
      <c r="F1999" t="s">
        <v>3875</v>
      </c>
      <c r="G1999" t="s">
        <v>2376</v>
      </c>
      <c r="H1999" t="s">
        <v>326</v>
      </c>
      <c r="I1999" t="s">
        <v>3853</v>
      </c>
    </row>
    <row r="2000" spans="1:9" x14ac:dyDescent="0.3">
      <c r="A2000">
        <v>1999</v>
      </c>
      <c r="B2000">
        <v>1999</v>
      </c>
      <c r="C2000" t="s">
        <v>4700</v>
      </c>
      <c r="D2000" t="s">
        <v>104</v>
      </c>
      <c r="E2000" t="s">
        <v>687</v>
      </c>
      <c r="F2000" t="s">
        <v>3019</v>
      </c>
      <c r="G2000">
        <v>0</v>
      </c>
      <c r="H2000" t="s">
        <v>377</v>
      </c>
      <c r="I2000" t="s">
        <v>1164</v>
      </c>
    </row>
    <row r="2001" spans="1:9" x14ac:dyDescent="0.3">
      <c r="A2001">
        <v>2000</v>
      </c>
      <c r="B2001">
        <v>2000</v>
      </c>
      <c r="C2001" t="s">
        <v>4701</v>
      </c>
      <c r="D2001" t="s">
        <v>1172</v>
      </c>
      <c r="E2001" t="s">
        <v>11</v>
      </c>
      <c r="F2001" t="s">
        <v>1607</v>
      </c>
      <c r="G2001" t="s">
        <v>2455</v>
      </c>
      <c r="H2001" t="s">
        <v>2960</v>
      </c>
      <c r="I2001" t="s">
        <v>3620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9CB9-F7E1-4F88-9605-AB890F636F7D}">
  <dimension ref="A1:AS1996"/>
  <sheetViews>
    <sheetView topLeftCell="D1" zoomScale="111" zoomScaleNormal="89" workbookViewId="0">
      <selection activeCell="F94" sqref="F94"/>
    </sheetView>
  </sheetViews>
  <sheetFormatPr baseColWidth="10" defaultRowHeight="14.4" x14ac:dyDescent="0.3"/>
  <cols>
    <col min="5" max="5" width="12.6640625" bestFit="1" customWidth="1"/>
    <col min="6" max="6" width="17.44140625" customWidth="1"/>
    <col min="7" max="7" width="16.109375" customWidth="1"/>
    <col min="9" max="9" width="12.6640625" bestFit="1" customWidth="1"/>
    <col min="10" max="10" width="14.44140625" customWidth="1"/>
    <col min="11" max="12" width="12.6640625" bestFit="1" customWidth="1"/>
    <col min="13" max="13" width="21.6640625" customWidth="1"/>
    <col min="14" max="14" width="12.6640625" bestFit="1" customWidth="1"/>
    <col min="17" max="18" width="11.44140625" customWidth="1"/>
    <col min="19" max="19" width="12" bestFit="1" customWidth="1"/>
    <col min="20" max="20" width="11.44140625" customWidth="1"/>
    <col min="21" max="21" width="15.77734375" customWidth="1"/>
    <col min="22" max="22" width="12" bestFit="1" customWidth="1"/>
    <col min="23" max="23" width="14.77734375" bestFit="1" customWidth="1"/>
    <col min="24" max="24" width="12" bestFit="1" customWidth="1"/>
    <col min="27" max="27" width="21.109375" customWidth="1"/>
    <col min="29" max="29" width="17.44140625" customWidth="1"/>
    <col min="30" max="30" width="10.6640625" customWidth="1"/>
    <col min="38" max="38" width="12.6640625" bestFit="1" customWidth="1"/>
  </cols>
  <sheetData>
    <row r="1" spans="1:45" x14ac:dyDescent="0.3">
      <c r="A1" t="s">
        <v>6</v>
      </c>
      <c r="B1" t="s">
        <v>4705</v>
      </c>
    </row>
    <row r="2" spans="1:45" x14ac:dyDescent="0.3">
      <c r="A2">
        <v>-25.83</v>
      </c>
      <c r="B2">
        <v>1</v>
      </c>
      <c r="C2">
        <v>1</v>
      </c>
    </row>
    <row r="3" spans="1:45" x14ac:dyDescent="0.3">
      <c r="A3">
        <v>-21.78</v>
      </c>
      <c r="B3">
        <v>1</v>
      </c>
      <c r="C3">
        <v>1</v>
      </c>
      <c r="D3" t="s">
        <v>4720</v>
      </c>
      <c r="F3">
        <f>MAX(A:A)</f>
        <v>20.96</v>
      </c>
    </row>
    <row r="4" spans="1:45" x14ac:dyDescent="0.3">
      <c r="A4">
        <v>-20.11</v>
      </c>
      <c r="B4">
        <v>1</v>
      </c>
      <c r="C4">
        <v>1</v>
      </c>
      <c r="D4" t="s">
        <v>4721</v>
      </c>
      <c r="F4">
        <f>MIN(A:A)</f>
        <v>-25.83</v>
      </c>
    </row>
    <row r="5" spans="1:45" x14ac:dyDescent="0.3">
      <c r="A5">
        <v>-16.03</v>
      </c>
      <c r="B5">
        <v>1</v>
      </c>
      <c r="C5">
        <v>1</v>
      </c>
      <c r="D5" t="s">
        <v>4703</v>
      </c>
      <c r="F5">
        <f>F6/F7</f>
        <v>4.0234522513709319</v>
      </c>
    </row>
    <row r="6" spans="1:45" x14ac:dyDescent="0.3">
      <c r="A6">
        <v>-15.51</v>
      </c>
      <c r="B6">
        <v>1</v>
      </c>
      <c r="C6">
        <v>1</v>
      </c>
      <c r="D6" t="s">
        <v>4704</v>
      </c>
      <c r="F6">
        <f>F3-F4</f>
        <v>46.79</v>
      </c>
    </row>
    <row r="7" spans="1:45" x14ac:dyDescent="0.3">
      <c r="A7">
        <v>-10.32</v>
      </c>
      <c r="B7">
        <v>1</v>
      </c>
      <c r="C7">
        <v>1</v>
      </c>
      <c r="D7" s="1" t="s">
        <v>4702</v>
      </c>
      <c r="F7">
        <f>1+3.22*LOG(2000)</f>
        <v>11.629316586038021</v>
      </c>
      <c r="AN7" s="17" t="s">
        <v>4770</v>
      </c>
    </row>
    <row r="8" spans="1:45" x14ac:dyDescent="0.3">
      <c r="A8">
        <v>-10.02</v>
      </c>
      <c r="B8">
        <v>1</v>
      </c>
      <c r="C8">
        <v>1</v>
      </c>
      <c r="D8" t="s">
        <v>4722</v>
      </c>
      <c r="F8">
        <v>2000</v>
      </c>
    </row>
    <row r="9" spans="1:45" x14ac:dyDescent="0.3">
      <c r="A9">
        <v>-7.09</v>
      </c>
      <c r="B9">
        <v>1</v>
      </c>
      <c r="C9">
        <v>1</v>
      </c>
      <c r="AB9" s="19" t="s">
        <v>4713</v>
      </c>
      <c r="AC9" s="19" t="s">
        <v>4747</v>
      </c>
      <c r="AD9" s="19" t="s">
        <v>4752</v>
      </c>
      <c r="AI9" t="s">
        <v>4751</v>
      </c>
      <c r="AN9" t="s">
        <v>4778</v>
      </c>
    </row>
    <row r="10" spans="1:45" x14ac:dyDescent="0.3">
      <c r="A10">
        <v>-5.86</v>
      </c>
      <c r="B10">
        <v>1</v>
      </c>
      <c r="C10">
        <v>1</v>
      </c>
      <c r="AA10" s="4" t="s">
        <v>4746</v>
      </c>
      <c r="AB10" s="22">
        <v>1E-3</v>
      </c>
      <c r="AC10" s="22" t="str">
        <f t="shared" ref="AC10:AC21" si="0">IMLOG2(AB10)</f>
        <v>-9,96578428466209</v>
      </c>
      <c r="AD10" s="22">
        <f>AB10*AC10</f>
        <v>-9.9657842846620909E-3</v>
      </c>
      <c r="AI10" s="18" t="s">
        <v>4749</v>
      </c>
    </row>
    <row r="11" spans="1:45" x14ac:dyDescent="0.3">
      <c r="A11">
        <v>-5.15</v>
      </c>
      <c r="B11">
        <v>1</v>
      </c>
      <c r="C11">
        <v>1</v>
      </c>
      <c r="Q11" t="s">
        <v>4755</v>
      </c>
      <c r="R11" t="s">
        <v>4754</v>
      </c>
      <c r="U11" t="s">
        <v>4760</v>
      </c>
      <c r="V11" t="s">
        <v>4761</v>
      </c>
      <c r="W11" s="28" t="s">
        <v>4763</v>
      </c>
      <c r="X11">
        <f>W25/2000</f>
        <v>2.2079629683076818</v>
      </c>
      <c r="AA11" s="23"/>
      <c r="AB11" s="22">
        <v>5.0000000000000001E-4</v>
      </c>
      <c r="AC11" s="22" t="str">
        <f t="shared" si="0"/>
        <v>-10,9657842846621</v>
      </c>
      <c r="AD11" s="22">
        <f t="shared" ref="AD11:AD21" si="1">AB11*AC11</f>
        <v>-5.4828921423310502E-3</v>
      </c>
      <c r="AI11">
        <f t="shared" ref="AI11:AI22" si="2">LN(AB10)</f>
        <v>-6.9077552789821368</v>
      </c>
      <c r="AJ11">
        <f t="shared" ref="AJ11:AJ22" si="3">AB10*AI11</f>
        <v>-6.9077552789821367E-3</v>
      </c>
    </row>
    <row r="12" spans="1:45" x14ac:dyDescent="0.3">
      <c r="A12">
        <v>-5.0999999999999996</v>
      </c>
      <c r="B12">
        <v>1</v>
      </c>
      <c r="C12">
        <v>1</v>
      </c>
      <c r="H12" s="7" t="s">
        <v>4787</v>
      </c>
      <c r="I12" s="7" t="s">
        <v>4718</v>
      </c>
      <c r="J12" s="7" t="s">
        <v>4717</v>
      </c>
      <c r="K12" s="7" t="s">
        <v>4711</v>
      </c>
      <c r="L12" s="7" t="s">
        <v>4712</v>
      </c>
      <c r="M12" s="7" t="s">
        <v>4713</v>
      </c>
      <c r="N12" s="7" t="s">
        <v>4719</v>
      </c>
      <c r="O12" s="7" t="s">
        <v>4715</v>
      </c>
      <c r="P12" s="7" t="s">
        <v>4716</v>
      </c>
      <c r="Q12" s="7" t="s">
        <v>4757</v>
      </c>
      <c r="R12" s="7" t="s">
        <v>4753</v>
      </c>
      <c r="S12" s="7" t="s">
        <v>4756</v>
      </c>
      <c r="T12" s="7" t="s">
        <v>4758</v>
      </c>
      <c r="U12" s="7" t="s">
        <v>4759</v>
      </c>
      <c r="V12" s="24" t="s">
        <v>4762</v>
      </c>
      <c r="W12" s="25" t="s">
        <v>4764</v>
      </c>
      <c r="AA12" s="23"/>
      <c r="AB12" s="22">
        <v>1E-3</v>
      </c>
      <c r="AC12" s="22" t="str">
        <f t="shared" si="0"/>
        <v>-9,96578428466209</v>
      </c>
      <c r="AD12" s="22">
        <f t="shared" si="1"/>
        <v>-9.9657842846620909E-3</v>
      </c>
      <c r="AI12">
        <f t="shared" si="2"/>
        <v>-7.6009024595420822</v>
      </c>
      <c r="AJ12">
        <f t="shared" si="3"/>
        <v>-3.800451229771041E-3</v>
      </c>
      <c r="AL12" s="30" t="s">
        <v>4711</v>
      </c>
      <c r="AM12" s="30" t="s">
        <v>4712</v>
      </c>
      <c r="AN12" s="30" t="s">
        <v>4715</v>
      </c>
      <c r="AO12" s="30" t="s">
        <v>4716</v>
      </c>
      <c r="AP12" s="30" t="s">
        <v>4771</v>
      </c>
      <c r="AQ12" s="30" t="s">
        <v>4772</v>
      </c>
      <c r="AR12" s="30" t="s">
        <v>4773</v>
      </c>
      <c r="AS12" s="30" t="s">
        <v>4774</v>
      </c>
    </row>
    <row r="13" spans="1:45" x14ac:dyDescent="0.3">
      <c r="A13">
        <v>-4.9800000000000004</v>
      </c>
      <c r="B13">
        <v>1</v>
      </c>
      <c r="C13">
        <v>1</v>
      </c>
      <c r="H13" s="4">
        <v>1</v>
      </c>
      <c r="I13" s="4">
        <v>-25.83</v>
      </c>
      <c r="J13" s="4">
        <f>A2+F5</f>
        <v>-21.806547748629065</v>
      </c>
      <c r="K13" s="4">
        <f>(I13+J13)/2</f>
        <v>-23.818273874314531</v>
      </c>
      <c r="L13" s="4">
        <v>2</v>
      </c>
      <c r="M13" s="4">
        <f>L13/2000</f>
        <v>1E-3</v>
      </c>
      <c r="N13" s="4">
        <f>M13*100</f>
        <v>0.1</v>
      </c>
      <c r="O13" s="4">
        <f>L13</f>
        <v>2</v>
      </c>
      <c r="P13" s="4">
        <f>M13</f>
        <v>1E-3</v>
      </c>
      <c r="Q13" s="4">
        <f>K13*M13</f>
        <v>-2.3818273874314531E-2</v>
      </c>
      <c r="R13" s="4">
        <f>K13^2</f>
        <v>567.31017035185414</v>
      </c>
      <c r="S13" s="4">
        <f>R13*M13</f>
        <v>0.56731017035185416</v>
      </c>
      <c r="T13" s="4">
        <f>Q13^2</f>
        <v>5.6731017035185417E-4</v>
      </c>
      <c r="U13" s="4">
        <f>S13-T13</f>
        <v>0.56674286018150233</v>
      </c>
      <c r="V13" s="4">
        <f>ABS(K13-Q25)</f>
        <v>25.329491898483326</v>
      </c>
      <c r="W13" s="4">
        <f>V13*L13</f>
        <v>50.658983796966652</v>
      </c>
      <c r="AA13" s="23"/>
      <c r="AB13" s="22">
        <v>1E-3</v>
      </c>
      <c r="AC13" s="22" t="str">
        <f t="shared" si="0"/>
        <v>-9,96578428466209</v>
      </c>
      <c r="AD13" s="22">
        <f t="shared" si="1"/>
        <v>-9.9657842846620909E-3</v>
      </c>
      <c r="AI13">
        <f t="shared" si="2"/>
        <v>-6.9077552789821368</v>
      </c>
      <c r="AJ13">
        <f t="shared" si="3"/>
        <v>-6.9077552789821367E-3</v>
      </c>
      <c r="AL13" s="19">
        <f>(I13+J13)/2</f>
        <v>-23.818273874314531</v>
      </c>
      <c r="AM13" s="19">
        <f t="shared" ref="AL13:AM24" si="4">W15</f>
        <v>28.148547748629063</v>
      </c>
      <c r="AN13" s="19">
        <f>AM13</f>
        <v>28.148547748629063</v>
      </c>
      <c r="AO13" s="19">
        <f t="shared" ref="AO13:AO24" si="5">AA15</f>
        <v>0</v>
      </c>
      <c r="AP13" s="19">
        <f>AL13*AM13</f>
        <v>-670.44981944106678</v>
      </c>
      <c r="AQ13" s="19">
        <f>AP13</f>
        <v>-670.44981944106678</v>
      </c>
      <c r="AR13" s="19">
        <f t="shared" ref="AR13:AR24" si="6">AQ13/AQ$22</f>
        <v>-6.2092470646490053E-2</v>
      </c>
      <c r="AS13" s="19">
        <f>AO13-AR13</f>
        <v>6.2092470646490053E-2</v>
      </c>
    </row>
    <row r="14" spans="1:45" x14ac:dyDescent="0.3">
      <c r="A14">
        <v>-4.45</v>
      </c>
      <c r="B14">
        <v>1</v>
      </c>
      <c r="C14">
        <v>1</v>
      </c>
      <c r="H14" s="4">
        <v>2</v>
      </c>
      <c r="I14" s="4">
        <v>-21.086548000000001</v>
      </c>
      <c r="J14" s="4">
        <f>I14+F5</f>
        <v>-17.063095748629067</v>
      </c>
      <c r="K14" s="4">
        <f t="shared" ref="K14:K24" si="7">(I14+J14)/2</f>
        <v>-19.074821874314534</v>
      </c>
      <c r="L14" s="4">
        <v>1</v>
      </c>
      <c r="M14" s="4">
        <f t="shared" ref="M14:M25" si="8">L14/2000</f>
        <v>5.0000000000000001E-4</v>
      </c>
      <c r="N14" s="4">
        <f t="shared" ref="N14:N25" si="9">M14*100</f>
        <v>0.05</v>
      </c>
      <c r="O14" s="4">
        <f>L13+L14</f>
        <v>3</v>
      </c>
      <c r="P14" s="4">
        <f>P13+M14</f>
        <v>1.5E-3</v>
      </c>
      <c r="Q14" s="4">
        <f t="shared" ref="Q14:Q24" si="10">K14*M14</f>
        <v>-9.5374109371572664E-3</v>
      </c>
      <c r="R14" s="4">
        <f t="shared" ref="R14:R24" si="11">K14^2</f>
        <v>363.84882953682825</v>
      </c>
      <c r="S14" s="4">
        <f t="shared" ref="S14:S24" si="12">R14*M14</f>
        <v>0.18192441476841412</v>
      </c>
      <c r="T14" s="4">
        <f t="shared" ref="T14:T24" si="13">Q14^2</f>
        <v>9.0962207384207044E-5</v>
      </c>
      <c r="U14" s="4">
        <f t="shared" ref="U14:U24" si="14">S14-T14</f>
        <v>0.1818334525610299</v>
      </c>
      <c r="V14" s="4">
        <f t="shared" ref="V14:V24" si="15">ABS(K14-Q26)</f>
        <v>19.074821874314534</v>
      </c>
      <c r="W14" s="4">
        <f t="shared" ref="W14:W24" si="16">V14*L14</f>
        <v>19.074821874314534</v>
      </c>
      <c r="AA14" s="23"/>
      <c r="AB14" s="22">
        <v>4.0000000000000001E-3</v>
      </c>
      <c r="AC14" s="22" t="str">
        <f t="shared" si="0"/>
        <v>-7,96578428466209</v>
      </c>
      <c r="AD14" s="22">
        <f t="shared" si="1"/>
        <v>-3.1863137138648356E-2</v>
      </c>
      <c r="AI14">
        <f t="shared" si="2"/>
        <v>-6.9077552789821368</v>
      </c>
      <c r="AJ14">
        <f t="shared" si="3"/>
        <v>-6.9077552789821367E-3</v>
      </c>
      <c r="AL14" s="19">
        <f t="shared" si="4"/>
        <v>10.050773874314533</v>
      </c>
      <c r="AM14" s="19">
        <f t="shared" si="4"/>
        <v>20.101547748629066</v>
      </c>
      <c r="AN14" s="19">
        <f>AN13+AM14</f>
        <v>48.25009549725813</v>
      </c>
      <c r="AO14" s="19">
        <f t="shared" si="5"/>
        <v>0</v>
      </c>
      <c r="AP14" s="19">
        <f t="shared" ref="AP14:AP24" si="17">AL14*AM14</f>
        <v>202.03611094520716</v>
      </c>
      <c r="AQ14" s="19">
        <f>AQ13+AP14</f>
        <v>-468.41370849585962</v>
      </c>
      <c r="AR14" s="19">
        <f t="shared" si="6"/>
        <v>-4.3381269711490034E-2</v>
      </c>
      <c r="AS14" s="19">
        <f t="shared" ref="AS14:AS24" si="18">AO14-AR14</f>
        <v>4.3381269711490034E-2</v>
      </c>
    </row>
    <row r="15" spans="1:45" x14ac:dyDescent="0.3">
      <c r="A15">
        <v>-4.1500000000000004</v>
      </c>
      <c r="B15">
        <v>1</v>
      </c>
      <c r="C15">
        <v>1</v>
      </c>
      <c r="H15" s="4">
        <v>3</v>
      </c>
      <c r="I15" s="4">
        <v>-16.085999999999999</v>
      </c>
      <c r="J15" s="4">
        <f>I15+F5</f>
        <v>-12.062547748629067</v>
      </c>
      <c r="K15" s="4">
        <f t="shared" si="7"/>
        <v>-14.074273874314532</v>
      </c>
      <c r="L15" s="4">
        <v>2</v>
      </c>
      <c r="M15" s="4">
        <f t="shared" si="8"/>
        <v>1E-3</v>
      </c>
      <c r="N15" s="4">
        <f t="shared" si="9"/>
        <v>0.1</v>
      </c>
      <c r="O15" s="4">
        <f t="shared" ref="O15:O21" si="19">O14+L15</f>
        <v>5</v>
      </c>
      <c r="P15" s="4">
        <f>P14+M15</f>
        <v>2.5000000000000001E-3</v>
      </c>
      <c r="Q15" s="4">
        <f t="shared" si="10"/>
        <v>-1.4074273874314532E-2</v>
      </c>
      <c r="R15" s="4">
        <f t="shared" si="11"/>
        <v>198.08518508921259</v>
      </c>
      <c r="S15" s="4">
        <f t="shared" si="12"/>
        <v>0.19808518508921258</v>
      </c>
      <c r="T15" s="4">
        <f t="shared" si="13"/>
        <v>1.9808518508921259E-4</v>
      </c>
      <c r="U15" s="4">
        <f t="shared" si="14"/>
        <v>0.19788709990412337</v>
      </c>
      <c r="V15" s="4">
        <f t="shared" si="15"/>
        <v>14.074273874314532</v>
      </c>
      <c r="W15" s="4">
        <f t="shared" si="16"/>
        <v>28.148547748629063</v>
      </c>
      <c r="AA15" s="23"/>
      <c r="AB15" s="22">
        <v>0.13250000000000001</v>
      </c>
      <c r="AC15" s="22" t="str">
        <f t="shared" si="0"/>
        <v>-2,91593573521153</v>
      </c>
      <c r="AD15" s="22">
        <f t="shared" si="1"/>
        <v>-0.38636148491552774</v>
      </c>
      <c r="AI15">
        <f t="shared" si="2"/>
        <v>-5.521460917862246</v>
      </c>
      <c r="AJ15">
        <f t="shared" si="3"/>
        <v>-2.2085843671448984E-2</v>
      </c>
      <c r="AL15" s="19">
        <f t="shared" si="4"/>
        <v>6.027313874314534</v>
      </c>
      <c r="AM15" s="19">
        <f t="shared" si="4"/>
        <v>48.218510994516272</v>
      </c>
      <c r="AN15" s="19">
        <f t="shared" ref="AN15:AN24" si="20">AN14+AM15</f>
        <v>96.468606491774409</v>
      </c>
      <c r="AO15" s="19">
        <f t="shared" si="5"/>
        <v>0</v>
      </c>
      <c r="AP15" s="19">
        <f t="shared" si="17"/>
        <v>290.62810031603584</v>
      </c>
      <c r="AQ15" s="19">
        <f t="shared" ref="AQ15:AQ24" si="21">AQ14+AP15</f>
        <v>-177.78560817982378</v>
      </c>
      <c r="AR15" s="19">
        <f t="shared" si="6"/>
        <v>-1.6465285450411614E-2</v>
      </c>
      <c r="AS15" s="19">
        <f t="shared" si="18"/>
        <v>1.6465285450411614E-2</v>
      </c>
    </row>
    <row r="16" spans="1:45" x14ac:dyDescent="0.3">
      <c r="A16">
        <v>-4.09</v>
      </c>
      <c r="B16">
        <v>1</v>
      </c>
      <c r="C16">
        <v>1</v>
      </c>
      <c r="H16" s="4">
        <v>4</v>
      </c>
      <c r="I16" s="4">
        <f>-12.0625</f>
        <v>-12.0625</v>
      </c>
      <c r="J16" s="4">
        <f>I16+F5</f>
        <v>-8.0390477486290681</v>
      </c>
      <c r="K16" s="4">
        <f t="shared" si="7"/>
        <v>-10.050773874314533</v>
      </c>
      <c r="L16" s="4">
        <v>2</v>
      </c>
      <c r="M16" s="4">
        <f t="shared" si="8"/>
        <v>1E-3</v>
      </c>
      <c r="N16" s="4">
        <f t="shared" si="9"/>
        <v>0.1</v>
      </c>
      <c r="O16" s="4">
        <f t="shared" si="19"/>
        <v>7</v>
      </c>
      <c r="P16" s="4">
        <f t="shared" ref="P16:P24" si="22">P15+M16</f>
        <v>3.5000000000000001E-3</v>
      </c>
      <c r="Q16" s="4">
        <f t="shared" si="10"/>
        <v>-1.0050773874314533E-2</v>
      </c>
      <c r="R16" s="4">
        <f t="shared" si="11"/>
        <v>101.01805547260358</v>
      </c>
      <c r="S16" s="4">
        <f t="shared" si="12"/>
        <v>0.10101805547260358</v>
      </c>
      <c r="T16" s="4">
        <f t="shared" si="13"/>
        <v>1.0101805547260356E-4</v>
      </c>
      <c r="U16" s="4">
        <f t="shared" si="14"/>
        <v>0.10091703741713097</v>
      </c>
      <c r="V16" s="4">
        <f t="shared" si="15"/>
        <v>10.050773874314533</v>
      </c>
      <c r="W16" s="4">
        <f t="shared" si="16"/>
        <v>20.101547748629066</v>
      </c>
      <c r="AA16" s="23"/>
      <c r="AB16" s="22">
        <v>0.83650000000000002</v>
      </c>
      <c r="AC16" s="22" t="str">
        <f t="shared" si="0"/>
        <v>-0,257562554623734</v>
      </c>
      <c r="AD16" s="22">
        <f t="shared" si="1"/>
        <v>-0.21545107694275351</v>
      </c>
      <c r="AI16">
        <f t="shared" si="2"/>
        <v>-2.0211726335558602</v>
      </c>
      <c r="AJ16">
        <f t="shared" si="3"/>
        <v>-0.2678053739461515</v>
      </c>
      <c r="AL16" s="19">
        <f t="shared" si="4"/>
        <v>2.0077500000000001</v>
      </c>
      <c r="AM16" s="19">
        <f t="shared" si="4"/>
        <v>532.05375000000004</v>
      </c>
      <c r="AN16" s="19">
        <f t="shared" si="20"/>
        <v>628.52235649177442</v>
      </c>
      <c r="AO16" s="19">
        <f t="shared" si="5"/>
        <v>0</v>
      </c>
      <c r="AP16" s="19">
        <f t="shared" si="17"/>
        <v>1068.2309165625002</v>
      </c>
      <c r="AQ16" s="19">
        <f t="shared" si="21"/>
        <v>890.44530838267633</v>
      </c>
      <c r="AR16" s="19">
        <f t="shared" si="6"/>
        <v>8.2466946175255337E-2</v>
      </c>
      <c r="AS16" s="19">
        <f t="shared" si="18"/>
        <v>-8.2466946175255337E-2</v>
      </c>
    </row>
    <row r="17" spans="1:45" x14ac:dyDescent="0.3">
      <c r="A17">
        <v>-3.96</v>
      </c>
      <c r="B17">
        <v>1</v>
      </c>
      <c r="C17">
        <v>1</v>
      </c>
      <c r="H17" s="4">
        <v>5</v>
      </c>
      <c r="I17" s="4">
        <v>-8.03904</v>
      </c>
      <c r="J17" s="4">
        <f>I17+F5</f>
        <v>-4.0155877486290681</v>
      </c>
      <c r="K17" s="4">
        <f t="shared" si="7"/>
        <v>-6.027313874314534</v>
      </c>
      <c r="L17" s="4">
        <v>8</v>
      </c>
      <c r="M17" s="4">
        <f t="shared" si="8"/>
        <v>4.0000000000000001E-3</v>
      </c>
      <c r="N17" s="4">
        <f t="shared" si="9"/>
        <v>0.4</v>
      </c>
      <c r="O17" s="4">
        <f t="shared" si="19"/>
        <v>15</v>
      </c>
      <c r="P17" s="4">
        <f t="shared" si="22"/>
        <v>7.4999999999999997E-3</v>
      </c>
      <c r="Q17" s="4">
        <f t="shared" si="10"/>
        <v>-2.4109255497258137E-2</v>
      </c>
      <c r="R17" s="4">
        <f t="shared" si="11"/>
        <v>36.32851253950448</v>
      </c>
      <c r="S17" s="4">
        <f t="shared" si="12"/>
        <v>0.14531405015801793</v>
      </c>
      <c r="T17" s="4">
        <f t="shared" si="13"/>
        <v>5.8125620063207166E-4</v>
      </c>
      <c r="U17" s="4">
        <f t="shared" si="14"/>
        <v>0.14473279395738586</v>
      </c>
      <c r="V17" s="4">
        <f t="shared" si="15"/>
        <v>6.027313874314534</v>
      </c>
      <c r="W17" s="4">
        <f t="shared" si="16"/>
        <v>48.218510994516272</v>
      </c>
      <c r="AA17" s="23"/>
      <c r="AB17" s="22">
        <v>1.7999999999999999E-2</v>
      </c>
      <c r="AC17" s="22" t="str">
        <f t="shared" si="0"/>
        <v>-5,79585928321978</v>
      </c>
      <c r="AD17" s="22">
        <f t="shared" si="1"/>
        <v>-0.10432546709795604</v>
      </c>
      <c r="AI17">
        <f t="shared" si="2"/>
        <v>-0.17852875855525838</v>
      </c>
      <c r="AJ17">
        <f t="shared" si="3"/>
        <v>-0.14933930653147365</v>
      </c>
      <c r="AL17" s="19">
        <f t="shared" si="4"/>
        <v>2.0117261256854659</v>
      </c>
      <c r="AM17" s="19">
        <f t="shared" si="4"/>
        <v>3365.6178082717847</v>
      </c>
      <c r="AN17" s="19">
        <f t="shared" si="20"/>
        <v>3994.1401647635594</v>
      </c>
      <c r="AO17" s="19">
        <f t="shared" si="5"/>
        <v>0</v>
      </c>
      <c r="AP17" s="19">
        <f t="shared" si="17"/>
        <v>6770.7012739726069</v>
      </c>
      <c r="AQ17" s="19">
        <f t="shared" si="21"/>
        <v>7661.1465823552835</v>
      </c>
      <c r="AR17" s="19">
        <f t="shared" si="6"/>
        <v>0.70952292847200549</v>
      </c>
      <c r="AS17" s="19">
        <f t="shared" si="18"/>
        <v>-0.70952292847200549</v>
      </c>
    </row>
    <row r="18" spans="1:45" x14ac:dyDescent="0.3">
      <c r="A18">
        <v>-3.94</v>
      </c>
      <c r="B18">
        <v>1</v>
      </c>
      <c r="C18">
        <v>1</v>
      </c>
      <c r="H18" s="4">
        <v>6</v>
      </c>
      <c r="I18" s="4">
        <f>-4.0155</f>
        <v>-4.0155000000000003</v>
      </c>
      <c r="J18" s="4">
        <f>--- 0</f>
        <v>0</v>
      </c>
      <c r="K18" s="4">
        <v>-2.0077500000000001</v>
      </c>
      <c r="L18" s="4">
        <v>265</v>
      </c>
      <c r="M18" s="4">
        <f t="shared" si="8"/>
        <v>0.13250000000000001</v>
      </c>
      <c r="N18" s="4">
        <f t="shared" si="9"/>
        <v>13.25</v>
      </c>
      <c r="O18" s="4">
        <f t="shared" si="19"/>
        <v>280</v>
      </c>
      <c r="P18" s="4">
        <f t="shared" si="22"/>
        <v>0.14000000000000001</v>
      </c>
      <c r="Q18" s="4">
        <f t="shared" si="10"/>
        <v>-0.26602687500000005</v>
      </c>
      <c r="R18" s="4">
        <f t="shared" si="11"/>
        <v>4.0310600625000008</v>
      </c>
      <c r="S18" s="4">
        <f t="shared" si="12"/>
        <v>0.53411545828125018</v>
      </c>
      <c r="T18" s="4">
        <f t="shared" si="13"/>
        <v>7.0770298222265646E-2</v>
      </c>
      <c r="U18" s="4">
        <f t="shared" si="14"/>
        <v>0.46334516005898452</v>
      </c>
      <c r="V18" s="4">
        <f t="shared" si="15"/>
        <v>2.0077500000000001</v>
      </c>
      <c r="W18" s="4">
        <f t="shared" si="16"/>
        <v>532.05375000000004</v>
      </c>
      <c r="AA18" s="23"/>
      <c r="AB18" s="22">
        <v>4.0000000000000001E-3</v>
      </c>
      <c r="AC18" s="22" t="str">
        <f t="shared" si="0"/>
        <v>-7,96578428466209</v>
      </c>
      <c r="AD18" s="22">
        <f t="shared" si="1"/>
        <v>-3.1863137138648356E-2</v>
      </c>
      <c r="AI18">
        <f t="shared" si="2"/>
        <v>-4.0173835210859723</v>
      </c>
      <c r="AJ18">
        <f t="shared" si="3"/>
        <v>-7.2312903379547502E-2</v>
      </c>
      <c r="AL18" s="19">
        <f t="shared" si="4"/>
        <v>6.0351761256854664</v>
      </c>
      <c r="AM18" s="19">
        <f t="shared" si="4"/>
        <v>217.26634052467679</v>
      </c>
      <c r="AN18" s="19">
        <f t="shared" si="20"/>
        <v>4211.4065052882361</v>
      </c>
      <c r="AO18" s="19">
        <f t="shared" si="5"/>
        <v>0</v>
      </c>
      <c r="AP18" s="19">
        <f t="shared" si="17"/>
        <v>1311.2406312495782</v>
      </c>
      <c r="AQ18" s="19">
        <f t="shared" si="21"/>
        <v>8972.3872136048612</v>
      </c>
      <c r="AR18" s="19">
        <f t="shared" si="6"/>
        <v>0.83096105560018529</v>
      </c>
      <c r="AS18" s="19">
        <f t="shared" si="18"/>
        <v>-0.83096105560018529</v>
      </c>
    </row>
    <row r="19" spans="1:45" x14ac:dyDescent="0.3">
      <c r="A19">
        <v>-3.78</v>
      </c>
      <c r="B19">
        <v>1</v>
      </c>
      <c r="C19">
        <v>1</v>
      </c>
      <c r="H19" s="4">
        <v>7</v>
      </c>
      <c r="I19" s="4">
        <v>0</v>
      </c>
      <c r="J19" s="4">
        <f>I19+F5</f>
        <v>4.0234522513709319</v>
      </c>
      <c r="K19" s="4">
        <f t="shared" si="7"/>
        <v>2.0117261256854659</v>
      </c>
      <c r="L19" s="5">
        <v>1673</v>
      </c>
      <c r="M19" s="4">
        <f t="shared" si="8"/>
        <v>0.83650000000000002</v>
      </c>
      <c r="N19" s="4">
        <f t="shared" si="9"/>
        <v>83.65</v>
      </c>
      <c r="O19" s="4">
        <f t="shared" si="19"/>
        <v>1953</v>
      </c>
      <c r="P19" s="4">
        <f t="shared" si="22"/>
        <v>0.97650000000000003</v>
      </c>
      <c r="Q19" s="4">
        <f t="shared" si="10"/>
        <v>1.6828089041358922</v>
      </c>
      <c r="R19" s="4">
        <f t="shared" si="11"/>
        <v>4.0470420047654549</v>
      </c>
      <c r="S19" s="4">
        <f t="shared" si="12"/>
        <v>3.3853506369863031</v>
      </c>
      <c r="T19" s="4">
        <f t="shared" si="13"/>
        <v>2.8318458078390427</v>
      </c>
      <c r="U19" s="4">
        <f t="shared" si="14"/>
        <v>0.5535048291472604</v>
      </c>
      <c r="V19" s="4">
        <f t="shared" si="15"/>
        <v>2.0117261256854659</v>
      </c>
      <c r="W19" s="4">
        <f t="shared" si="16"/>
        <v>3365.6178082717847</v>
      </c>
      <c r="AA19" s="23"/>
      <c r="AB19" s="22">
        <v>5.0000000000000001E-4</v>
      </c>
      <c r="AC19" s="22" t="str">
        <f t="shared" si="0"/>
        <v>-10,9657842846621</v>
      </c>
      <c r="AD19" s="22">
        <f t="shared" si="1"/>
        <v>-5.4828921423310502E-3</v>
      </c>
      <c r="AI19">
        <f t="shared" si="2"/>
        <v>-5.521460917862246</v>
      </c>
      <c r="AJ19">
        <f t="shared" si="3"/>
        <v>-2.2085843671448984E-2</v>
      </c>
      <c r="AL19" s="19">
        <f t="shared" si="4"/>
        <v>10.058628377056397</v>
      </c>
      <c r="AM19" s="19">
        <f t="shared" si="4"/>
        <v>80.469027016451179</v>
      </c>
      <c r="AN19" s="19">
        <f t="shared" si="20"/>
        <v>4291.8755323046871</v>
      </c>
      <c r="AO19" s="19">
        <f t="shared" si="5"/>
        <v>0</v>
      </c>
      <c r="AP19" s="19">
        <f t="shared" si="17"/>
        <v>809.40803862179371</v>
      </c>
      <c r="AQ19" s="19">
        <f t="shared" si="21"/>
        <v>9781.7952522266551</v>
      </c>
      <c r="AR19" s="19">
        <f t="shared" si="6"/>
        <v>0.90592288484052352</v>
      </c>
      <c r="AS19" s="19">
        <f t="shared" si="18"/>
        <v>-0.90592288484052352</v>
      </c>
    </row>
    <row r="20" spans="1:45" x14ac:dyDescent="0.3">
      <c r="A20">
        <v>-3.62</v>
      </c>
      <c r="B20">
        <v>1</v>
      </c>
      <c r="C20">
        <v>1</v>
      </c>
      <c r="H20" s="4">
        <v>8</v>
      </c>
      <c r="I20" s="4">
        <v>4.0234500000000004</v>
      </c>
      <c r="J20" s="4">
        <f>I20+F5</f>
        <v>8.0469022513709323</v>
      </c>
      <c r="K20" s="4">
        <f t="shared" si="7"/>
        <v>6.0351761256854664</v>
      </c>
      <c r="L20" s="4">
        <v>36</v>
      </c>
      <c r="M20" s="4">
        <f t="shared" si="8"/>
        <v>1.7999999999999999E-2</v>
      </c>
      <c r="N20" s="4">
        <f t="shared" si="9"/>
        <v>1.7999999999999998</v>
      </c>
      <c r="O20" s="4">
        <f t="shared" si="19"/>
        <v>1989</v>
      </c>
      <c r="P20" s="4">
        <f t="shared" si="22"/>
        <v>0.99450000000000005</v>
      </c>
      <c r="Q20" s="4">
        <f t="shared" si="10"/>
        <v>0.10863317026233839</v>
      </c>
      <c r="R20" s="4">
        <f t="shared" si="11"/>
        <v>36.423350868043833</v>
      </c>
      <c r="S20" s="4">
        <f t="shared" si="12"/>
        <v>0.65562031562478895</v>
      </c>
      <c r="T20" s="4">
        <f t="shared" si="13"/>
        <v>1.1801165681246201E-2</v>
      </c>
      <c r="U20" s="4">
        <f t="shared" si="14"/>
        <v>0.64381914994354272</v>
      </c>
      <c r="V20" s="4">
        <f t="shared" si="15"/>
        <v>6.0351761256854664</v>
      </c>
      <c r="W20" s="4">
        <f t="shared" si="16"/>
        <v>217.26634052467679</v>
      </c>
      <c r="AA20" s="23"/>
      <c r="AB20" s="22">
        <v>5.0000000000000001E-4</v>
      </c>
      <c r="AC20" s="22" t="str">
        <f t="shared" si="0"/>
        <v>-10,9657842846621</v>
      </c>
      <c r="AD20" s="22">
        <f t="shared" si="1"/>
        <v>-5.4828921423310502E-3</v>
      </c>
      <c r="AI20">
        <f t="shared" si="2"/>
        <v>-7.6009024595420822</v>
      </c>
      <c r="AJ20">
        <f t="shared" si="3"/>
        <v>-3.800451229771041E-3</v>
      </c>
      <c r="AL20" s="19">
        <f t="shared" si="4"/>
        <v>14.082080628427331</v>
      </c>
      <c r="AM20" s="19">
        <f t="shared" si="4"/>
        <v>14.082080628427331</v>
      </c>
      <c r="AN20" s="19">
        <f t="shared" si="20"/>
        <v>4305.9576129331144</v>
      </c>
      <c r="AO20" s="19" t="str">
        <f t="shared" si="5"/>
        <v>total:</v>
      </c>
      <c r="AP20" s="19">
        <f t="shared" si="17"/>
        <v>198.3049948255283</v>
      </c>
      <c r="AQ20" s="19">
        <f t="shared" si="21"/>
        <v>9980.1002470521835</v>
      </c>
      <c r="AR20" s="19">
        <f t="shared" si="6"/>
        <v>0.92428853535337119</v>
      </c>
      <c r="AS20" s="19" t="e">
        <f t="shared" si="18"/>
        <v>#VALUE!</v>
      </c>
    </row>
    <row r="21" spans="1:45" x14ac:dyDescent="0.3">
      <c r="A21">
        <v>-3.57</v>
      </c>
      <c r="B21">
        <v>1</v>
      </c>
      <c r="C21">
        <v>1</v>
      </c>
      <c r="H21" s="4">
        <v>9</v>
      </c>
      <c r="I21" s="4">
        <f>J20</f>
        <v>8.0469022513709323</v>
      </c>
      <c r="J21" s="4">
        <f>I21+F5</f>
        <v>12.070354502741864</v>
      </c>
      <c r="K21" s="4">
        <f t="shared" si="7"/>
        <v>10.058628377056397</v>
      </c>
      <c r="L21" s="4">
        <v>8</v>
      </c>
      <c r="M21" s="4">
        <f t="shared" si="8"/>
        <v>4.0000000000000001E-3</v>
      </c>
      <c r="N21" s="4">
        <f t="shared" si="9"/>
        <v>0.4</v>
      </c>
      <c r="O21" s="4">
        <f t="shared" si="19"/>
        <v>1997</v>
      </c>
      <c r="P21" s="4">
        <f t="shared" si="22"/>
        <v>0.99850000000000005</v>
      </c>
      <c r="Q21" s="4">
        <f t="shared" si="10"/>
        <v>4.0234513508225593E-2</v>
      </c>
      <c r="R21" s="4">
        <f t="shared" si="11"/>
        <v>101.17600482772421</v>
      </c>
      <c r="S21" s="4">
        <f t="shared" si="12"/>
        <v>0.40470401931089689</v>
      </c>
      <c r="T21" s="4">
        <f t="shared" si="13"/>
        <v>1.6188160772435877E-3</v>
      </c>
      <c r="U21" s="4">
        <f t="shared" si="14"/>
        <v>0.40308520323365332</v>
      </c>
      <c r="V21" s="4">
        <f t="shared" si="15"/>
        <v>10.058628377056397</v>
      </c>
      <c r="W21" s="4">
        <f t="shared" si="16"/>
        <v>80.469027016451179</v>
      </c>
      <c r="AA21" s="23"/>
      <c r="AB21" s="22">
        <v>5.0000000000000001E-4</v>
      </c>
      <c r="AC21" s="22" t="str">
        <f t="shared" si="0"/>
        <v>-10,9657842846621</v>
      </c>
      <c r="AD21" s="22">
        <f t="shared" si="1"/>
        <v>-5.4828921423310502E-3</v>
      </c>
      <c r="AI21">
        <f t="shared" si="2"/>
        <v>-7.6009024595420822</v>
      </c>
      <c r="AJ21">
        <f t="shared" si="3"/>
        <v>-3.800451229771041E-3</v>
      </c>
      <c r="AL21" s="19">
        <f t="shared" si="4"/>
        <v>18.105532879798265</v>
      </c>
      <c r="AM21" s="19">
        <f t="shared" si="4"/>
        <v>18.105532879798265</v>
      </c>
      <c r="AN21" s="19">
        <f t="shared" si="20"/>
        <v>4324.0631458129128</v>
      </c>
      <c r="AO21" s="19" t="str">
        <f t="shared" si="5"/>
        <v>Entropía = - sumatorio de fi*log2(fi) =  0,8216932</v>
      </c>
      <c r="AP21" s="19">
        <f t="shared" si="17"/>
        <v>327.81032086145603</v>
      </c>
      <c r="AQ21" s="19">
        <f t="shared" si="21"/>
        <v>10307.910567913639</v>
      </c>
      <c r="AR21" s="19">
        <f t="shared" si="6"/>
        <v>0.95464808223590358</v>
      </c>
      <c r="AS21" s="19" t="e">
        <f t="shared" si="18"/>
        <v>#VALUE!</v>
      </c>
    </row>
    <row r="22" spans="1:45" x14ac:dyDescent="0.3">
      <c r="A22">
        <v>-3.51</v>
      </c>
      <c r="B22">
        <v>1</v>
      </c>
      <c r="C22">
        <v>1</v>
      </c>
      <c r="H22" s="4">
        <v>10</v>
      </c>
      <c r="I22" s="4">
        <f>J21</f>
        <v>12.070354502741864</v>
      </c>
      <c r="J22" s="4">
        <f>I22+F5</f>
        <v>16.093806754112798</v>
      </c>
      <c r="K22" s="4">
        <f t="shared" si="7"/>
        <v>14.082080628427331</v>
      </c>
      <c r="L22" s="5">
        <v>1</v>
      </c>
      <c r="M22" s="4">
        <f t="shared" si="8"/>
        <v>5.0000000000000001E-4</v>
      </c>
      <c r="N22" s="4">
        <f t="shared" si="9"/>
        <v>0.05</v>
      </c>
      <c r="O22" s="4">
        <v>1998</v>
      </c>
      <c r="P22" s="4">
        <f t="shared" si="22"/>
        <v>0.999</v>
      </c>
      <c r="Q22" s="4">
        <f t="shared" si="10"/>
        <v>7.0410403142136656E-3</v>
      </c>
      <c r="R22" s="4">
        <f t="shared" si="11"/>
        <v>198.3049948255283</v>
      </c>
      <c r="S22" s="4">
        <f t="shared" si="12"/>
        <v>9.9152497412764148E-2</v>
      </c>
      <c r="T22" s="4">
        <f t="shared" si="13"/>
        <v>4.9576248706382075E-5</v>
      </c>
      <c r="U22" s="4">
        <f t="shared" si="14"/>
        <v>9.9102921164057764E-2</v>
      </c>
      <c r="V22" s="4">
        <f t="shared" si="15"/>
        <v>14.082080628427331</v>
      </c>
      <c r="W22" s="4">
        <f t="shared" si="16"/>
        <v>14.082080628427331</v>
      </c>
      <c r="AA22" s="20" t="s">
        <v>4748</v>
      </c>
      <c r="AB22" s="20">
        <v>1</v>
      </c>
      <c r="AC22" s="20">
        <f>SUM(AC10:AC21)</f>
        <v>0</v>
      </c>
      <c r="AD22" s="20">
        <v>-0.82169322499999997</v>
      </c>
      <c r="AI22">
        <f t="shared" si="2"/>
        <v>-7.6009024595420822</v>
      </c>
      <c r="AJ22">
        <f t="shared" si="3"/>
        <v>-3.800451229771041E-3</v>
      </c>
      <c r="AL22" s="19">
        <f t="shared" si="4"/>
        <v>22.128985131169198</v>
      </c>
      <c r="AM22" s="19">
        <f t="shared" si="4"/>
        <v>22.128985131169198</v>
      </c>
      <c r="AN22" s="19">
        <f t="shared" si="20"/>
        <v>4346.1921309440822</v>
      </c>
      <c r="AO22" s="19">
        <f t="shared" si="5"/>
        <v>0</v>
      </c>
      <c r="AP22" s="19">
        <f t="shared" si="17"/>
        <v>489.69198293550744</v>
      </c>
      <c r="AQ22" s="19">
        <f t="shared" si="21"/>
        <v>10797.602550849148</v>
      </c>
      <c r="AR22" s="19">
        <f t="shared" si="6"/>
        <v>1</v>
      </c>
      <c r="AS22" s="19">
        <f t="shared" si="18"/>
        <v>-1</v>
      </c>
    </row>
    <row r="23" spans="1:45" x14ac:dyDescent="0.3">
      <c r="A23">
        <v>-3.37</v>
      </c>
      <c r="B23">
        <v>1</v>
      </c>
      <c r="C23">
        <v>1</v>
      </c>
      <c r="H23" s="4">
        <v>11</v>
      </c>
      <c r="I23" s="4">
        <f>J22</f>
        <v>16.093806754112798</v>
      </c>
      <c r="J23" s="4">
        <f>F5+J22</f>
        <v>20.117259005483731</v>
      </c>
      <c r="K23" s="4">
        <f t="shared" si="7"/>
        <v>18.105532879798265</v>
      </c>
      <c r="L23" s="4">
        <v>1</v>
      </c>
      <c r="M23" s="4">
        <f t="shared" si="8"/>
        <v>5.0000000000000001E-4</v>
      </c>
      <c r="N23" s="4">
        <f t="shared" si="9"/>
        <v>0.05</v>
      </c>
      <c r="O23" s="4">
        <v>1999</v>
      </c>
      <c r="P23" s="4">
        <f t="shared" si="22"/>
        <v>0.99949999999999994</v>
      </c>
      <c r="Q23" s="4">
        <f t="shared" si="10"/>
        <v>9.052766439899133E-3</v>
      </c>
      <c r="R23" s="4">
        <f t="shared" si="11"/>
        <v>327.81032086145603</v>
      </c>
      <c r="S23" s="4">
        <f t="shared" si="12"/>
        <v>0.16390516043072803</v>
      </c>
      <c r="T23" s="4">
        <f t="shared" si="13"/>
        <v>8.1952580215364026E-5</v>
      </c>
      <c r="U23" s="4">
        <f t="shared" si="14"/>
        <v>0.16382320785051266</v>
      </c>
      <c r="V23" s="4">
        <f t="shared" si="15"/>
        <v>18.105532879798265</v>
      </c>
      <c r="W23" s="4">
        <f t="shared" si="16"/>
        <v>18.105532879798265</v>
      </c>
      <c r="AA23" s="54" t="s">
        <v>4750</v>
      </c>
      <c r="AB23" s="55"/>
      <c r="AC23" s="55"/>
      <c r="AD23" s="56"/>
      <c r="AE23" s="21"/>
      <c r="AF23" s="21"/>
      <c r="AL23" s="19">
        <f t="shared" si="4"/>
        <v>148.98655466356357</v>
      </c>
      <c r="AM23" s="19">
        <f t="shared" si="4"/>
        <v>4415.9259366153638</v>
      </c>
      <c r="AN23" s="19">
        <f t="shared" si="20"/>
        <v>8762.118067559446</v>
      </c>
      <c r="AO23" s="19">
        <f t="shared" si="5"/>
        <v>0</v>
      </c>
      <c r="AP23" s="19">
        <f t="shared" si="17"/>
        <v>657913.59094579308</v>
      </c>
      <c r="AQ23" s="19">
        <f t="shared" si="21"/>
        <v>668711.19349664229</v>
      </c>
      <c r="AR23" s="19">
        <f t="shared" si="6"/>
        <v>61.931451018638704</v>
      </c>
      <c r="AS23" s="19">
        <f t="shared" si="18"/>
        <v>-61.931451018638704</v>
      </c>
    </row>
    <row r="24" spans="1:45" x14ac:dyDescent="0.3">
      <c r="A24">
        <v>-3.22</v>
      </c>
      <c r="B24">
        <v>1</v>
      </c>
      <c r="C24">
        <v>1</v>
      </c>
      <c r="H24" s="6">
        <v>12</v>
      </c>
      <c r="I24" s="6">
        <f>J23</f>
        <v>20.117259005483731</v>
      </c>
      <c r="J24" s="6">
        <f>I24+F5</f>
        <v>24.140711256854665</v>
      </c>
      <c r="K24" s="6">
        <f t="shared" si="7"/>
        <v>22.128985131169198</v>
      </c>
      <c r="L24" s="6">
        <v>1</v>
      </c>
      <c r="M24" s="6">
        <f t="shared" si="8"/>
        <v>5.0000000000000001E-4</v>
      </c>
      <c r="N24" s="6">
        <f t="shared" si="9"/>
        <v>0.05</v>
      </c>
      <c r="O24" s="6">
        <v>2000</v>
      </c>
      <c r="P24" s="6">
        <f t="shared" si="22"/>
        <v>0.99999999999999989</v>
      </c>
      <c r="Q24" s="4">
        <f t="shared" si="10"/>
        <v>1.1064492565584599E-2</v>
      </c>
      <c r="R24" s="4">
        <f t="shared" si="11"/>
        <v>489.69198293550744</v>
      </c>
      <c r="S24" s="4">
        <f t="shared" si="12"/>
        <v>0.24484599146775374</v>
      </c>
      <c r="T24" s="4">
        <f t="shared" si="13"/>
        <v>1.2242299573387685E-4</v>
      </c>
      <c r="U24" s="4">
        <f t="shared" si="14"/>
        <v>0.24472356847201987</v>
      </c>
      <c r="V24" s="4">
        <f t="shared" si="15"/>
        <v>22.128985131169198</v>
      </c>
      <c r="W24" s="4">
        <f t="shared" si="16"/>
        <v>22.128985131169198</v>
      </c>
      <c r="AL24" s="19">
        <f t="shared" si="4"/>
        <v>0</v>
      </c>
      <c r="AM24" s="19">
        <f t="shared" si="4"/>
        <v>2.2079629683076818</v>
      </c>
      <c r="AN24" s="19">
        <f t="shared" si="20"/>
        <v>8764.3260305277545</v>
      </c>
      <c r="AO24" s="19">
        <f t="shared" si="5"/>
        <v>0</v>
      </c>
      <c r="AP24" s="19">
        <f t="shared" si="17"/>
        <v>0</v>
      </c>
      <c r="AQ24" s="19">
        <f t="shared" si="21"/>
        <v>668711.19349664229</v>
      </c>
      <c r="AR24" s="19">
        <f t="shared" si="6"/>
        <v>61.931451018638704</v>
      </c>
      <c r="AS24" s="19">
        <f t="shared" si="18"/>
        <v>-61.931451018638704</v>
      </c>
    </row>
    <row r="25" spans="1:45" x14ac:dyDescent="0.3">
      <c r="A25">
        <v>-2.83</v>
      </c>
      <c r="B25">
        <v>1</v>
      </c>
      <c r="C25">
        <v>1</v>
      </c>
      <c r="H25" s="8" t="s">
        <v>4714</v>
      </c>
      <c r="I25" s="8"/>
      <c r="J25" s="8"/>
      <c r="K25" s="8"/>
      <c r="L25" s="9">
        <v>2000</v>
      </c>
      <c r="M25" s="9">
        <f t="shared" si="8"/>
        <v>1</v>
      </c>
      <c r="N25" s="9">
        <f t="shared" si="9"/>
        <v>100</v>
      </c>
      <c r="O25" s="8"/>
      <c r="P25" s="8"/>
      <c r="Q25" s="8">
        <f t="shared" ref="Q25:W25" si="23">SUM(Q13:Q24)</f>
        <v>1.5112180241687945</v>
      </c>
      <c r="R25" s="8">
        <f t="shared" si="23"/>
        <v>2428.0755093755288</v>
      </c>
      <c r="S25" s="8">
        <f t="shared" si="23"/>
        <v>6.6813459553545878</v>
      </c>
      <c r="T25" s="8">
        <f t="shared" si="23"/>
        <v>2.9178286714633836</v>
      </c>
      <c r="U25" s="8">
        <f t="shared" si="23"/>
        <v>3.7635172838912032</v>
      </c>
      <c r="V25" s="8">
        <f t="shared" si="23"/>
        <v>148.98655466356357</v>
      </c>
      <c r="W25" s="8">
        <f t="shared" si="23"/>
        <v>4415.9259366153638</v>
      </c>
    </row>
    <row r="26" spans="1:45" x14ac:dyDescent="0.3">
      <c r="A26">
        <v>-2.5</v>
      </c>
      <c r="B26">
        <v>1</v>
      </c>
      <c r="C26">
        <v>1</v>
      </c>
      <c r="W26" s="27">
        <f>W25/2000</f>
        <v>2.2079629683076818</v>
      </c>
      <c r="AL26" s="31" t="s">
        <v>4775</v>
      </c>
      <c r="AM26" s="18" t="e">
        <f>SUM(AS13:AS23)</f>
        <v>#VALUE!</v>
      </c>
    </row>
    <row r="27" spans="1:45" x14ac:dyDescent="0.3">
      <c r="A27">
        <v>-2.4</v>
      </c>
      <c r="B27">
        <v>1</v>
      </c>
      <c r="C27">
        <v>1</v>
      </c>
      <c r="AL27" s="31" t="s">
        <v>4776</v>
      </c>
      <c r="AM27" s="18">
        <f>SUM(AO13:AO23)</f>
        <v>0</v>
      </c>
    </row>
    <row r="28" spans="1:45" x14ac:dyDescent="0.3">
      <c r="A28">
        <v>-2.2799999999999998</v>
      </c>
      <c r="B28">
        <v>1</v>
      </c>
      <c r="C28">
        <v>1</v>
      </c>
    </row>
    <row r="29" spans="1:45" x14ac:dyDescent="0.3">
      <c r="A29">
        <v>-2.19</v>
      </c>
      <c r="B29">
        <v>1</v>
      </c>
      <c r="C29">
        <v>1</v>
      </c>
      <c r="G29" s="11"/>
      <c r="AL29" s="31" t="s">
        <v>4777</v>
      </c>
      <c r="AM29" s="18" t="e">
        <f>AM26/AM27</f>
        <v>#VALUE!</v>
      </c>
    </row>
    <row r="30" spans="1:45" x14ac:dyDescent="0.3">
      <c r="A30">
        <v>-2.02</v>
      </c>
      <c r="B30">
        <v>1</v>
      </c>
      <c r="C30">
        <v>1</v>
      </c>
      <c r="G30" s="10"/>
    </row>
    <row r="31" spans="1:45" x14ac:dyDescent="0.3">
      <c r="A31">
        <v>-2</v>
      </c>
      <c r="B31">
        <v>1</v>
      </c>
      <c r="C31">
        <v>1</v>
      </c>
    </row>
    <row r="32" spans="1:45" x14ac:dyDescent="0.3">
      <c r="A32">
        <v>-1.99</v>
      </c>
      <c r="B32">
        <v>1</v>
      </c>
      <c r="C32">
        <v>1</v>
      </c>
    </row>
    <row r="33" spans="1:3" x14ac:dyDescent="0.3">
      <c r="A33">
        <v>-1.99</v>
      </c>
      <c r="B33">
        <v>1</v>
      </c>
      <c r="C33">
        <v>1</v>
      </c>
    </row>
    <row r="34" spans="1:3" x14ac:dyDescent="0.3">
      <c r="A34">
        <v>-1.93</v>
      </c>
      <c r="B34">
        <v>1</v>
      </c>
      <c r="C34">
        <v>1</v>
      </c>
    </row>
    <row r="35" spans="1:3" x14ac:dyDescent="0.3">
      <c r="A35">
        <v>-1.8</v>
      </c>
      <c r="B35">
        <v>1</v>
      </c>
      <c r="C35">
        <v>1</v>
      </c>
    </row>
    <row r="36" spans="1:3" x14ac:dyDescent="0.3">
      <c r="A36">
        <v>-1.79</v>
      </c>
      <c r="B36">
        <v>1</v>
      </c>
      <c r="C36">
        <v>1</v>
      </c>
    </row>
    <row r="37" spans="1:3" x14ac:dyDescent="0.3">
      <c r="A37">
        <v>-1.76</v>
      </c>
      <c r="B37">
        <v>1</v>
      </c>
      <c r="C37">
        <v>1</v>
      </c>
    </row>
    <row r="38" spans="1:3" x14ac:dyDescent="0.3">
      <c r="A38">
        <v>-1.72</v>
      </c>
      <c r="B38">
        <v>1</v>
      </c>
      <c r="C38">
        <v>1</v>
      </c>
    </row>
    <row r="39" spans="1:3" x14ac:dyDescent="0.3">
      <c r="A39">
        <v>-1.65</v>
      </c>
      <c r="B39">
        <v>1</v>
      </c>
      <c r="C39">
        <v>1</v>
      </c>
    </row>
    <row r="40" spans="1:3" x14ac:dyDescent="0.3">
      <c r="A40">
        <v>-1.65</v>
      </c>
      <c r="B40">
        <v>1</v>
      </c>
      <c r="C40">
        <v>1</v>
      </c>
    </row>
    <row r="41" spans="1:3" x14ac:dyDescent="0.3">
      <c r="A41">
        <v>-1.52</v>
      </c>
      <c r="B41">
        <v>1</v>
      </c>
      <c r="C41">
        <v>1</v>
      </c>
    </row>
    <row r="42" spans="1:3" x14ac:dyDescent="0.3">
      <c r="A42">
        <v>-1.51</v>
      </c>
      <c r="B42">
        <v>1</v>
      </c>
      <c r="C42">
        <v>1</v>
      </c>
    </row>
    <row r="43" spans="1:3" x14ac:dyDescent="0.3">
      <c r="A43">
        <v>-1.5</v>
      </c>
      <c r="B43">
        <v>1</v>
      </c>
      <c r="C43">
        <v>1</v>
      </c>
    </row>
    <row r="44" spans="1:3" x14ac:dyDescent="0.3">
      <c r="A44">
        <v>-1.48</v>
      </c>
      <c r="B44">
        <v>1</v>
      </c>
      <c r="C44">
        <v>1</v>
      </c>
    </row>
    <row r="45" spans="1:3" x14ac:dyDescent="0.3">
      <c r="A45">
        <v>-1.45</v>
      </c>
      <c r="B45">
        <v>1</v>
      </c>
      <c r="C45">
        <v>1</v>
      </c>
    </row>
    <row r="46" spans="1:3" x14ac:dyDescent="0.3">
      <c r="A46">
        <v>-1.44</v>
      </c>
      <c r="B46">
        <v>1</v>
      </c>
      <c r="C46">
        <v>1</v>
      </c>
    </row>
    <row r="47" spans="1:3" x14ac:dyDescent="0.3">
      <c r="A47">
        <v>-1.37</v>
      </c>
      <c r="B47">
        <v>1</v>
      </c>
      <c r="C47">
        <v>1</v>
      </c>
    </row>
    <row r="48" spans="1:3" x14ac:dyDescent="0.3">
      <c r="A48">
        <v>-1.27</v>
      </c>
      <c r="B48">
        <v>1</v>
      </c>
      <c r="C48">
        <v>1</v>
      </c>
    </row>
    <row r="49" spans="1:21" x14ac:dyDescent="0.3">
      <c r="A49">
        <v>-1.23</v>
      </c>
      <c r="B49">
        <v>1</v>
      </c>
      <c r="C49">
        <v>1</v>
      </c>
    </row>
    <row r="50" spans="1:21" x14ac:dyDescent="0.3">
      <c r="A50">
        <v>-1.23</v>
      </c>
      <c r="B50">
        <v>1</v>
      </c>
      <c r="C50">
        <v>1</v>
      </c>
    </row>
    <row r="51" spans="1:21" x14ac:dyDescent="0.3">
      <c r="A51">
        <v>-1.22</v>
      </c>
      <c r="B51">
        <v>1</v>
      </c>
      <c r="C51">
        <v>1</v>
      </c>
      <c r="F51" s="12" t="s">
        <v>4730</v>
      </c>
      <c r="G51" s="13"/>
      <c r="J51" s="16" t="s">
        <v>4731</v>
      </c>
      <c r="K51" s="16"/>
    </row>
    <row r="52" spans="1:21" x14ac:dyDescent="0.3">
      <c r="A52">
        <v>-1.21</v>
      </c>
      <c r="B52">
        <v>1</v>
      </c>
      <c r="C52">
        <v>1</v>
      </c>
      <c r="F52" s="14" t="s">
        <v>4723</v>
      </c>
      <c r="G52" s="15">
        <f>Q25</f>
        <v>1.5112180241687945</v>
      </c>
      <c r="J52" s="14" t="s">
        <v>4732</v>
      </c>
      <c r="K52" s="15">
        <f>_xlfn.PERCENTILE.EXC(K13:K24,0.25)</f>
        <v>-13.068398874314532</v>
      </c>
      <c r="M52" s="16" t="s">
        <v>4743</v>
      </c>
      <c r="N52" s="16"/>
    </row>
    <row r="53" spans="1:21" x14ac:dyDescent="0.3">
      <c r="A53">
        <v>-1.1599999999999999</v>
      </c>
      <c r="B53">
        <v>1</v>
      </c>
      <c r="C53">
        <v>1</v>
      </c>
      <c r="F53" s="14" t="s">
        <v>4724</v>
      </c>
      <c r="G53" s="15" t="s">
        <v>4725</v>
      </c>
      <c r="J53" s="14" t="s">
        <v>4737</v>
      </c>
      <c r="K53" s="15">
        <f>G56</f>
        <v>1.9880628427331182E-3</v>
      </c>
      <c r="M53" s="14" t="s">
        <v>4738</v>
      </c>
      <c r="N53" s="15">
        <f>F3-F4</f>
        <v>46.79</v>
      </c>
      <c r="R53" s="2" t="s">
        <v>4706</v>
      </c>
      <c r="S53" s="2" t="s">
        <v>4710</v>
      </c>
    </row>
    <row r="54" spans="1:21" x14ac:dyDescent="0.3">
      <c r="A54">
        <v>-1.1000000000000001</v>
      </c>
      <c r="B54">
        <v>1</v>
      </c>
      <c r="C54">
        <v>1</v>
      </c>
      <c r="F54" s="14" t="s">
        <v>4726</v>
      </c>
      <c r="G54" s="15" t="s">
        <v>4725</v>
      </c>
      <c r="J54" s="14" t="s">
        <v>4733</v>
      </c>
      <c r="K54" s="15">
        <f>_xlfn.PERCENTILE.EXC(K13:K24,0.75)</f>
        <v>13.076217565584598</v>
      </c>
      <c r="M54" s="14" t="s">
        <v>4739</v>
      </c>
      <c r="N54" s="15">
        <f>U25</f>
        <v>3.7635172838912032</v>
      </c>
      <c r="R54" s="2" t="s">
        <v>4707</v>
      </c>
      <c r="S54">
        <v>1</v>
      </c>
      <c r="T54" t="s">
        <v>4708</v>
      </c>
      <c r="U54" t="s">
        <v>4709</v>
      </c>
    </row>
    <row r="55" spans="1:21" x14ac:dyDescent="0.3">
      <c r="A55">
        <v>-1.03</v>
      </c>
      <c r="B55">
        <v>1</v>
      </c>
      <c r="C55">
        <v>1</v>
      </c>
      <c r="F55" s="14" t="s">
        <v>4727</v>
      </c>
      <c r="G55" s="15" t="s">
        <v>4728</v>
      </c>
      <c r="J55" s="14" t="s">
        <v>4734</v>
      </c>
      <c r="K55" s="15">
        <f>_xlfn.PERCENTILE.EXC(K13:K24,0.3)</f>
        <v>-10.453123874314533</v>
      </c>
      <c r="M55" s="14" t="s">
        <v>4740</v>
      </c>
      <c r="N55" s="15">
        <f>SQRT(N54)</f>
        <v>1.9399786812981228</v>
      </c>
      <c r="R55" s="3">
        <v>-25.83</v>
      </c>
      <c r="S55">
        <v>1</v>
      </c>
      <c r="U55">
        <v>1</v>
      </c>
    </row>
    <row r="56" spans="1:21" x14ac:dyDescent="0.3">
      <c r="A56">
        <v>-1.01</v>
      </c>
      <c r="B56">
        <v>1</v>
      </c>
      <c r="C56">
        <v>1</v>
      </c>
      <c r="F56" s="14" t="s">
        <v>4729</v>
      </c>
      <c r="G56" s="15">
        <f>MEDIAN(K13:K24)</f>
        <v>1.9880628427331182E-3</v>
      </c>
      <c r="J56" s="14" t="s">
        <v>4735</v>
      </c>
      <c r="K56" s="15">
        <f>_xlfn.PERCENTILE.EXC(K13:K24,0.7)</f>
        <v>10.460973602193489</v>
      </c>
      <c r="M56" s="14" t="s">
        <v>4741</v>
      </c>
      <c r="N56" s="15">
        <f>N55/N58</f>
        <v>1.283718596702919</v>
      </c>
      <c r="R56" s="3">
        <v>-21.78</v>
      </c>
      <c r="S56">
        <v>1</v>
      </c>
      <c r="U56">
        <v>1</v>
      </c>
    </row>
    <row r="57" spans="1:21" x14ac:dyDescent="0.3">
      <c r="A57">
        <v>-1</v>
      </c>
      <c r="B57">
        <v>1</v>
      </c>
      <c r="C57">
        <v>1</v>
      </c>
      <c r="J57" s="14" t="s">
        <v>4736</v>
      </c>
      <c r="K57" s="15">
        <f>_xlfn.PERCENTILE.EXC(K13:K24,0.9)</f>
        <v>20.921949455757922</v>
      </c>
      <c r="M57" s="14" t="s">
        <v>4742</v>
      </c>
      <c r="N57" s="15">
        <f>K54-K52</f>
        <v>26.144616439899131</v>
      </c>
      <c r="R57" s="3">
        <v>-20.11</v>
      </c>
      <c r="S57">
        <v>1</v>
      </c>
      <c r="U57">
        <v>1</v>
      </c>
    </row>
    <row r="58" spans="1:21" x14ac:dyDescent="0.3">
      <c r="A58">
        <v>-1</v>
      </c>
      <c r="B58">
        <v>1</v>
      </c>
      <c r="C58">
        <v>1</v>
      </c>
      <c r="M58" s="14" t="s">
        <v>232</v>
      </c>
      <c r="N58" s="15">
        <f>G52</f>
        <v>1.5112180241687945</v>
      </c>
      <c r="R58" s="3">
        <v>-16.03</v>
      </c>
      <c r="S58">
        <v>1</v>
      </c>
      <c r="U58">
        <v>1</v>
      </c>
    </row>
    <row r="59" spans="1:21" x14ac:dyDescent="0.3">
      <c r="A59">
        <v>-0.98</v>
      </c>
      <c r="B59">
        <v>1</v>
      </c>
      <c r="C59">
        <v>1</v>
      </c>
      <c r="M59" s="14" t="s">
        <v>4763</v>
      </c>
      <c r="N59" s="26">
        <f>X11</f>
        <v>2.2079629683076818</v>
      </c>
      <c r="R59" s="3">
        <v>-15.51</v>
      </c>
      <c r="S59">
        <v>1</v>
      </c>
      <c r="U59">
        <v>1</v>
      </c>
    </row>
    <row r="60" spans="1:21" x14ac:dyDescent="0.3">
      <c r="A60">
        <v>-0.96</v>
      </c>
      <c r="B60">
        <v>1</v>
      </c>
      <c r="C60">
        <v>1</v>
      </c>
      <c r="M60" s="14" t="s">
        <v>4765</v>
      </c>
      <c r="N60" s="15">
        <v>0.82169320000000001</v>
      </c>
      <c r="R60" s="3">
        <v>-10.32</v>
      </c>
      <c r="S60">
        <v>1</v>
      </c>
      <c r="U60">
        <v>1</v>
      </c>
    </row>
    <row r="61" spans="1:21" x14ac:dyDescent="0.3">
      <c r="A61">
        <v>-0.96</v>
      </c>
      <c r="B61">
        <v>1</v>
      </c>
      <c r="C61">
        <v>1</v>
      </c>
      <c r="R61" s="3">
        <v>-10.02</v>
      </c>
      <c r="S61">
        <v>1</v>
      </c>
      <c r="U61">
        <v>1</v>
      </c>
    </row>
    <row r="62" spans="1:21" x14ac:dyDescent="0.3">
      <c r="A62">
        <v>-0.96</v>
      </c>
      <c r="B62">
        <v>1</v>
      </c>
      <c r="C62">
        <v>1</v>
      </c>
      <c r="E62" s="17" t="s">
        <v>4744</v>
      </c>
      <c r="I62" s="17" t="s">
        <v>4745</v>
      </c>
      <c r="R62" s="3">
        <v>-7.09</v>
      </c>
      <c r="S62">
        <v>1</v>
      </c>
      <c r="U62">
        <v>1</v>
      </c>
    </row>
    <row r="63" spans="1:21" x14ac:dyDescent="0.3">
      <c r="A63">
        <v>-0.95</v>
      </c>
      <c r="B63">
        <v>1</v>
      </c>
      <c r="C63">
        <v>1</v>
      </c>
      <c r="E63">
        <f>SKEW(K13:K24)</f>
        <v>-6.9093633531708054E-2</v>
      </c>
      <c r="I63">
        <f>KURT(K13:K24)</f>
        <v>-1.1191889608777155</v>
      </c>
      <c r="R63" s="3">
        <v>-5.86</v>
      </c>
      <c r="S63">
        <v>1</v>
      </c>
      <c r="U63">
        <v>1</v>
      </c>
    </row>
    <row r="64" spans="1:21" x14ac:dyDescent="0.3">
      <c r="A64">
        <v>-0.93</v>
      </c>
      <c r="B64">
        <v>1</v>
      </c>
      <c r="C64">
        <v>1</v>
      </c>
      <c r="R64" s="3">
        <v>-5.15</v>
      </c>
      <c r="S64">
        <v>1</v>
      </c>
      <c r="U64">
        <v>1</v>
      </c>
    </row>
    <row r="65" spans="1:21" x14ac:dyDescent="0.3">
      <c r="A65">
        <v>-0.91</v>
      </c>
      <c r="B65">
        <v>1</v>
      </c>
      <c r="C65">
        <v>1</v>
      </c>
      <c r="R65" s="3">
        <v>-5.0999999999999996</v>
      </c>
      <c r="S65">
        <v>1</v>
      </c>
      <c r="U65">
        <v>1</v>
      </c>
    </row>
    <row r="66" spans="1:21" x14ac:dyDescent="0.3">
      <c r="A66">
        <v>-0.91</v>
      </c>
      <c r="B66">
        <v>1</v>
      </c>
      <c r="C66">
        <v>1</v>
      </c>
      <c r="R66" s="3">
        <v>-4.9800000000000004</v>
      </c>
      <c r="S66">
        <v>1</v>
      </c>
      <c r="U66">
        <v>1</v>
      </c>
    </row>
    <row r="67" spans="1:21" x14ac:dyDescent="0.3">
      <c r="A67">
        <v>-0.87</v>
      </c>
      <c r="B67">
        <v>1</v>
      </c>
      <c r="C67">
        <v>1</v>
      </c>
      <c r="R67" s="3">
        <v>-4.45</v>
      </c>
      <c r="S67">
        <v>1</v>
      </c>
      <c r="U67">
        <v>1</v>
      </c>
    </row>
    <row r="68" spans="1:21" x14ac:dyDescent="0.3">
      <c r="A68">
        <v>-0.87</v>
      </c>
      <c r="B68">
        <v>1</v>
      </c>
      <c r="C68">
        <v>1</v>
      </c>
      <c r="F68" s="17" t="s">
        <v>4766</v>
      </c>
      <c r="R68" s="3">
        <v>-4.1500000000000004</v>
      </c>
      <c r="S68">
        <v>1</v>
      </c>
      <c r="U68">
        <v>1</v>
      </c>
    </row>
    <row r="69" spans="1:21" x14ac:dyDescent="0.3">
      <c r="A69">
        <v>-0.87</v>
      </c>
      <c r="B69">
        <v>1</v>
      </c>
      <c r="C69">
        <v>1</v>
      </c>
      <c r="R69" s="3">
        <v>-4.09</v>
      </c>
      <c r="S69">
        <v>1</v>
      </c>
      <c r="U69">
        <v>1</v>
      </c>
    </row>
    <row r="70" spans="1:21" x14ac:dyDescent="0.3">
      <c r="A70">
        <v>-0.86</v>
      </c>
      <c r="B70">
        <v>1</v>
      </c>
      <c r="C70">
        <v>1</v>
      </c>
      <c r="F70" s="29" t="s">
        <v>4767</v>
      </c>
      <c r="G70" s="26">
        <f>1.5*N57</f>
        <v>39.216924659848701</v>
      </c>
      <c r="M70">
        <v>-52</v>
      </c>
      <c r="R70" s="3">
        <v>-3.96</v>
      </c>
      <c r="S70">
        <v>1</v>
      </c>
      <c r="U70">
        <v>1</v>
      </c>
    </row>
    <row r="71" spans="1:21" x14ac:dyDescent="0.3">
      <c r="A71">
        <v>-0.86</v>
      </c>
      <c r="B71">
        <v>1</v>
      </c>
      <c r="C71">
        <v>1</v>
      </c>
      <c r="F71" s="29" t="s">
        <v>4768</v>
      </c>
      <c r="G71" s="26">
        <f>G70+K54</f>
        <v>52.2931422254333</v>
      </c>
      <c r="M71">
        <f t="shared" ref="M71:M82" si="24">(I13+J13)/2</f>
        <v>-23.818273874314531</v>
      </c>
      <c r="R71" s="3">
        <v>-3.94</v>
      </c>
      <c r="S71">
        <v>1</v>
      </c>
      <c r="U71">
        <v>1</v>
      </c>
    </row>
    <row r="72" spans="1:21" x14ac:dyDescent="0.3">
      <c r="A72">
        <v>-0.85</v>
      </c>
      <c r="B72">
        <v>1</v>
      </c>
      <c r="C72">
        <v>1</v>
      </c>
      <c r="F72" s="29" t="s">
        <v>4769</v>
      </c>
      <c r="G72" s="26">
        <f>K52-G70</f>
        <v>-52.285323534163233</v>
      </c>
      <c r="M72">
        <f t="shared" si="24"/>
        <v>-19.074821874314534</v>
      </c>
      <c r="R72" s="3">
        <v>-3.78</v>
      </c>
      <c r="S72">
        <v>1</v>
      </c>
      <c r="U72">
        <v>1</v>
      </c>
    </row>
    <row r="73" spans="1:21" x14ac:dyDescent="0.3">
      <c r="A73">
        <v>-0.82</v>
      </c>
      <c r="B73">
        <v>1</v>
      </c>
      <c r="C73">
        <v>1</v>
      </c>
      <c r="M73">
        <f t="shared" si="24"/>
        <v>-14.074273874314532</v>
      </c>
      <c r="R73" s="3">
        <v>-3.62</v>
      </c>
      <c r="S73">
        <v>1</v>
      </c>
      <c r="U73">
        <v>1</v>
      </c>
    </row>
    <row r="74" spans="1:21" x14ac:dyDescent="0.3">
      <c r="A74">
        <v>-0.81</v>
      </c>
      <c r="B74">
        <v>1</v>
      </c>
      <c r="C74">
        <v>1</v>
      </c>
      <c r="M74">
        <f t="shared" si="24"/>
        <v>-10.050773874314533</v>
      </c>
      <c r="R74" s="3">
        <v>-3.57</v>
      </c>
      <c r="S74">
        <v>1</v>
      </c>
      <c r="U74">
        <v>1</v>
      </c>
    </row>
    <row r="75" spans="1:21" x14ac:dyDescent="0.3">
      <c r="A75">
        <v>-0.81</v>
      </c>
      <c r="B75">
        <v>1</v>
      </c>
      <c r="C75">
        <v>1</v>
      </c>
      <c r="M75">
        <f t="shared" si="24"/>
        <v>-6.027313874314534</v>
      </c>
      <c r="R75" s="3">
        <v>-3.51</v>
      </c>
      <c r="S75">
        <v>1</v>
      </c>
      <c r="U75">
        <v>1</v>
      </c>
    </row>
    <row r="76" spans="1:21" x14ac:dyDescent="0.3">
      <c r="A76">
        <v>-0.81</v>
      </c>
      <c r="B76">
        <v>1</v>
      </c>
      <c r="C76">
        <v>1</v>
      </c>
      <c r="M76">
        <f t="shared" si="24"/>
        <v>-2.0077500000000001</v>
      </c>
      <c r="R76" s="3">
        <v>-3.37</v>
      </c>
      <c r="S76">
        <v>1</v>
      </c>
      <c r="U76">
        <v>1</v>
      </c>
    </row>
    <row r="77" spans="1:21" x14ac:dyDescent="0.3">
      <c r="A77">
        <v>-0.79</v>
      </c>
      <c r="B77">
        <v>1</v>
      </c>
      <c r="C77">
        <v>1</v>
      </c>
      <c r="F77" s="17"/>
      <c r="M77">
        <f t="shared" si="24"/>
        <v>2.0117261256854659</v>
      </c>
      <c r="R77" s="3">
        <v>-3.22</v>
      </c>
      <c r="S77">
        <v>1</v>
      </c>
      <c r="U77">
        <v>1</v>
      </c>
    </row>
    <row r="78" spans="1:21" x14ac:dyDescent="0.3">
      <c r="A78">
        <v>-0.77</v>
      </c>
      <c r="B78">
        <v>1</v>
      </c>
      <c r="C78">
        <v>1</v>
      </c>
      <c r="M78">
        <f t="shared" si="24"/>
        <v>6.0351761256854664</v>
      </c>
      <c r="R78" s="3">
        <v>-2.83</v>
      </c>
      <c r="S78">
        <v>1</v>
      </c>
      <c r="U78">
        <v>1</v>
      </c>
    </row>
    <row r="79" spans="1:21" x14ac:dyDescent="0.3">
      <c r="A79">
        <v>-0.77</v>
      </c>
      <c r="B79">
        <v>1</v>
      </c>
      <c r="C79">
        <v>1</v>
      </c>
      <c r="M79">
        <f t="shared" si="24"/>
        <v>10.058628377056397</v>
      </c>
      <c r="R79" s="3">
        <v>-2.5</v>
      </c>
      <c r="S79">
        <v>1</v>
      </c>
      <c r="U79">
        <v>1</v>
      </c>
    </row>
    <row r="80" spans="1:21" x14ac:dyDescent="0.3">
      <c r="A80">
        <v>-0.77</v>
      </c>
      <c r="B80">
        <v>1</v>
      </c>
      <c r="C80">
        <v>1</v>
      </c>
      <c r="M80">
        <f t="shared" si="24"/>
        <v>14.082080628427331</v>
      </c>
      <c r="R80" s="3">
        <v>-2.4</v>
      </c>
      <c r="S80">
        <v>1</v>
      </c>
      <c r="U80">
        <v>1</v>
      </c>
    </row>
    <row r="81" spans="1:21" x14ac:dyDescent="0.3">
      <c r="A81">
        <v>-0.76</v>
      </c>
      <c r="B81">
        <v>1</v>
      </c>
      <c r="C81">
        <v>1</v>
      </c>
      <c r="M81">
        <f t="shared" si="24"/>
        <v>18.105532879798265</v>
      </c>
      <c r="R81" s="3">
        <v>-2.2799999999999998</v>
      </c>
      <c r="S81">
        <v>1</v>
      </c>
      <c r="U81">
        <v>1</v>
      </c>
    </row>
    <row r="82" spans="1:21" x14ac:dyDescent="0.3">
      <c r="A82">
        <v>-0.74</v>
      </c>
      <c r="B82">
        <v>1</v>
      </c>
      <c r="C82">
        <v>1</v>
      </c>
      <c r="M82">
        <f t="shared" si="24"/>
        <v>22.128985131169198</v>
      </c>
      <c r="R82" s="3">
        <v>-2.19</v>
      </c>
      <c r="S82">
        <v>1</v>
      </c>
      <c r="U82">
        <v>1</v>
      </c>
    </row>
    <row r="83" spans="1:21" x14ac:dyDescent="0.3">
      <c r="A83">
        <v>-0.74</v>
      </c>
      <c r="B83">
        <v>1</v>
      </c>
      <c r="C83">
        <v>1</v>
      </c>
      <c r="M83">
        <v>52</v>
      </c>
      <c r="R83" s="3">
        <v>-2.02</v>
      </c>
      <c r="S83">
        <v>1</v>
      </c>
      <c r="U83">
        <v>1</v>
      </c>
    </row>
    <row r="84" spans="1:21" x14ac:dyDescent="0.3">
      <c r="A84">
        <v>-0.73</v>
      </c>
      <c r="B84">
        <v>1</v>
      </c>
      <c r="C84">
        <v>1</v>
      </c>
      <c r="R84" s="3">
        <v>-2</v>
      </c>
      <c r="S84">
        <v>1</v>
      </c>
      <c r="U84">
        <v>1</v>
      </c>
    </row>
    <row r="85" spans="1:21" x14ac:dyDescent="0.3">
      <c r="A85">
        <v>-0.73</v>
      </c>
      <c r="B85">
        <v>1</v>
      </c>
      <c r="C85">
        <v>1</v>
      </c>
      <c r="R85" s="3">
        <v>-1.99</v>
      </c>
      <c r="S85">
        <v>2</v>
      </c>
      <c r="U85">
        <v>2</v>
      </c>
    </row>
    <row r="86" spans="1:21" x14ac:dyDescent="0.3">
      <c r="A86">
        <v>-0.72</v>
      </c>
      <c r="B86">
        <v>1</v>
      </c>
      <c r="C86">
        <v>1</v>
      </c>
      <c r="R86" s="3">
        <v>-1.93</v>
      </c>
      <c r="S86">
        <v>1</v>
      </c>
      <c r="U86">
        <v>1</v>
      </c>
    </row>
    <row r="87" spans="1:21" x14ac:dyDescent="0.3">
      <c r="A87">
        <v>-0.72</v>
      </c>
      <c r="B87">
        <v>1</v>
      </c>
      <c r="C87">
        <v>1</v>
      </c>
      <c r="R87" s="3">
        <v>-1.8</v>
      </c>
      <c r="S87">
        <v>1</v>
      </c>
      <c r="U87">
        <v>1</v>
      </c>
    </row>
    <row r="88" spans="1:21" x14ac:dyDescent="0.3">
      <c r="A88">
        <v>-0.71</v>
      </c>
      <c r="B88">
        <v>1</v>
      </c>
      <c r="C88">
        <v>1</v>
      </c>
      <c r="R88" s="3">
        <v>-1.79</v>
      </c>
      <c r="S88">
        <v>1</v>
      </c>
      <c r="U88">
        <v>1</v>
      </c>
    </row>
    <row r="89" spans="1:21" x14ac:dyDescent="0.3">
      <c r="A89">
        <v>-0.71</v>
      </c>
      <c r="B89">
        <v>1</v>
      </c>
      <c r="C89">
        <v>1</v>
      </c>
      <c r="R89" s="3">
        <v>-1.76</v>
      </c>
      <c r="S89">
        <v>1</v>
      </c>
      <c r="U89">
        <v>1</v>
      </c>
    </row>
    <row r="90" spans="1:21" x14ac:dyDescent="0.3">
      <c r="A90">
        <v>-0.66</v>
      </c>
      <c r="B90">
        <v>1</v>
      </c>
      <c r="C90">
        <v>1</v>
      </c>
      <c r="R90" s="3">
        <v>-1.72</v>
      </c>
      <c r="S90">
        <v>1</v>
      </c>
      <c r="U90">
        <v>1</v>
      </c>
    </row>
    <row r="91" spans="1:21" x14ac:dyDescent="0.3">
      <c r="A91">
        <v>-0.65</v>
      </c>
      <c r="B91">
        <v>1</v>
      </c>
      <c r="C91">
        <v>1</v>
      </c>
      <c r="R91" s="3">
        <v>-1.65</v>
      </c>
      <c r="S91">
        <v>2</v>
      </c>
      <c r="U91">
        <v>2</v>
      </c>
    </row>
    <row r="92" spans="1:21" x14ac:dyDescent="0.3">
      <c r="A92">
        <v>-0.62</v>
      </c>
      <c r="B92">
        <v>1</v>
      </c>
      <c r="C92">
        <v>1</v>
      </c>
      <c r="R92" s="3">
        <v>-1.52</v>
      </c>
      <c r="S92">
        <v>1</v>
      </c>
      <c r="U92">
        <v>1</v>
      </c>
    </row>
    <row r="93" spans="1:21" x14ac:dyDescent="0.3">
      <c r="A93">
        <v>-0.62</v>
      </c>
      <c r="B93">
        <v>1</v>
      </c>
      <c r="C93">
        <v>1</v>
      </c>
      <c r="R93" s="3">
        <v>-1.51</v>
      </c>
      <c r="S93">
        <v>1</v>
      </c>
      <c r="U93">
        <v>1</v>
      </c>
    </row>
    <row r="94" spans="1:21" x14ac:dyDescent="0.3">
      <c r="A94">
        <v>-0.62</v>
      </c>
      <c r="B94">
        <v>1</v>
      </c>
      <c r="C94">
        <v>1</v>
      </c>
      <c r="R94" s="3">
        <v>-1.5</v>
      </c>
      <c r="S94">
        <v>1</v>
      </c>
      <c r="U94">
        <v>1</v>
      </c>
    </row>
    <row r="95" spans="1:21" x14ac:dyDescent="0.3">
      <c r="A95">
        <v>-0.62</v>
      </c>
      <c r="B95">
        <v>1</v>
      </c>
      <c r="C95">
        <v>1</v>
      </c>
      <c r="R95" s="3">
        <v>-1.48</v>
      </c>
      <c r="S95">
        <v>1</v>
      </c>
      <c r="U95">
        <v>1</v>
      </c>
    </row>
    <row r="96" spans="1:21" x14ac:dyDescent="0.3">
      <c r="A96">
        <v>-0.56999999999999995</v>
      </c>
      <c r="B96">
        <v>1</v>
      </c>
      <c r="C96">
        <v>1</v>
      </c>
      <c r="R96" s="3">
        <v>-1.45</v>
      </c>
      <c r="S96">
        <v>1</v>
      </c>
      <c r="U96">
        <v>1</v>
      </c>
    </row>
    <row r="97" spans="1:21" x14ac:dyDescent="0.3">
      <c r="A97">
        <v>-0.56999999999999995</v>
      </c>
      <c r="B97">
        <v>1</v>
      </c>
      <c r="C97">
        <v>1</v>
      </c>
      <c r="R97" s="3">
        <v>-1.44</v>
      </c>
      <c r="S97">
        <v>1</v>
      </c>
      <c r="U97">
        <v>1</v>
      </c>
    </row>
    <row r="98" spans="1:21" x14ac:dyDescent="0.3">
      <c r="A98">
        <v>-0.56000000000000005</v>
      </c>
      <c r="B98">
        <v>1</v>
      </c>
      <c r="C98">
        <v>1</v>
      </c>
      <c r="R98" s="3">
        <v>-1.37</v>
      </c>
      <c r="S98">
        <v>1</v>
      </c>
      <c r="U98">
        <v>1</v>
      </c>
    </row>
    <row r="99" spans="1:21" x14ac:dyDescent="0.3">
      <c r="A99">
        <v>-0.54</v>
      </c>
      <c r="B99">
        <v>1</v>
      </c>
      <c r="C99">
        <v>1</v>
      </c>
      <c r="R99" s="3">
        <v>-1.27</v>
      </c>
      <c r="S99">
        <v>1</v>
      </c>
      <c r="U99">
        <v>1</v>
      </c>
    </row>
    <row r="100" spans="1:21" x14ac:dyDescent="0.3">
      <c r="A100">
        <v>-0.53</v>
      </c>
      <c r="B100">
        <v>1</v>
      </c>
      <c r="C100">
        <v>1</v>
      </c>
      <c r="R100" s="3">
        <v>-1.23</v>
      </c>
      <c r="S100">
        <v>2</v>
      </c>
      <c r="U100">
        <v>2</v>
      </c>
    </row>
    <row r="101" spans="1:21" x14ac:dyDescent="0.3">
      <c r="A101">
        <v>-0.51</v>
      </c>
      <c r="B101">
        <v>1</v>
      </c>
      <c r="C101">
        <v>1</v>
      </c>
      <c r="R101" s="3">
        <v>-1.22</v>
      </c>
      <c r="S101">
        <v>1</v>
      </c>
      <c r="U101">
        <v>1</v>
      </c>
    </row>
    <row r="102" spans="1:21" x14ac:dyDescent="0.3">
      <c r="A102">
        <v>-0.5</v>
      </c>
      <c r="B102">
        <v>1</v>
      </c>
      <c r="C102">
        <v>1</v>
      </c>
      <c r="R102" s="3">
        <v>-1.21</v>
      </c>
      <c r="S102">
        <v>1</v>
      </c>
      <c r="U102">
        <v>1</v>
      </c>
    </row>
    <row r="103" spans="1:21" x14ac:dyDescent="0.3">
      <c r="A103">
        <v>-0.5</v>
      </c>
      <c r="B103">
        <v>1</v>
      </c>
      <c r="C103">
        <v>1</v>
      </c>
      <c r="R103" s="3">
        <v>-1.1599999999999999</v>
      </c>
      <c r="S103">
        <v>1</v>
      </c>
      <c r="U103">
        <v>1</v>
      </c>
    </row>
    <row r="104" spans="1:21" x14ac:dyDescent="0.3">
      <c r="A104">
        <v>-0.48</v>
      </c>
      <c r="B104">
        <v>1</v>
      </c>
      <c r="C104">
        <v>1</v>
      </c>
      <c r="R104" s="3">
        <v>-1.1000000000000001</v>
      </c>
      <c r="S104">
        <v>1</v>
      </c>
      <c r="U104">
        <v>1</v>
      </c>
    </row>
    <row r="105" spans="1:21" x14ac:dyDescent="0.3">
      <c r="A105">
        <v>-0.48</v>
      </c>
      <c r="B105">
        <v>1</v>
      </c>
      <c r="C105">
        <v>1</v>
      </c>
      <c r="R105" s="3">
        <v>-1.03</v>
      </c>
      <c r="S105">
        <v>1</v>
      </c>
      <c r="U105">
        <v>1</v>
      </c>
    </row>
    <row r="106" spans="1:21" x14ac:dyDescent="0.3">
      <c r="A106">
        <v>-0.47</v>
      </c>
      <c r="B106">
        <v>1</v>
      </c>
      <c r="C106">
        <v>1</v>
      </c>
      <c r="R106" s="3">
        <v>-1.01</v>
      </c>
      <c r="S106">
        <v>1</v>
      </c>
      <c r="U106">
        <v>1</v>
      </c>
    </row>
    <row r="107" spans="1:21" x14ac:dyDescent="0.3">
      <c r="A107">
        <v>-0.47</v>
      </c>
      <c r="B107">
        <v>1</v>
      </c>
      <c r="C107">
        <v>1</v>
      </c>
      <c r="R107" s="3">
        <v>-1</v>
      </c>
      <c r="S107">
        <v>2</v>
      </c>
      <c r="U107">
        <v>2</v>
      </c>
    </row>
    <row r="108" spans="1:21" x14ac:dyDescent="0.3">
      <c r="A108">
        <v>-0.47</v>
      </c>
      <c r="B108">
        <v>1</v>
      </c>
      <c r="C108">
        <v>1</v>
      </c>
      <c r="R108" s="3">
        <v>-0.98</v>
      </c>
      <c r="S108">
        <v>1</v>
      </c>
      <c r="U108">
        <v>1</v>
      </c>
    </row>
    <row r="109" spans="1:21" x14ac:dyDescent="0.3">
      <c r="A109">
        <v>-0.46</v>
      </c>
      <c r="B109">
        <v>1</v>
      </c>
      <c r="C109">
        <v>1</v>
      </c>
      <c r="R109" s="3">
        <v>-0.96</v>
      </c>
      <c r="S109">
        <v>3</v>
      </c>
      <c r="U109">
        <v>3</v>
      </c>
    </row>
    <row r="110" spans="1:21" x14ac:dyDescent="0.3">
      <c r="A110">
        <v>-0.45</v>
      </c>
      <c r="B110">
        <v>1</v>
      </c>
      <c r="C110">
        <v>1</v>
      </c>
      <c r="R110" s="3">
        <v>-0.95</v>
      </c>
      <c r="S110">
        <v>1</v>
      </c>
      <c r="U110">
        <v>1</v>
      </c>
    </row>
    <row r="111" spans="1:21" x14ac:dyDescent="0.3">
      <c r="A111">
        <v>-0.44</v>
      </c>
      <c r="B111">
        <v>1</v>
      </c>
      <c r="C111">
        <v>1</v>
      </c>
      <c r="R111" s="3">
        <v>-0.93</v>
      </c>
      <c r="S111">
        <v>1</v>
      </c>
      <c r="U111">
        <v>1</v>
      </c>
    </row>
    <row r="112" spans="1:21" x14ac:dyDescent="0.3">
      <c r="A112">
        <v>-0.44</v>
      </c>
      <c r="B112">
        <v>1</v>
      </c>
      <c r="C112">
        <v>1</v>
      </c>
      <c r="R112" s="3">
        <v>-0.91</v>
      </c>
      <c r="S112">
        <v>2</v>
      </c>
      <c r="U112">
        <v>2</v>
      </c>
    </row>
    <row r="113" spans="1:21" x14ac:dyDescent="0.3">
      <c r="A113">
        <v>-0.43</v>
      </c>
      <c r="B113">
        <v>1</v>
      </c>
      <c r="C113">
        <v>1</v>
      </c>
      <c r="R113" s="3">
        <v>-0.87</v>
      </c>
      <c r="S113">
        <v>3</v>
      </c>
      <c r="U113">
        <v>3</v>
      </c>
    </row>
    <row r="114" spans="1:21" x14ac:dyDescent="0.3">
      <c r="A114">
        <v>-0.43</v>
      </c>
      <c r="B114">
        <v>1</v>
      </c>
      <c r="C114">
        <v>1</v>
      </c>
      <c r="R114" s="3">
        <v>-0.86</v>
      </c>
      <c r="S114">
        <v>2</v>
      </c>
      <c r="U114">
        <v>2</v>
      </c>
    </row>
    <row r="115" spans="1:21" x14ac:dyDescent="0.3">
      <c r="A115">
        <v>-0.43</v>
      </c>
      <c r="B115">
        <v>1</v>
      </c>
      <c r="C115">
        <v>1</v>
      </c>
      <c r="R115" s="3">
        <v>-0.85</v>
      </c>
      <c r="S115">
        <v>1</v>
      </c>
      <c r="U115">
        <v>1</v>
      </c>
    </row>
    <row r="116" spans="1:21" x14ac:dyDescent="0.3">
      <c r="A116">
        <v>-0.41</v>
      </c>
      <c r="B116">
        <v>1</v>
      </c>
      <c r="C116">
        <v>1</v>
      </c>
      <c r="R116" s="3">
        <v>-0.82</v>
      </c>
      <c r="S116">
        <v>1</v>
      </c>
      <c r="U116">
        <v>1</v>
      </c>
    </row>
    <row r="117" spans="1:21" x14ac:dyDescent="0.3">
      <c r="A117">
        <v>-0.41</v>
      </c>
      <c r="B117">
        <v>1</v>
      </c>
      <c r="C117">
        <v>1</v>
      </c>
      <c r="R117" s="3">
        <v>-0.81</v>
      </c>
      <c r="S117">
        <v>3</v>
      </c>
      <c r="U117">
        <v>3</v>
      </c>
    </row>
    <row r="118" spans="1:21" x14ac:dyDescent="0.3">
      <c r="A118">
        <v>-0.4</v>
      </c>
      <c r="B118">
        <v>1</v>
      </c>
      <c r="C118">
        <v>1</v>
      </c>
      <c r="R118" s="3">
        <v>-0.79</v>
      </c>
      <c r="S118">
        <v>1</v>
      </c>
      <c r="U118">
        <v>1</v>
      </c>
    </row>
    <row r="119" spans="1:21" x14ac:dyDescent="0.3">
      <c r="A119">
        <v>-0.4</v>
      </c>
      <c r="B119">
        <v>1</v>
      </c>
      <c r="C119">
        <v>1</v>
      </c>
      <c r="R119" s="3">
        <v>-0.77</v>
      </c>
      <c r="S119">
        <v>3</v>
      </c>
      <c r="U119">
        <v>3</v>
      </c>
    </row>
    <row r="120" spans="1:21" x14ac:dyDescent="0.3">
      <c r="A120">
        <v>-0.4</v>
      </c>
      <c r="B120">
        <v>1</v>
      </c>
      <c r="C120">
        <v>1</v>
      </c>
      <c r="R120" s="3">
        <v>-0.76</v>
      </c>
      <c r="S120">
        <v>1</v>
      </c>
      <c r="U120">
        <v>1</v>
      </c>
    </row>
    <row r="121" spans="1:21" x14ac:dyDescent="0.3">
      <c r="A121">
        <v>-0.4</v>
      </c>
      <c r="B121">
        <v>1</v>
      </c>
      <c r="C121">
        <v>1</v>
      </c>
      <c r="R121" s="3">
        <v>-0.74</v>
      </c>
      <c r="S121">
        <v>2</v>
      </c>
      <c r="U121">
        <v>2</v>
      </c>
    </row>
    <row r="122" spans="1:21" x14ac:dyDescent="0.3">
      <c r="A122">
        <v>-0.4</v>
      </c>
      <c r="B122">
        <v>1</v>
      </c>
      <c r="C122">
        <v>1</v>
      </c>
      <c r="R122" s="3">
        <v>-0.73</v>
      </c>
      <c r="S122">
        <v>2</v>
      </c>
      <c r="U122">
        <v>2</v>
      </c>
    </row>
    <row r="123" spans="1:21" x14ac:dyDescent="0.3">
      <c r="A123">
        <v>-0.39</v>
      </c>
      <c r="B123">
        <v>1</v>
      </c>
      <c r="C123">
        <v>1</v>
      </c>
      <c r="R123" s="3">
        <v>-0.72</v>
      </c>
      <c r="S123">
        <v>2</v>
      </c>
      <c r="U123">
        <v>2</v>
      </c>
    </row>
    <row r="124" spans="1:21" x14ac:dyDescent="0.3">
      <c r="A124">
        <v>-0.38</v>
      </c>
      <c r="B124">
        <v>1</v>
      </c>
      <c r="C124">
        <v>1</v>
      </c>
      <c r="R124" s="3">
        <v>-0.71</v>
      </c>
      <c r="S124">
        <v>2</v>
      </c>
      <c r="U124">
        <v>2</v>
      </c>
    </row>
    <row r="125" spans="1:21" x14ac:dyDescent="0.3">
      <c r="A125">
        <v>-0.35</v>
      </c>
      <c r="B125">
        <v>1</v>
      </c>
      <c r="C125">
        <v>1</v>
      </c>
      <c r="R125" s="3">
        <v>-0.66</v>
      </c>
      <c r="S125">
        <v>1</v>
      </c>
      <c r="U125">
        <v>1</v>
      </c>
    </row>
    <row r="126" spans="1:21" x14ac:dyDescent="0.3">
      <c r="A126">
        <v>-0.35</v>
      </c>
      <c r="B126">
        <v>1</v>
      </c>
      <c r="C126">
        <v>1</v>
      </c>
      <c r="R126" s="3">
        <v>-0.65</v>
      </c>
      <c r="S126">
        <v>1</v>
      </c>
      <c r="U126">
        <v>1</v>
      </c>
    </row>
    <row r="127" spans="1:21" x14ac:dyDescent="0.3">
      <c r="A127">
        <v>-0.34</v>
      </c>
      <c r="B127">
        <v>1</v>
      </c>
      <c r="C127">
        <v>1</v>
      </c>
      <c r="R127" s="3">
        <v>-0.62</v>
      </c>
      <c r="S127">
        <v>4</v>
      </c>
      <c r="U127">
        <v>4</v>
      </c>
    </row>
    <row r="128" spans="1:21" x14ac:dyDescent="0.3">
      <c r="A128">
        <v>-0.33</v>
      </c>
      <c r="B128">
        <v>1</v>
      </c>
      <c r="C128">
        <v>1</v>
      </c>
      <c r="R128" s="3">
        <v>-0.56999999999999995</v>
      </c>
      <c r="S128">
        <v>2</v>
      </c>
      <c r="U128">
        <v>2</v>
      </c>
    </row>
    <row r="129" spans="1:21" x14ac:dyDescent="0.3">
      <c r="A129">
        <v>-0.33</v>
      </c>
      <c r="B129">
        <v>1</v>
      </c>
      <c r="C129">
        <v>1</v>
      </c>
      <c r="R129" s="3">
        <v>-0.56000000000000005</v>
      </c>
      <c r="S129">
        <v>1</v>
      </c>
      <c r="U129">
        <v>1</v>
      </c>
    </row>
    <row r="130" spans="1:21" x14ac:dyDescent="0.3">
      <c r="A130">
        <v>-0.32</v>
      </c>
      <c r="B130">
        <v>1</v>
      </c>
      <c r="C130">
        <v>1</v>
      </c>
      <c r="R130" s="3">
        <v>-0.54</v>
      </c>
      <c r="S130">
        <v>1</v>
      </c>
      <c r="U130">
        <v>1</v>
      </c>
    </row>
    <row r="131" spans="1:21" x14ac:dyDescent="0.3">
      <c r="A131">
        <v>-0.31</v>
      </c>
      <c r="B131">
        <v>1</v>
      </c>
      <c r="C131">
        <v>1</v>
      </c>
      <c r="R131" s="3">
        <v>-0.53</v>
      </c>
      <c r="S131">
        <v>1</v>
      </c>
      <c r="U131">
        <v>1</v>
      </c>
    </row>
    <row r="132" spans="1:21" x14ac:dyDescent="0.3">
      <c r="A132">
        <v>-0.31</v>
      </c>
      <c r="B132">
        <v>1</v>
      </c>
      <c r="C132">
        <v>1</v>
      </c>
      <c r="R132" s="3">
        <v>-0.51</v>
      </c>
      <c r="S132">
        <v>1</v>
      </c>
      <c r="U132">
        <v>1</v>
      </c>
    </row>
    <row r="133" spans="1:21" x14ac:dyDescent="0.3">
      <c r="A133">
        <v>-0.3</v>
      </c>
      <c r="B133">
        <v>1</v>
      </c>
      <c r="C133">
        <v>1</v>
      </c>
      <c r="R133" s="3">
        <v>-0.5</v>
      </c>
      <c r="S133">
        <v>2</v>
      </c>
      <c r="U133">
        <v>2</v>
      </c>
    </row>
    <row r="134" spans="1:21" x14ac:dyDescent="0.3">
      <c r="A134">
        <v>-0.3</v>
      </c>
      <c r="B134">
        <v>1</v>
      </c>
      <c r="C134">
        <v>1</v>
      </c>
      <c r="R134" s="3">
        <v>-0.48</v>
      </c>
      <c r="S134">
        <v>2</v>
      </c>
      <c r="U134">
        <v>2</v>
      </c>
    </row>
    <row r="135" spans="1:21" x14ac:dyDescent="0.3">
      <c r="A135">
        <v>-0.3</v>
      </c>
      <c r="B135">
        <v>1</v>
      </c>
      <c r="C135">
        <v>1</v>
      </c>
      <c r="R135" s="3">
        <v>-0.47</v>
      </c>
      <c r="S135">
        <v>3</v>
      </c>
      <c r="U135">
        <v>3</v>
      </c>
    </row>
    <row r="136" spans="1:21" x14ac:dyDescent="0.3">
      <c r="A136">
        <v>-0.28999999999999998</v>
      </c>
      <c r="B136">
        <v>1</v>
      </c>
      <c r="C136">
        <v>1</v>
      </c>
      <c r="R136" s="3">
        <v>-0.46</v>
      </c>
      <c r="S136">
        <v>1</v>
      </c>
      <c r="U136">
        <v>1</v>
      </c>
    </row>
    <row r="137" spans="1:21" x14ac:dyDescent="0.3">
      <c r="A137">
        <v>-0.28999999999999998</v>
      </c>
      <c r="B137">
        <v>1</v>
      </c>
      <c r="C137">
        <v>1</v>
      </c>
      <c r="R137" s="3">
        <v>-0.45</v>
      </c>
      <c r="S137">
        <v>1</v>
      </c>
      <c r="U137">
        <v>1</v>
      </c>
    </row>
    <row r="138" spans="1:21" x14ac:dyDescent="0.3">
      <c r="A138">
        <v>-0.28999999999999998</v>
      </c>
      <c r="B138">
        <v>1</v>
      </c>
      <c r="C138">
        <v>1</v>
      </c>
      <c r="R138" s="3">
        <v>-0.44</v>
      </c>
      <c r="S138">
        <v>2</v>
      </c>
      <c r="U138">
        <v>2</v>
      </c>
    </row>
    <row r="139" spans="1:21" x14ac:dyDescent="0.3">
      <c r="A139">
        <v>-0.28999999999999998</v>
      </c>
      <c r="B139">
        <v>1</v>
      </c>
      <c r="C139">
        <v>1</v>
      </c>
      <c r="R139" s="3">
        <v>-0.43</v>
      </c>
      <c r="S139">
        <v>3</v>
      </c>
      <c r="U139">
        <v>3</v>
      </c>
    </row>
    <row r="140" spans="1:21" x14ac:dyDescent="0.3">
      <c r="A140">
        <v>-0.28000000000000003</v>
      </c>
      <c r="B140">
        <v>1</v>
      </c>
      <c r="C140">
        <v>1</v>
      </c>
      <c r="R140" s="3">
        <v>-0.41</v>
      </c>
      <c r="S140">
        <v>2</v>
      </c>
      <c r="U140">
        <v>2</v>
      </c>
    </row>
    <row r="141" spans="1:21" x14ac:dyDescent="0.3">
      <c r="A141">
        <v>-0.28000000000000003</v>
      </c>
      <c r="B141">
        <v>1</v>
      </c>
      <c r="C141">
        <v>1</v>
      </c>
      <c r="R141" s="3">
        <v>-0.4</v>
      </c>
      <c r="S141">
        <v>5</v>
      </c>
      <c r="U141">
        <v>5</v>
      </c>
    </row>
    <row r="142" spans="1:21" x14ac:dyDescent="0.3">
      <c r="A142">
        <v>-0.27</v>
      </c>
      <c r="B142">
        <v>1</v>
      </c>
      <c r="C142">
        <v>1</v>
      </c>
      <c r="R142" s="3">
        <v>-0.39</v>
      </c>
      <c r="S142">
        <v>1</v>
      </c>
      <c r="U142">
        <v>1</v>
      </c>
    </row>
    <row r="143" spans="1:21" x14ac:dyDescent="0.3">
      <c r="A143">
        <v>-0.27</v>
      </c>
      <c r="B143">
        <v>1</v>
      </c>
      <c r="C143">
        <v>1</v>
      </c>
      <c r="R143" s="3">
        <v>-0.38</v>
      </c>
      <c r="S143">
        <v>1</v>
      </c>
      <c r="U143">
        <v>1</v>
      </c>
    </row>
    <row r="144" spans="1:21" x14ac:dyDescent="0.3">
      <c r="A144">
        <v>-0.27</v>
      </c>
      <c r="B144">
        <v>1</v>
      </c>
      <c r="C144">
        <v>1</v>
      </c>
      <c r="R144" s="3">
        <v>-0.35</v>
      </c>
      <c r="S144">
        <v>2</v>
      </c>
      <c r="U144">
        <v>2</v>
      </c>
    </row>
    <row r="145" spans="1:21" x14ac:dyDescent="0.3">
      <c r="A145">
        <v>-0.27</v>
      </c>
      <c r="B145">
        <v>1</v>
      </c>
      <c r="C145">
        <v>1</v>
      </c>
      <c r="R145" s="3">
        <v>-0.34</v>
      </c>
      <c r="S145">
        <v>1</v>
      </c>
      <c r="U145">
        <v>1</v>
      </c>
    </row>
    <row r="146" spans="1:21" x14ac:dyDescent="0.3">
      <c r="A146">
        <v>-0.27</v>
      </c>
      <c r="B146">
        <v>1</v>
      </c>
      <c r="C146">
        <v>1</v>
      </c>
      <c r="R146" s="3">
        <v>-0.33</v>
      </c>
      <c r="S146">
        <v>2</v>
      </c>
      <c r="U146">
        <v>2</v>
      </c>
    </row>
    <row r="147" spans="1:21" x14ac:dyDescent="0.3">
      <c r="A147">
        <v>-0.27</v>
      </c>
      <c r="B147">
        <v>1</v>
      </c>
      <c r="C147">
        <v>1</v>
      </c>
      <c r="R147" s="3">
        <v>-0.32</v>
      </c>
      <c r="S147">
        <v>1</v>
      </c>
      <c r="U147">
        <v>1</v>
      </c>
    </row>
    <row r="148" spans="1:21" x14ac:dyDescent="0.3">
      <c r="A148">
        <v>-0.26</v>
      </c>
      <c r="B148">
        <v>1</v>
      </c>
      <c r="C148">
        <v>1</v>
      </c>
      <c r="R148" s="3">
        <v>-0.31</v>
      </c>
      <c r="S148">
        <v>2</v>
      </c>
      <c r="U148">
        <v>2</v>
      </c>
    </row>
    <row r="149" spans="1:21" x14ac:dyDescent="0.3">
      <c r="A149">
        <v>-0.26</v>
      </c>
      <c r="B149">
        <v>1</v>
      </c>
      <c r="C149">
        <v>1</v>
      </c>
      <c r="R149" s="3">
        <v>-0.3</v>
      </c>
      <c r="S149">
        <v>3</v>
      </c>
      <c r="U149">
        <v>3</v>
      </c>
    </row>
    <row r="150" spans="1:21" x14ac:dyDescent="0.3">
      <c r="A150">
        <v>-0.25</v>
      </c>
      <c r="B150">
        <v>1</v>
      </c>
      <c r="C150">
        <v>1</v>
      </c>
      <c r="R150" s="3">
        <v>-0.28999999999999998</v>
      </c>
      <c r="S150">
        <v>4</v>
      </c>
      <c r="U150">
        <v>4</v>
      </c>
    </row>
    <row r="151" spans="1:21" x14ac:dyDescent="0.3">
      <c r="A151">
        <v>-0.25</v>
      </c>
      <c r="B151">
        <v>1</v>
      </c>
      <c r="C151">
        <v>1</v>
      </c>
      <c r="R151" s="3">
        <v>-0.28000000000000003</v>
      </c>
      <c r="S151">
        <v>2</v>
      </c>
      <c r="U151">
        <v>2</v>
      </c>
    </row>
    <row r="152" spans="1:21" x14ac:dyDescent="0.3">
      <c r="A152">
        <v>-0.25</v>
      </c>
      <c r="B152">
        <v>1</v>
      </c>
      <c r="C152">
        <v>1</v>
      </c>
      <c r="R152" s="3">
        <v>-0.27</v>
      </c>
      <c r="S152">
        <v>6</v>
      </c>
      <c r="U152">
        <v>6</v>
      </c>
    </row>
    <row r="153" spans="1:21" x14ac:dyDescent="0.3">
      <c r="A153">
        <v>-0.25</v>
      </c>
      <c r="B153">
        <v>1</v>
      </c>
      <c r="C153">
        <v>1</v>
      </c>
      <c r="R153" s="3">
        <v>-0.26</v>
      </c>
      <c r="S153">
        <v>2</v>
      </c>
      <c r="U153">
        <v>2</v>
      </c>
    </row>
    <row r="154" spans="1:21" x14ac:dyDescent="0.3">
      <c r="A154">
        <v>-0.24</v>
      </c>
      <c r="B154">
        <v>1</v>
      </c>
      <c r="C154">
        <v>1</v>
      </c>
      <c r="R154" s="3">
        <v>-0.25</v>
      </c>
      <c r="S154">
        <v>4</v>
      </c>
      <c r="U154">
        <v>4</v>
      </c>
    </row>
    <row r="155" spans="1:21" x14ac:dyDescent="0.3">
      <c r="A155">
        <v>-0.24</v>
      </c>
      <c r="B155">
        <v>1</v>
      </c>
      <c r="C155">
        <v>1</v>
      </c>
      <c r="R155" s="3">
        <v>-0.24</v>
      </c>
      <c r="S155">
        <v>4</v>
      </c>
      <c r="U155">
        <v>4</v>
      </c>
    </row>
    <row r="156" spans="1:21" x14ac:dyDescent="0.3">
      <c r="A156">
        <v>-0.24</v>
      </c>
      <c r="B156">
        <v>1</v>
      </c>
      <c r="C156">
        <v>1</v>
      </c>
      <c r="R156" s="3">
        <v>-0.23</v>
      </c>
      <c r="S156">
        <v>3</v>
      </c>
      <c r="U156">
        <v>3</v>
      </c>
    </row>
    <row r="157" spans="1:21" x14ac:dyDescent="0.3">
      <c r="A157">
        <v>-0.24</v>
      </c>
      <c r="B157">
        <v>1</v>
      </c>
      <c r="C157">
        <v>1</v>
      </c>
      <c r="R157" s="3">
        <v>-0.22</v>
      </c>
      <c r="S157">
        <v>6</v>
      </c>
      <c r="U157">
        <v>6</v>
      </c>
    </row>
    <row r="158" spans="1:21" x14ac:dyDescent="0.3">
      <c r="A158">
        <v>-0.23</v>
      </c>
      <c r="B158">
        <v>1</v>
      </c>
      <c r="C158">
        <v>1</v>
      </c>
      <c r="R158" s="3">
        <v>-0.21</v>
      </c>
      <c r="S158">
        <v>2</v>
      </c>
      <c r="U158">
        <v>2</v>
      </c>
    </row>
    <row r="159" spans="1:21" x14ac:dyDescent="0.3">
      <c r="A159">
        <v>-0.23</v>
      </c>
      <c r="B159">
        <v>1</v>
      </c>
      <c r="C159">
        <v>1</v>
      </c>
      <c r="R159" s="3">
        <v>-0.2</v>
      </c>
      <c r="S159">
        <v>3</v>
      </c>
      <c r="U159">
        <v>3</v>
      </c>
    </row>
    <row r="160" spans="1:21" x14ac:dyDescent="0.3">
      <c r="A160">
        <v>-0.23</v>
      </c>
      <c r="B160">
        <v>1</v>
      </c>
      <c r="C160">
        <v>1</v>
      </c>
      <c r="R160" s="3">
        <v>-0.19</v>
      </c>
      <c r="S160">
        <v>2</v>
      </c>
      <c r="U160">
        <v>2</v>
      </c>
    </row>
    <row r="161" spans="1:21" x14ac:dyDescent="0.3">
      <c r="A161">
        <v>-0.22</v>
      </c>
      <c r="B161">
        <v>1</v>
      </c>
      <c r="C161">
        <v>1</v>
      </c>
      <c r="R161" s="3">
        <v>-0.18</v>
      </c>
      <c r="S161">
        <v>4</v>
      </c>
      <c r="U161">
        <v>4</v>
      </c>
    </row>
    <row r="162" spans="1:21" x14ac:dyDescent="0.3">
      <c r="A162">
        <v>-0.22</v>
      </c>
      <c r="B162">
        <v>1</v>
      </c>
      <c r="C162">
        <v>1</v>
      </c>
      <c r="R162" s="3">
        <v>-0.17</v>
      </c>
      <c r="S162">
        <v>6</v>
      </c>
      <c r="U162">
        <v>6</v>
      </c>
    </row>
    <row r="163" spans="1:21" x14ac:dyDescent="0.3">
      <c r="A163">
        <v>-0.22</v>
      </c>
      <c r="B163">
        <v>1</v>
      </c>
      <c r="C163">
        <v>1</v>
      </c>
      <c r="R163" s="3">
        <v>-0.16</v>
      </c>
      <c r="S163">
        <v>7</v>
      </c>
      <c r="U163">
        <v>7</v>
      </c>
    </row>
    <row r="164" spans="1:21" x14ac:dyDescent="0.3">
      <c r="A164">
        <v>-0.22</v>
      </c>
      <c r="B164">
        <v>1</v>
      </c>
      <c r="C164">
        <v>1</v>
      </c>
      <c r="R164" s="3">
        <v>-0.15</v>
      </c>
      <c r="S164">
        <v>4</v>
      </c>
      <c r="U164">
        <v>4</v>
      </c>
    </row>
    <row r="165" spans="1:21" x14ac:dyDescent="0.3">
      <c r="A165">
        <v>-0.22</v>
      </c>
      <c r="B165">
        <v>1</v>
      </c>
      <c r="C165">
        <v>1</v>
      </c>
      <c r="R165" s="3">
        <v>-0.14000000000000001</v>
      </c>
      <c r="S165">
        <v>5</v>
      </c>
      <c r="U165">
        <v>5</v>
      </c>
    </row>
    <row r="166" spans="1:21" x14ac:dyDescent="0.3">
      <c r="A166">
        <v>-0.22</v>
      </c>
      <c r="B166">
        <v>1</v>
      </c>
      <c r="C166">
        <v>1</v>
      </c>
      <c r="R166" s="3">
        <v>-0.13</v>
      </c>
      <c r="S166">
        <v>3</v>
      </c>
      <c r="U166">
        <v>3</v>
      </c>
    </row>
    <row r="167" spans="1:21" x14ac:dyDescent="0.3">
      <c r="A167">
        <v>-0.21</v>
      </c>
      <c r="B167">
        <v>1</v>
      </c>
      <c r="C167">
        <v>1</v>
      </c>
      <c r="R167" s="3">
        <v>-0.12</v>
      </c>
      <c r="S167">
        <v>4</v>
      </c>
      <c r="U167">
        <v>4</v>
      </c>
    </row>
    <row r="168" spans="1:21" x14ac:dyDescent="0.3">
      <c r="A168">
        <v>-0.21</v>
      </c>
      <c r="B168">
        <v>1</v>
      </c>
      <c r="C168">
        <v>1</v>
      </c>
      <c r="R168" s="3">
        <v>-0.11</v>
      </c>
      <c r="S168">
        <v>6</v>
      </c>
      <c r="U168">
        <v>6</v>
      </c>
    </row>
    <row r="169" spans="1:21" x14ac:dyDescent="0.3">
      <c r="A169">
        <v>-0.2</v>
      </c>
      <c r="B169">
        <v>1</v>
      </c>
      <c r="C169">
        <v>1</v>
      </c>
      <c r="R169" s="3">
        <v>-0.1</v>
      </c>
      <c r="S169">
        <v>7</v>
      </c>
      <c r="U169">
        <v>7</v>
      </c>
    </row>
    <row r="170" spans="1:21" x14ac:dyDescent="0.3">
      <c r="A170">
        <v>-0.2</v>
      </c>
      <c r="B170">
        <v>1</v>
      </c>
      <c r="C170">
        <v>1</v>
      </c>
      <c r="R170" s="3">
        <v>-0.09</v>
      </c>
      <c r="S170">
        <v>4</v>
      </c>
      <c r="U170">
        <v>4</v>
      </c>
    </row>
    <row r="171" spans="1:21" x14ac:dyDescent="0.3">
      <c r="A171">
        <v>-0.2</v>
      </c>
      <c r="B171">
        <v>1</v>
      </c>
      <c r="C171">
        <v>1</v>
      </c>
      <c r="R171" s="3">
        <v>-0.08</v>
      </c>
      <c r="S171">
        <v>4</v>
      </c>
      <c r="U171">
        <v>4</v>
      </c>
    </row>
    <row r="172" spans="1:21" x14ac:dyDescent="0.3">
      <c r="A172">
        <v>-0.19</v>
      </c>
      <c r="B172">
        <v>1</v>
      </c>
      <c r="C172">
        <v>1</v>
      </c>
      <c r="R172" s="3">
        <v>-7.0000000000000007E-2</v>
      </c>
      <c r="S172">
        <v>7</v>
      </c>
      <c r="U172">
        <v>7</v>
      </c>
    </row>
    <row r="173" spans="1:21" x14ac:dyDescent="0.3">
      <c r="A173">
        <v>-0.19</v>
      </c>
      <c r="B173">
        <v>1</v>
      </c>
      <c r="C173">
        <v>1</v>
      </c>
      <c r="R173" s="3">
        <v>-0.06</v>
      </c>
      <c r="S173">
        <v>11</v>
      </c>
      <c r="U173">
        <v>11</v>
      </c>
    </row>
    <row r="174" spans="1:21" x14ac:dyDescent="0.3">
      <c r="A174">
        <v>-0.18</v>
      </c>
      <c r="B174">
        <v>1</v>
      </c>
      <c r="C174">
        <v>1</v>
      </c>
      <c r="R174" s="3">
        <v>-0.05</v>
      </c>
      <c r="S174">
        <v>7</v>
      </c>
      <c r="U174">
        <v>7</v>
      </c>
    </row>
    <row r="175" spans="1:21" x14ac:dyDescent="0.3">
      <c r="A175">
        <v>-0.18</v>
      </c>
      <c r="B175">
        <v>1</v>
      </c>
      <c r="C175">
        <v>1</v>
      </c>
      <c r="R175" s="3">
        <v>-0.04</v>
      </c>
      <c r="S175">
        <v>4</v>
      </c>
      <c r="U175">
        <v>4</v>
      </c>
    </row>
    <row r="176" spans="1:21" x14ac:dyDescent="0.3">
      <c r="A176">
        <v>-0.18</v>
      </c>
      <c r="B176">
        <v>1</v>
      </c>
      <c r="C176">
        <v>1</v>
      </c>
      <c r="R176" s="3">
        <v>-0.03</v>
      </c>
      <c r="S176">
        <v>7</v>
      </c>
      <c r="U176">
        <v>7</v>
      </c>
    </row>
    <row r="177" spans="1:21" x14ac:dyDescent="0.3">
      <c r="A177">
        <v>-0.18</v>
      </c>
      <c r="B177">
        <v>1</v>
      </c>
      <c r="C177">
        <v>1</v>
      </c>
      <c r="R177" s="3">
        <v>-0.02</v>
      </c>
      <c r="S177">
        <v>10</v>
      </c>
      <c r="U177">
        <v>10</v>
      </c>
    </row>
    <row r="178" spans="1:21" x14ac:dyDescent="0.3">
      <c r="A178">
        <v>-0.17</v>
      </c>
      <c r="B178">
        <v>1</v>
      </c>
      <c r="C178">
        <v>1</v>
      </c>
      <c r="R178" s="3">
        <v>-0.01</v>
      </c>
      <c r="S178">
        <v>8</v>
      </c>
      <c r="U178">
        <v>8</v>
      </c>
    </row>
    <row r="179" spans="1:21" x14ac:dyDescent="0.3">
      <c r="A179">
        <v>-0.17</v>
      </c>
      <c r="B179">
        <v>1</v>
      </c>
      <c r="C179">
        <v>1</v>
      </c>
      <c r="R179" s="3">
        <v>0</v>
      </c>
      <c r="S179">
        <v>10</v>
      </c>
      <c r="U179">
        <v>10</v>
      </c>
    </row>
    <row r="180" spans="1:21" x14ac:dyDescent="0.3">
      <c r="A180">
        <v>-0.17</v>
      </c>
      <c r="B180">
        <v>1</v>
      </c>
      <c r="C180">
        <v>1</v>
      </c>
      <c r="R180" s="3">
        <v>0.01</v>
      </c>
      <c r="S180">
        <v>26</v>
      </c>
      <c r="U180">
        <v>26</v>
      </c>
    </row>
    <row r="181" spans="1:21" x14ac:dyDescent="0.3">
      <c r="A181">
        <v>-0.17</v>
      </c>
      <c r="B181">
        <v>1</v>
      </c>
      <c r="C181">
        <v>1</v>
      </c>
      <c r="R181" s="3">
        <v>0.02</v>
      </c>
      <c r="S181">
        <v>28</v>
      </c>
      <c r="U181">
        <v>28</v>
      </c>
    </row>
    <row r="182" spans="1:21" x14ac:dyDescent="0.3">
      <c r="A182">
        <v>-0.17</v>
      </c>
      <c r="B182">
        <v>1</v>
      </c>
      <c r="C182">
        <v>1</v>
      </c>
      <c r="R182" s="3">
        <v>0.03</v>
      </c>
      <c r="S182">
        <v>39</v>
      </c>
      <c r="U182">
        <v>39</v>
      </c>
    </row>
    <row r="183" spans="1:21" x14ac:dyDescent="0.3">
      <c r="A183">
        <v>-0.17</v>
      </c>
      <c r="B183">
        <v>1</v>
      </c>
      <c r="C183">
        <v>1</v>
      </c>
      <c r="R183" s="3">
        <v>0.04</v>
      </c>
      <c r="S183">
        <v>28</v>
      </c>
      <c r="U183">
        <v>28</v>
      </c>
    </row>
    <row r="184" spans="1:21" x14ac:dyDescent="0.3">
      <c r="A184">
        <v>-0.16</v>
      </c>
      <c r="B184">
        <v>1</v>
      </c>
      <c r="C184">
        <v>1</v>
      </c>
      <c r="R184" s="3">
        <v>0.05</v>
      </c>
      <c r="S184">
        <v>21</v>
      </c>
      <c r="U184">
        <v>21</v>
      </c>
    </row>
    <row r="185" spans="1:21" x14ac:dyDescent="0.3">
      <c r="A185">
        <v>-0.16</v>
      </c>
      <c r="B185">
        <v>1</v>
      </c>
      <c r="C185">
        <v>1</v>
      </c>
      <c r="R185" s="3">
        <v>0.06</v>
      </c>
      <c r="S185">
        <v>21</v>
      </c>
      <c r="U185">
        <v>21</v>
      </c>
    </row>
    <row r="186" spans="1:21" x14ac:dyDescent="0.3">
      <c r="A186">
        <v>-0.16</v>
      </c>
      <c r="B186">
        <v>1</v>
      </c>
      <c r="C186">
        <v>1</v>
      </c>
      <c r="R186" s="3">
        <v>7.0000000000000007E-2</v>
      </c>
      <c r="S186">
        <v>32</v>
      </c>
      <c r="U186">
        <v>32</v>
      </c>
    </row>
    <row r="187" spans="1:21" x14ac:dyDescent="0.3">
      <c r="A187">
        <v>-0.16</v>
      </c>
      <c r="B187">
        <v>1</v>
      </c>
      <c r="C187">
        <v>1</v>
      </c>
      <c r="R187" s="3">
        <v>0.08</v>
      </c>
      <c r="S187">
        <v>16</v>
      </c>
      <c r="U187">
        <v>16</v>
      </c>
    </row>
    <row r="188" spans="1:21" x14ac:dyDescent="0.3">
      <c r="A188">
        <v>-0.16</v>
      </c>
      <c r="B188">
        <v>1</v>
      </c>
      <c r="C188">
        <v>1</v>
      </c>
      <c r="R188" s="3">
        <v>0.09</v>
      </c>
      <c r="S188">
        <v>34</v>
      </c>
      <c r="U188">
        <v>34</v>
      </c>
    </row>
    <row r="189" spans="1:21" x14ac:dyDescent="0.3">
      <c r="A189">
        <v>-0.16</v>
      </c>
      <c r="B189">
        <v>1</v>
      </c>
      <c r="C189">
        <v>1</v>
      </c>
      <c r="R189" s="3">
        <v>0.1</v>
      </c>
      <c r="S189">
        <v>36</v>
      </c>
      <c r="U189">
        <v>36</v>
      </c>
    </row>
    <row r="190" spans="1:21" x14ac:dyDescent="0.3">
      <c r="A190">
        <v>-0.16</v>
      </c>
      <c r="B190">
        <v>1</v>
      </c>
      <c r="C190">
        <v>1</v>
      </c>
      <c r="R190" s="3">
        <v>0.11</v>
      </c>
      <c r="S190">
        <v>40</v>
      </c>
      <c r="U190">
        <v>40</v>
      </c>
    </row>
    <row r="191" spans="1:21" x14ac:dyDescent="0.3">
      <c r="A191">
        <v>-0.15</v>
      </c>
      <c r="B191">
        <v>1</v>
      </c>
      <c r="C191">
        <v>1</v>
      </c>
      <c r="R191" s="3">
        <v>0.12</v>
      </c>
      <c r="S191">
        <v>50</v>
      </c>
      <c r="U191">
        <v>50</v>
      </c>
    </row>
    <row r="192" spans="1:21" x14ac:dyDescent="0.3">
      <c r="A192">
        <v>-0.15</v>
      </c>
      <c r="B192">
        <v>1</v>
      </c>
      <c r="C192">
        <v>1</v>
      </c>
      <c r="R192" s="3">
        <v>0.13</v>
      </c>
      <c r="S192">
        <v>58</v>
      </c>
      <c r="U192">
        <v>58</v>
      </c>
    </row>
    <row r="193" spans="1:21" x14ac:dyDescent="0.3">
      <c r="A193">
        <v>-0.15</v>
      </c>
      <c r="B193">
        <v>1</v>
      </c>
      <c r="C193">
        <v>1</v>
      </c>
      <c r="R193" s="3">
        <v>0.14000000000000001</v>
      </c>
      <c r="S193">
        <v>52</v>
      </c>
      <c r="U193">
        <v>52</v>
      </c>
    </row>
    <row r="194" spans="1:21" x14ac:dyDescent="0.3">
      <c r="A194">
        <v>-0.15</v>
      </c>
      <c r="B194">
        <v>1</v>
      </c>
      <c r="C194">
        <v>1</v>
      </c>
      <c r="R194" s="3">
        <v>0.15</v>
      </c>
      <c r="S194">
        <v>46</v>
      </c>
      <c r="U194">
        <v>46</v>
      </c>
    </row>
    <row r="195" spans="1:21" x14ac:dyDescent="0.3">
      <c r="A195">
        <v>-0.14000000000000001</v>
      </c>
      <c r="B195">
        <v>1</v>
      </c>
      <c r="C195">
        <v>1</v>
      </c>
      <c r="R195" s="3">
        <v>0.16</v>
      </c>
      <c r="S195">
        <v>49</v>
      </c>
      <c r="U195">
        <v>49</v>
      </c>
    </row>
    <row r="196" spans="1:21" x14ac:dyDescent="0.3">
      <c r="A196">
        <v>-0.14000000000000001</v>
      </c>
      <c r="B196">
        <v>1</v>
      </c>
      <c r="C196">
        <v>1</v>
      </c>
      <c r="R196" s="3">
        <v>0.17</v>
      </c>
      <c r="S196">
        <v>37</v>
      </c>
      <c r="U196">
        <v>37</v>
      </c>
    </row>
    <row r="197" spans="1:21" x14ac:dyDescent="0.3">
      <c r="A197">
        <v>-0.14000000000000001</v>
      </c>
      <c r="B197">
        <v>1</v>
      </c>
      <c r="C197">
        <v>1</v>
      </c>
      <c r="R197" s="3">
        <v>0.18</v>
      </c>
      <c r="S197">
        <v>44</v>
      </c>
      <c r="U197">
        <v>44</v>
      </c>
    </row>
    <row r="198" spans="1:21" x14ac:dyDescent="0.3">
      <c r="A198">
        <v>-0.14000000000000001</v>
      </c>
      <c r="B198">
        <v>1</v>
      </c>
      <c r="C198">
        <v>1</v>
      </c>
      <c r="R198" s="3">
        <v>0.19</v>
      </c>
      <c r="S198">
        <v>47</v>
      </c>
      <c r="U198">
        <v>47</v>
      </c>
    </row>
    <row r="199" spans="1:21" x14ac:dyDescent="0.3">
      <c r="A199">
        <v>-0.14000000000000001</v>
      </c>
      <c r="B199">
        <v>1</v>
      </c>
      <c r="C199">
        <v>1</v>
      </c>
      <c r="R199" s="3">
        <v>0.2</v>
      </c>
      <c r="S199">
        <v>45</v>
      </c>
      <c r="U199">
        <v>45</v>
      </c>
    </row>
    <row r="200" spans="1:21" x14ac:dyDescent="0.3">
      <c r="A200">
        <v>-0.13</v>
      </c>
      <c r="B200">
        <v>1</v>
      </c>
      <c r="C200">
        <v>1</v>
      </c>
      <c r="R200" s="3">
        <v>0.21</v>
      </c>
      <c r="S200">
        <v>30</v>
      </c>
      <c r="U200">
        <v>30</v>
      </c>
    </row>
    <row r="201" spans="1:21" x14ac:dyDescent="0.3">
      <c r="A201">
        <v>-0.13</v>
      </c>
      <c r="B201">
        <v>1</v>
      </c>
      <c r="C201">
        <v>1</v>
      </c>
      <c r="R201" s="3">
        <v>0.22</v>
      </c>
      <c r="S201">
        <v>30</v>
      </c>
      <c r="U201">
        <v>30</v>
      </c>
    </row>
    <row r="202" spans="1:21" x14ac:dyDescent="0.3">
      <c r="A202">
        <v>-0.13</v>
      </c>
      <c r="B202">
        <v>1</v>
      </c>
      <c r="C202">
        <v>1</v>
      </c>
      <c r="R202" s="3">
        <v>0.23</v>
      </c>
      <c r="S202">
        <v>26</v>
      </c>
      <c r="U202">
        <v>26</v>
      </c>
    </row>
    <row r="203" spans="1:21" x14ac:dyDescent="0.3">
      <c r="A203">
        <v>-0.12</v>
      </c>
      <c r="B203">
        <v>1</v>
      </c>
      <c r="C203">
        <v>1</v>
      </c>
      <c r="R203" s="3">
        <v>0.24</v>
      </c>
      <c r="S203">
        <v>24</v>
      </c>
      <c r="U203">
        <v>24</v>
      </c>
    </row>
    <row r="204" spans="1:21" x14ac:dyDescent="0.3">
      <c r="A204">
        <v>-0.12</v>
      </c>
      <c r="B204">
        <v>1</v>
      </c>
      <c r="C204">
        <v>1</v>
      </c>
      <c r="R204" s="3">
        <v>0.25</v>
      </c>
      <c r="S204">
        <v>31</v>
      </c>
      <c r="U204">
        <v>31</v>
      </c>
    </row>
    <row r="205" spans="1:21" x14ac:dyDescent="0.3">
      <c r="A205">
        <v>-0.12</v>
      </c>
      <c r="B205">
        <v>1</v>
      </c>
      <c r="C205">
        <v>1</v>
      </c>
      <c r="R205" s="3">
        <v>0.26</v>
      </c>
      <c r="S205">
        <v>24</v>
      </c>
      <c r="U205">
        <v>24</v>
      </c>
    </row>
    <row r="206" spans="1:21" x14ac:dyDescent="0.3">
      <c r="A206">
        <v>-0.12</v>
      </c>
      <c r="B206">
        <v>1</v>
      </c>
      <c r="C206">
        <v>1</v>
      </c>
      <c r="R206" s="3">
        <v>0.27</v>
      </c>
      <c r="S206">
        <v>18</v>
      </c>
      <c r="U206">
        <v>18</v>
      </c>
    </row>
    <row r="207" spans="1:21" x14ac:dyDescent="0.3">
      <c r="A207">
        <v>-0.11</v>
      </c>
      <c r="B207">
        <v>1</v>
      </c>
      <c r="C207">
        <v>1</v>
      </c>
      <c r="R207" s="3">
        <v>0.28000000000000003</v>
      </c>
      <c r="S207">
        <v>29</v>
      </c>
      <c r="U207">
        <v>29</v>
      </c>
    </row>
    <row r="208" spans="1:21" x14ac:dyDescent="0.3">
      <c r="A208">
        <v>-0.11</v>
      </c>
      <c r="B208">
        <v>1</v>
      </c>
      <c r="C208">
        <v>1</v>
      </c>
      <c r="R208" s="3">
        <v>0.28999999999999998</v>
      </c>
      <c r="S208">
        <v>30</v>
      </c>
      <c r="U208">
        <v>30</v>
      </c>
    </row>
    <row r="209" spans="1:21" x14ac:dyDescent="0.3">
      <c r="A209">
        <v>-0.11</v>
      </c>
      <c r="B209">
        <v>1</v>
      </c>
      <c r="C209">
        <v>1</v>
      </c>
      <c r="R209" s="3">
        <v>0.3</v>
      </c>
      <c r="S209">
        <v>25</v>
      </c>
      <c r="U209">
        <v>25</v>
      </c>
    </row>
    <row r="210" spans="1:21" x14ac:dyDescent="0.3">
      <c r="A210">
        <v>-0.11</v>
      </c>
      <c r="B210">
        <v>1</v>
      </c>
      <c r="C210">
        <v>1</v>
      </c>
      <c r="R210" s="3">
        <v>0.31</v>
      </c>
      <c r="S210">
        <v>25</v>
      </c>
      <c r="U210">
        <v>25</v>
      </c>
    </row>
    <row r="211" spans="1:21" x14ac:dyDescent="0.3">
      <c r="A211">
        <v>-0.11</v>
      </c>
      <c r="B211">
        <v>1</v>
      </c>
      <c r="C211">
        <v>1</v>
      </c>
      <c r="R211" s="3">
        <v>0.32</v>
      </c>
      <c r="S211">
        <v>17</v>
      </c>
      <c r="U211">
        <v>17</v>
      </c>
    </row>
    <row r="212" spans="1:21" x14ac:dyDescent="0.3">
      <c r="A212">
        <v>-0.11</v>
      </c>
      <c r="B212">
        <v>1</v>
      </c>
      <c r="C212">
        <v>1</v>
      </c>
      <c r="R212" s="3">
        <v>0.33</v>
      </c>
      <c r="S212">
        <v>12</v>
      </c>
      <c r="U212">
        <v>12</v>
      </c>
    </row>
    <row r="213" spans="1:21" x14ac:dyDescent="0.3">
      <c r="A213">
        <v>-0.1</v>
      </c>
      <c r="B213">
        <v>1</v>
      </c>
      <c r="C213">
        <v>1</v>
      </c>
      <c r="R213" s="3">
        <v>0.34</v>
      </c>
      <c r="S213">
        <v>15</v>
      </c>
      <c r="U213">
        <v>15</v>
      </c>
    </row>
    <row r="214" spans="1:21" x14ac:dyDescent="0.3">
      <c r="A214">
        <v>-0.1</v>
      </c>
      <c r="B214">
        <v>1</v>
      </c>
      <c r="C214">
        <v>1</v>
      </c>
      <c r="R214" s="3">
        <v>0.35</v>
      </c>
      <c r="S214">
        <v>13</v>
      </c>
      <c r="U214">
        <v>13</v>
      </c>
    </row>
    <row r="215" spans="1:21" x14ac:dyDescent="0.3">
      <c r="A215">
        <v>-0.1</v>
      </c>
      <c r="B215">
        <v>1</v>
      </c>
      <c r="C215">
        <v>1</v>
      </c>
      <c r="R215" s="3">
        <v>0.36</v>
      </c>
      <c r="S215">
        <v>17</v>
      </c>
      <c r="U215">
        <v>17</v>
      </c>
    </row>
    <row r="216" spans="1:21" x14ac:dyDescent="0.3">
      <c r="A216">
        <v>-0.1</v>
      </c>
      <c r="B216">
        <v>1</v>
      </c>
      <c r="C216">
        <v>1</v>
      </c>
      <c r="R216" s="3">
        <v>0.37</v>
      </c>
      <c r="S216">
        <v>10</v>
      </c>
      <c r="U216">
        <v>10</v>
      </c>
    </row>
    <row r="217" spans="1:21" x14ac:dyDescent="0.3">
      <c r="A217">
        <v>-0.1</v>
      </c>
      <c r="B217">
        <v>1</v>
      </c>
      <c r="C217">
        <v>1</v>
      </c>
      <c r="R217" s="3">
        <v>0.38</v>
      </c>
      <c r="S217">
        <v>14</v>
      </c>
      <c r="U217">
        <v>14</v>
      </c>
    </row>
    <row r="218" spans="1:21" x14ac:dyDescent="0.3">
      <c r="A218">
        <v>-0.1</v>
      </c>
      <c r="B218">
        <v>1</v>
      </c>
      <c r="C218">
        <v>1</v>
      </c>
      <c r="R218" s="3">
        <v>0.39</v>
      </c>
      <c r="S218">
        <v>4</v>
      </c>
      <c r="U218">
        <v>4</v>
      </c>
    </row>
    <row r="219" spans="1:21" x14ac:dyDescent="0.3">
      <c r="A219">
        <v>-0.1</v>
      </c>
      <c r="B219">
        <v>1</v>
      </c>
      <c r="C219">
        <v>1</v>
      </c>
      <c r="R219" s="3">
        <v>0.4</v>
      </c>
      <c r="S219">
        <v>15</v>
      </c>
      <c r="U219">
        <v>15</v>
      </c>
    </row>
    <row r="220" spans="1:21" x14ac:dyDescent="0.3">
      <c r="A220">
        <v>-0.09</v>
      </c>
      <c r="B220">
        <v>1</v>
      </c>
      <c r="C220">
        <v>1</v>
      </c>
      <c r="R220" s="3">
        <v>0.41</v>
      </c>
      <c r="S220">
        <v>16</v>
      </c>
      <c r="U220">
        <v>16</v>
      </c>
    </row>
    <row r="221" spans="1:21" x14ac:dyDescent="0.3">
      <c r="A221">
        <v>-0.09</v>
      </c>
      <c r="B221">
        <v>1</v>
      </c>
      <c r="C221">
        <v>1</v>
      </c>
      <c r="R221" s="3">
        <v>0.42</v>
      </c>
      <c r="S221">
        <v>9</v>
      </c>
      <c r="U221">
        <v>9</v>
      </c>
    </row>
    <row r="222" spans="1:21" x14ac:dyDescent="0.3">
      <c r="A222">
        <v>-0.09</v>
      </c>
      <c r="B222">
        <v>1</v>
      </c>
      <c r="C222">
        <v>1</v>
      </c>
      <c r="R222" s="3">
        <v>0.43</v>
      </c>
      <c r="S222">
        <v>14</v>
      </c>
      <c r="U222">
        <v>14</v>
      </c>
    </row>
    <row r="223" spans="1:21" x14ac:dyDescent="0.3">
      <c r="A223">
        <v>-0.09</v>
      </c>
      <c r="B223">
        <v>1</v>
      </c>
      <c r="C223">
        <v>1</v>
      </c>
      <c r="R223" s="3">
        <v>0.44</v>
      </c>
      <c r="S223">
        <v>13</v>
      </c>
      <c r="U223">
        <v>13</v>
      </c>
    </row>
    <row r="224" spans="1:21" x14ac:dyDescent="0.3">
      <c r="A224">
        <v>-0.08</v>
      </c>
      <c r="B224">
        <v>1</v>
      </c>
      <c r="C224">
        <v>1</v>
      </c>
      <c r="R224" s="3">
        <v>0.45</v>
      </c>
      <c r="S224">
        <v>10</v>
      </c>
      <c r="U224">
        <v>10</v>
      </c>
    </row>
    <row r="225" spans="1:21" x14ac:dyDescent="0.3">
      <c r="A225">
        <v>-0.08</v>
      </c>
      <c r="B225">
        <v>1</v>
      </c>
      <c r="C225">
        <v>1</v>
      </c>
      <c r="R225" s="3">
        <v>0.46</v>
      </c>
      <c r="S225">
        <v>7</v>
      </c>
      <c r="U225">
        <v>7</v>
      </c>
    </row>
    <row r="226" spans="1:21" x14ac:dyDescent="0.3">
      <c r="A226">
        <v>-0.08</v>
      </c>
      <c r="B226">
        <v>1</v>
      </c>
      <c r="C226">
        <v>1</v>
      </c>
      <c r="R226" s="3">
        <v>0.47</v>
      </c>
      <c r="S226">
        <v>8</v>
      </c>
      <c r="U226">
        <v>8</v>
      </c>
    </row>
    <row r="227" spans="1:21" x14ac:dyDescent="0.3">
      <c r="A227">
        <v>-0.08</v>
      </c>
      <c r="B227">
        <v>1</v>
      </c>
      <c r="C227">
        <v>1</v>
      </c>
      <c r="R227" s="3">
        <v>0.48</v>
      </c>
      <c r="S227">
        <v>10</v>
      </c>
      <c r="U227">
        <v>10</v>
      </c>
    </row>
    <row r="228" spans="1:21" x14ac:dyDescent="0.3">
      <c r="A228">
        <v>-7.0000000000000007E-2</v>
      </c>
      <c r="B228">
        <v>1</v>
      </c>
      <c r="C228">
        <v>1</v>
      </c>
      <c r="R228" s="3">
        <v>0.49</v>
      </c>
      <c r="S228">
        <v>13</v>
      </c>
      <c r="U228">
        <v>13</v>
      </c>
    </row>
    <row r="229" spans="1:21" x14ac:dyDescent="0.3">
      <c r="A229">
        <v>-7.0000000000000007E-2</v>
      </c>
      <c r="B229">
        <v>1</v>
      </c>
      <c r="C229">
        <v>1</v>
      </c>
      <c r="R229" s="3">
        <v>0.5</v>
      </c>
      <c r="S229">
        <v>16</v>
      </c>
      <c r="U229">
        <v>16</v>
      </c>
    </row>
    <row r="230" spans="1:21" x14ac:dyDescent="0.3">
      <c r="A230">
        <v>-7.0000000000000007E-2</v>
      </c>
      <c r="B230">
        <v>1</v>
      </c>
      <c r="C230">
        <v>1</v>
      </c>
      <c r="R230" s="3">
        <v>0.51</v>
      </c>
      <c r="S230">
        <v>7</v>
      </c>
      <c r="U230">
        <v>7</v>
      </c>
    </row>
    <row r="231" spans="1:21" x14ac:dyDescent="0.3">
      <c r="A231">
        <v>-7.0000000000000007E-2</v>
      </c>
      <c r="B231">
        <v>1</v>
      </c>
      <c r="C231">
        <v>1</v>
      </c>
      <c r="R231" s="3">
        <v>0.52</v>
      </c>
      <c r="S231">
        <v>5</v>
      </c>
      <c r="U231">
        <v>5</v>
      </c>
    </row>
    <row r="232" spans="1:21" x14ac:dyDescent="0.3">
      <c r="A232">
        <v>-7.0000000000000007E-2</v>
      </c>
      <c r="B232">
        <v>1</v>
      </c>
      <c r="C232">
        <v>1</v>
      </c>
      <c r="R232" s="3">
        <v>0.53</v>
      </c>
      <c r="S232">
        <v>6</v>
      </c>
      <c r="U232">
        <v>6</v>
      </c>
    </row>
    <row r="233" spans="1:21" x14ac:dyDescent="0.3">
      <c r="A233">
        <v>-7.0000000000000007E-2</v>
      </c>
      <c r="B233">
        <v>1</v>
      </c>
      <c r="C233">
        <v>1</v>
      </c>
      <c r="R233" s="3">
        <v>0.54</v>
      </c>
      <c r="S233">
        <v>10</v>
      </c>
      <c r="U233">
        <v>10</v>
      </c>
    </row>
    <row r="234" spans="1:21" x14ac:dyDescent="0.3">
      <c r="A234">
        <v>-7.0000000000000007E-2</v>
      </c>
      <c r="B234">
        <v>1</v>
      </c>
      <c r="C234">
        <v>1</v>
      </c>
      <c r="R234" s="3">
        <v>0.55000000000000004</v>
      </c>
      <c r="S234">
        <v>5</v>
      </c>
      <c r="U234">
        <v>5</v>
      </c>
    </row>
    <row r="235" spans="1:21" x14ac:dyDescent="0.3">
      <c r="A235">
        <v>-0.06</v>
      </c>
      <c r="B235">
        <v>1</v>
      </c>
      <c r="C235">
        <v>1</v>
      </c>
      <c r="R235" s="3">
        <v>0.56000000000000005</v>
      </c>
      <c r="S235">
        <v>4</v>
      </c>
      <c r="U235">
        <v>4</v>
      </c>
    </row>
    <row r="236" spans="1:21" x14ac:dyDescent="0.3">
      <c r="A236">
        <v>-0.06</v>
      </c>
      <c r="B236">
        <v>1</v>
      </c>
      <c r="C236">
        <v>1</v>
      </c>
      <c r="R236" s="3">
        <v>0.56999999999999995</v>
      </c>
      <c r="S236">
        <v>7</v>
      </c>
      <c r="U236">
        <v>7</v>
      </c>
    </row>
    <row r="237" spans="1:21" x14ac:dyDescent="0.3">
      <c r="A237">
        <v>-0.06</v>
      </c>
      <c r="B237">
        <v>1</v>
      </c>
      <c r="C237">
        <v>1</v>
      </c>
      <c r="R237" s="3">
        <v>0.57999999999999996</v>
      </c>
      <c r="S237">
        <v>6</v>
      </c>
      <c r="U237">
        <v>6</v>
      </c>
    </row>
    <row r="238" spans="1:21" x14ac:dyDescent="0.3">
      <c r="A238">
        <v>-0.06</v>
      </c>
      <c r="B238">
        <v>1</v>
      </c>
      <c r="C238">
        <v>1</v>
      </c>
      <c r="R238" s="3">
        <v>0.59</v>
      </c>
      <c r="S238">
        <v>5</v>
      </c>
      <c r="U238">
        <v>5</v>
      </c>
    </row>
    <row r="239" spans="1:21" x14ac:dyDescent="0.3">
      <c r="A239">
        <v>-0.06</v>
      </c>
      <c r="B239">
        <v>1</v>
      </c>
      <c r="C239">
        <v>1</v>
      </c>
      <c r="R239" s="3">
        <v>0.6</v>
      </c>
      <c r="S239">
        <v>6</v>
      </c>
      <c r="U239">
        <v>6</v>
      </c>
    </row>
    <row r="240" spans="1:21" x14ac:dyDescent="0.3">
      <c r="A240">
        <v>-0.06</v>
      </c>
      <c r="B240">
        <v>1</v>
      </c>
      <c r="C240">
        <v>1</v>
      </c>
      <c r="R240" s="3">
        <v>0.61</v>
      </c>
      <c r="S240">
        <v>8</v>
      </c>
      <c r="U240">
        <v>8</v>
      </c>
    </row>
    <row r="241" spans="1:21" x14ac:dyDescent="0.3">
      <c r="A241">
        <v>-0.06</v>
      </c>
      <c r="B241">
        <v>1</v>
      </c>
      <c r="C241">
        <v>1</v>
      </c>
      <c r="R241" s="3">
        <v>0.62</v>
      </c>
      <c r="S241">
        <v>9</v>
      </c>
      <c r="U241">
        <v>9</v>
      </c>
    </row>
    <row r="242" spans="1:21" x14ac:dyDescent="0.3">
      <c r="A242">
        <v>-0.06</v>
      </c>
      <c r="B242">
        <v>1</v>
      </c>
      <c r="C242">
        <v>1</v>
      </c>
      <c r="R242" s="3">
        <v>0.63</v>
      </c>
      <c r="S242">
        <v>5</v>
      </c>
      <c r="U242">
        <v>5</v>
      </c>
    </row>
    <row r="243" spans="1:21" x14ac:dyDescent="0.3">
      <c r="A243">
        <v>-0.06</v>
      </c>
      <c r="B243">
        <v>1</v>
      </c>
      <c r="C243">
        <v>1</v>
      </c>
      <c r="R243" s="3">
        <v>0.64</v>
      </c>
      <c r="S243">
        <v>8</v>
      </c>
      <c r="U243">
        <v>8</v>
      </c>
    </row>
    <row r="244" spans="1:21" x14ac:dyDescent="0.3">
      <c r="A244">
        <v>-0.06</v>
      </c>
      <c r="B244">
        <v>1</v>
      </c>
      <c r="C244">
        <v>1</v>
      </c>
      <c r="R244" s="3">
        <v>0.65</v>
      </c>
      <c r="S244">
        <v>4</v>
      </c>
      <c r="U244">
        <v>4</v>
      </c>
    </row>
    <row r="245" spans="1:21" x14ac:dyDescent="0.3">
      <c r="A245">
        <v>-0.06</v>
      </c>
      <c r="B245">
        <v>1</v>
      </c>
      <c r="C245">
        <v>1</v>
      </c>
      <c r="R245" s="3">
        <v>0.66</v>
      </c>
      <c r="S245">
        <v>9</v>
      </c>
      <c r="U245">
        <v>9</v>
      </c>
    </row>
    <row r="246" spans="1:21" x14ac:dyDescent="0.3">
      <c r="A246">
        <v>-0.05</v>
      </c>
      <c r="B246">
        <v>1</v>
      </c>
      <c r="C246">
        <v>1</v>
      </c>
      <c r="R246" s="3">
        <v>0.67</v>
      </c>
      <c r="S246">
        <v>2</v>
      </c>
      <c r="U246">
        <v>2</v>
      </c>
    </row>
    <row r="247" spans="1:21" x14ac:dyDescent="0.3">
      <c r="A247">
        <v>-0.05</v>
      </c>
      <c r="B247">
        <v>1</v>
      </c>
      <c r="C247">
        <v>1</v>
      </c>
      <c r="R247" s="3">
        <v>0.68</v>
      </c>
      <c r="S247">
        <v>4</v>
      </c>
      <c r="U247">
        <v>4</v>
      </c>
    </row>
    <row r="248" spans="1:21" x14ac:dyDescent="0.3">
      <c r="A248">
        <v>-0.05</v>
      </c>
      <c r="B248">
        <v>1</v>
      </c>
      <c r="C248">
        <v>1</v>
      </c>
      <c r="R248" s="3">
        <v>0.69</v>
      </c>
      <c r="S248">
        <v>2</v>
      </c>
      <c r="U248">
        <v>2</v>
      </c>
    </row>
    <row r="249" spans="1:21" x14ac:dyDescent="0.3">
      <c r="A249">
        <v>-0.05</v>
      </c>
      <c r="B249">
        <v>1</v>
      </c>
      <c r="C249">
        <v>1</v>
      </c>
      <c r="R249" s="3">
        <v>0.7</v>
      </c>
      <c r="S249">
        <v>5</v>
      </c>
      <c r="U249">
        <v>5</v>
      </c>
    </row>
    <row r="250" spans="1:21" x14ac:dyDescent="0.3">
      <c r="A250">
        <v>-0.05</v>
      </c>
      <c r="B250">
        <v>1</v>
      </c>
      <c r="C250">
        <v>1</v>
      </c>
      <c r="R250" s="3">
        <v>0.71</v>
      </c>
      <c r="S250">
        <v>3</v>
      </c>
      <c r="U250">
        <v>3</v>
      </c>
    </row>
    <row r="251" spans="1:21" x14ac:dyDescent="0.3">
      <c r="A251">
        <v>-0.05</v>
      </c>
      <c r="B251">
        <v>1</v>
      </c>
      <c r="C251">
        <v>1</v>
      </c>
      <c r="R251" s="3">
        <v>0.72</v>
      </c>
      <c r="S251">
        <v>7</v>
      </c>
      <c r="U251">
        <v>7</v>
      </c>
    </row>
    <row r="252" spans="1:21" x14ac:dyDescent="0.3">
      <c r="A252">
        <v>-0.05</v>
      </c>
      <c r="B252">
        <v>1</v>
      </c>
      <c r="C252">
        <v>1</v>
      </c>
      <c r="R252" s="3">
        <v>0.73</v>
      </c>
      <c r="S252">
        <v>2</v>
      </c>
      <c r="U252">
        <v>2</v>
      </c>
    </row>
    <row r="253" spans="1:21" x14ac:dyDescent="0.3">
      <c r="A253">
        <v>-0.04</v>
      </c>
      <c r="B253">
        <v>1</v>
      </c>
      <c r="C253">
        <v>1</v>
      </c>
      <c r="R253" s="3">
        <v>0.74</v>
      </c>
      <c r="S253">
        <v>4</v>
      </c>
      <c r="U253">
        <v>4</v>
      </c>
    </row>
    <row r="254" spans="1:21" x14ac:dyDescent="0.3">
      <c r="A254">
        <v>-0.04</v>
      </c>
      <c r="B254">
        <v>1</v>
      </c>
      <c r="C254">
        <v>1</v>
      </c>
      <c r="R254" s="3">
        <v>0.75</v>
      </c>
      <c r="S254">
        <v>4</v>
      </c>
      <c r="U254">
        <v>4</v>
      </c>
    </row>
    <row r="255" spans="1:21" x14ac:dyDescent="0.3">
      <c r="A255">
        <v>-0.04</v>
      </c>
      <c r="B255">
        <v>1</v>
      </c>
      <c r="C255">
        <v>1</v>
      </c>
      <c r="R255" s="3">
        <v>0.76</v>
      </c>
      <c r="S255">
        <v>3</v>
      </c>
      <c r="U255">
        <v>3</v>
      </c>
    </row>
    <row r="256" spans="1:21" x14ac:dyDescent="0.3">
      <c r="A256">
        <v>-0.04</v>
      </c>
      <c r="B256">
        <v>1</v>
      </c>
      <c r="C256">
        <v>1</v>
      </c>
      <c r="R256" s="3">
        <v>0.77</v>
      </c>
      <c r="S256">
        <v>2</v>
      </c>
      <c r="U256">
        <v>2</v>
      </c>
    </row>
    <row r="257" spans="1:21" x14ac:dyDescent="0.3">
      <c r="A257">
        <v>-0.03</v>
      </c>
      <c r="B257">
        <v>1</v>
      </c>
      <c r="C257">
        <v>1</v>
      </c>
      <c r="R257" s="3">
        <v>0.78</v>
      </c>
      <c r="S257">
        <v>2</v>
      </c>
      <c r="U257">
        <v>2</v>
      </c>
    </row>
    <row r="258" spans="1:21" x14ac:dyDescent="0.3">
      <c r="A258">
        <v>-0.03</v>
      </c>
      <c r="B258">
        <v>1</v>
      </c>
      <c r="C258">
        <v>1</v>
      </c>
      <c r="R258" s="3">
        <v>0.79</v>
      </c>
      <c r="S258">
        <v>7</v>
      </c>
      <c r="U258">
        <v>7</v>
      </c>
    </row>
    <row r="259" spans="1:21" x14ac:dyDescent="0.3">
      <c r="A259">
        <v>-0.03</v>
      </c>
      <c r="B259">
        <v>1</v>
      </c>
      <c r="C259">
        <v>1</v>
      </c>
      <c r="R259" s="3">
        <v>0.8</v>
      </c>
      <c r="S259">
        <v>3</v>
      </c>
      <c r="U259">
        <v>3</v>
      </c>
    </row>
    <row r="260" spans="1:21" x14ac:dyDescent="0.3">
      <c r="A260">
        <v>-0.03</v>
      </c>
      <c r="B260">
        <v>1</v>
      </c>
      <c r="C260">
        <v>1</v>
      </c>
      <c r="R260" s="3">
        <v>0.81</v>
      </c>
      <c r="S260">
        <v>1</v>
      </c>
      <c r="U260">
        <v>1</v>
      </c>
    </row>
    <row r="261" spans="1:21" x14ac:dyDescent="0.3">
      <c r="A261">
        <v>-0.03</v>
      </c>
      <c r="B261">
        <v>1</v>
      </c>
      <c r="C261">
        <v>1</v>
      </c>
      <c r="R261" s="3">
        <v>0.82</v>
      </c>
      <c r="S261">
        <v>2</v>
      </c>
      <c r="U261">
        <v>2</v>
      </c>
    </row>
    <row r="262" spans="1:21" x14ac:dyDescent="0.3">
      <c r="A262">
        <v>-0.03</v>
      </c>
      <c r="B262">
        <v>1</v>
      </c>
      <c r="C262">
        <v>1</v>
      </c>
      <c r="R262" s="3">
        <v>0.83</v>
      </c>
      <c r="S262">
        <v>2</v>
      </c>
      <c r="U262">
        <v>2</v>
      </c>
    </row>
    <row r="263" spans="1:21" x14ac:dyDescent="0.3">
      <c r="A263">
        <v>-0.03</v>
      </c>
      <c r="B263">
        <v>1</v>
      </c>
      <c r="C263">
        <v>1</v>
      </c>
      <c r="R263" s="3">
        <v>0.84</v>
      </c>
      <c r="S263">
        <v>7</v>
      </c>
      <c r="U263">
        <v>7</v>
      </c>
    </row>
    <row r="264" spans="1:21" x14ac:dyDescent="0.3">
      <c r="A264">
        <v>-0.02</v>
      </c>
      <c r="B264">
        <v>1</v>
      </c>
      <c r="C264">
        <v>1</v>
      </c>
      <c r="R264" s="3">
        <v>0.85</v>
      </c>
      <c r="S264">
        <v>3</v>
      </c>
      <c r="U264">
        <v>3</v>
      </c>
    </row>
    <row r="265" spans="1:21" x14ac:dyDescent="0.3">
      <c r="A265">
        <v>-0.02</v>
      </c>
      <c r="B265">
        <v>1</v>
      </c>
      <c r="C265">
        <v>1</v>
      </c>
      <c r="R265" s="3">
        <v>0.86</v>
      </c>
      <c r="S265">
        <v>1</v>
      </c>
      <c r="U265">
        <v>1</v>
      </c>
    </row>
    <row r="266" spans="1:21" x14ac:dyDescent="0.3">
      <c r="A266">
        <v>-0.02</v>
      </c>
      <c r="B266">
        <v>1</v>
      </c>
      <c r="C266">
        <v>1</v>
      </c>
      <c r="R266" s="3">
        <v>0.87</v>
      </c>
      <c r="S266">
        <v>1</v>
      </c>
      <c r="U266">
        <v>1</v>
      </c>
    </row>
    <row r="267" spans="1:21" x14ac:dyDescent="0.3">
      <c r="A267">
        <v>-0.02</v>
      </c>
      <c r="B267">
        <v>1</v>
      </c>
      <c r="C267">
        <v>1</v>
      </c>
      <c r="R267" s="3">
        <v>0.88</v>
      </c>
      <c r="S267">
        <v>6</v>
      </c>
      <c r="U267">
        <v>6</v>
      </c>
    </row>
    <row r="268" spans="1:21" x14ac:dyDescent="0.3">
      <c r="A268">
        <v>-0.02</v>
      </c>
      <c r="B268">
        <v>1</v>
      </c>
      <c r="C268">
        <v>1</v>
      </c>
      <c r="R268" s="3">
        <v>0.89</v>
      </c>
      <c r="S268">
        <v>1</v>
      </c>
      <c r="U268">
        <v>1</v>
      </c>
    </row>
    <row r="269" spans="1:21" x14ac:dyDescent="0.3">
      <c r="A269">
        <v>-0.02</v>
      </c>
      <c r="B269">
        <v>1</v>
      </c>
      <c r="C269">
        <v>1</v>
      </c>
      <c r="R269" s="3">
        <v>0.9</v>
      </c>
      <c r="S269">
        <v>6</v>
      </c>
      <c r="U269">
        <v>6</v>
      </c>
    </row>
    <row r="270" spans="1:21" x14ac:dyDescent="0.3">
      <c r="A270">
        <v>-0.02</v>
      </c>
      <c r="B270">
        <v>1</v>
      </c>
      <c r="C270">
        <v>1</v>
      </c>
      <c r="R270" s="3">
        <v>0.91</v>
      </c>
      <c r="S270">
        <v>5</v>
      </c>
      <c r="U270">
        <v>5</v>
      </c>
    </row>
    <row r="271" spans="1:21" x14ac:dyDescent="0.3">
      <c r="A271">
        <v>-0.02</v>
      </c>
      <c r="B271">
        <v>1</v>
      </c>
      <c r="C271">
        <v>1</v>
      </c>
      <c r="R271" s="3">
        <v>0.92</v>
      </c>
      <c r="S271">
        <v>3</v>
      </c>
      <c r="U271">
        <v>3</v>
      </c>
    </row>
    <row r="272" spans="1:21" x14ac:dyDescent="0.3">
      <c r="A272">
        <v>-0.02</v>
      </c>
      <c r="B272">
        <v>1</v>
      </c>
      <c r="C272">
        <v>1</v>
      </c>
      <c r="R272" s="3">
        <v>0.93</v>
      </c>
      <c r="S272">
        <v>3</v>
      </c>
      <c r="U272">
        <v>3</v>
      </c>
    </row>
    <row r="273" spans="1:21" x14ac:dyDescent="0.3">
      <c r="A273">
        <v>-0.02</v>
      </c>
      <c r="B273">
        <v>1</v>
      </c>
      <c r="C273">
        <v>1</v>
      </c>
      <c r="R273" s="3">
        <v>0.94</v>
      </c>
      <c r="S273">
        <v>3</v>
      </c>
      <c r="U273">
        <v>3</v>
      </c>
    </row>
    <row r="274" spans="1:21" x14ac:dyDescent="0.3">
      <c r="A274">
        <v>-0.01</v>
      </c>
      <c r="B274">
        <v>1</v>
      </c>
      <c r="C274">
        <v>1</v>
      </c>
      <c r="R274" s="3">
        <v>0.95</v>
      </c>
      <c r="S274">
        <v>1</v>
      </c>
      <c r="U274">
        <v>1</v>
      </c>
    </row>
    <row r="275" spans="1:21" x14ac:dyDescent="0.3">
      <c r="A275">
        <v>-0.01</v>
      </c>
      <c r="B275">
        <v>1</v>
      </c>
      <c r="C275">
        <v>1</v>
      </c>
      <c r="R275" s="3">
        <v>0.97</v>
      </c>
      <c r="S275">
        <v>3</v>
      </c>
      <c r="U275">
        <v>3</v>
      </c>
    </row>
    <row r="276" spans="1:21" x14ac:dyDescent="0.3">
      <c r="A276">
        <v>-0.01</v>
      </c>
      <c r="B276">
        <v>1</v>
      </c>
      <c r="C276">
        <v>1</v>
      </c>
      <c r="R276" s="3">
        <v>0.98</v>
      </c>
      <c r="S276">
        <v>1</v>
      </c>
      <c r="U276">
        <v>1</v>
      </c>
    </row>
    <row r="277" spans="1:21" x14ac:dyDescent="0.3">
      <c r="A277">
        <v>-0.01</v>
      </c>
      <c r="B277">
        <v>1</v>
      </c>
      <c r="C277">
        <v>1</v>
      </c>
      <c r="R277" s="3">
        <v>0.99</v>
      </c>
      <c r="S277">
        <v>2</v>
      </c>
      <c r="U277">
        <v>2</v>
      </c>
    </row>
    <row r="278" spans="1:21" x14ac:dyDescent="0.3">
      <c r="A278">
        <v>-0.01</v>
      </c>
      <c r="B278">
        <v>1</v>
      </c>
      <c r="C278">
        <v>1</v>
      </c>
      <c r="R278" s="3">
        <v>1</v>
      </c>
      <c r="S278">
        <v>2</v>
      </c>
      <c r="U278">
        <v>2</v>
      </c>
    </row>
    <row r="279" spans="1:21" x14ac:dyDescent="0.3">
      <c r="A279">
        <v>-0.01</v>
      </c>
      <c r="B279">
        <v>1</v>
      </c>
      <c r="C279">
        <v>1</v>
      </c>
      <c r="R279" s="3">
        <v>1.01</v>
      </c>
      <c r="S279">
        <v>1</v>
      </c>
      <c r="U279">
        <v>1</v>
      </c>
    </row>
    <row r="280" spans="1:21" x14ac:dyDescent="0.3">
      <c r="A280">
        <v>-0.01</v>
      </c>
      <c r="B280">
        <v>1</v>
      </c>
      <c r="C280">
        <v>1</v>
      </c>
      <c r="R280" s="3">
        <v>1.02</v>
      </c>
      <c r="S280">
        <v>3</v>
      </c>
      <c r="U280">
        <v>3</v>
      </c>
    </row>
    <row r="281" spans="1:21" x14ac:dyDescent="0.3">
      <c r="A281">
        <v>-0.01</v>
      </c>
      <c r="B281">
        <v>1</v>
      </c>
      <c r="C281">
        <v>1</v>
      </c>
      <c r="R281" s="3">
        <v>1.03</v>
      </c>
      <c r="S281">
        <v>1</v>
      </c>
      <c r="U281">
        <v>1</v>
      </c>
    </row>
    <row r="282" spans="1:21" x14ac:dyDescent="0.3">
      <c r="A282">
        <v>0</v>
      </c>
      <c r="B282">
        <v>1</v>
      </c>
      <c r="C282">
        <v>1</v>
      </c>
      <c r="R282" s="3">
        <v>1.04</v>
      </c>
      <c r="S282">
        <v>2</v>
      </c>
      <c r="U282">
        <v>2</v>
      </c>
    </row>
    <row r="283" spans="1:21" x14ac:dyDescent="0.3">
      <c r="A283">
        <v>0</v>
      </c>
      <c r="B283">
        <v>1</v>
      </c>
      <c r="C283">
        <v>1</v>
      </c>
      <c r="R283" s="3">
        <v>1.05</v>
      </c>
      <c r="S283">
        <v>3</v>
      </c>
      <c r="U283">
        <v>3</v>
      </c>
    </row>
    <row r="284" spans="1:21" x14ac:dyDescent="0.3">
      <c r="A284">
        <v>0</v>
      </c>
      <c r="B284">
        <v>1</v>
      </c>
      <c r="C284">
        <v>1</v>
      </c>
      <c r="R284" s="3">
        <v>1.06</v>
      </c>
      <c r="S284">
        <v>3</v>
      </c>
      <c r="U284">
        <v>3</v>
      </c>
    </row>
    <row r="285" spans="1:21" x14ac:dyDescent="0.3">
      <c r="A285">
        <v>0</v>
      </c>
      <c r="B285">
        <v>1</v>
      </c>
      <c r="C285">
        <v>1</v>
      </c>
      <c r="R285" s="3">
        <v>1.07</v>
      </c>
      <c r="S285">
        <v>1</v>
      </c>
      <c r="U285">
        <v>1</v>
      </c>
    </row>
    <row r="286" spans="1:21" x14ac:dyDescent="0.3">
      <c r="A286">
        <v>0</v>
      </c>
      <c r="B286">
        <v>1</v>
      </c>
      <c r="C286">
        <v>1</v>
      </c>
      <c r="R286" s="3">
        <v>1.0900000000000001</v>
      </c>
      <c r="S286">
        <v>1</v>
      </c>
      <c r="U286">
        <v>1</v>
      </c>
    </row>
    <row r="287" spans="1:21" x14ac:dyDescent="0.3">
      <c r="A287">
        <v>0</v>
      </c>
      <c r="B287">
        <v>1</v>
      </c>
      <c r="C287">
        <v>1</v>
      </c>
      <c r="R287" s="3">
        <v>1.1000000000000001</v>
      </c>
      <c r="S287">
        <v>5</v>
      </c>
      <c r="U287">
        <v>5</v>
      </c>
    </row>
    <row r="288" spans="1:21" x14ac:dyDescent="0.3">
      <c r="A288">
        <v>0</v>
      </c>
      <c r="B288">
        <v>1</v>
      </c>
      <c r="C288">
        <v>1</v>
      </c>
      <c r="R288" s="3">
        <v>1.1100000000000001</v>
      </c>
      <c r="S288">
        <v>4</v>
      </c>
      <c r="U288">
        <v>4</v>
      </c>
    </row>
    <row r="289" spans="1:21" x14ac:dyDescent="0.3">
      <c r="A289">
        <v>0</v>
      </c>
      <c r="B289">
        <v>1</v>
      </c>
      <c r="C289">
        <v>1</v>
      </c>
      <c r="R289" s="3">
        <v>1.1200000000000001</v>
      </c>
      <c r="S289">
        <v>3</v>
      </c>
      <c r="U289">
        <v>3</v>
      </c>
    </row>
    <row r="290" spans="1:21" x14ac:dyDescent="0.3">
      <c r="A290">
        <v>0</v>
      </c>
      <c r="B290">
        <v>1</v>
      </c>
      <c r="C290">
        <v>1</v>
      </c>
      <c r="R290" s="3">
        <v>1.1399999999999999</v>
      </c>
      <c r="S290">
        <v>4</v>
      </c>
      <c r="U290">
        <v>4</v>
      </c>
    </row>
    <row r="291" spans="1:21" x14ac:dyDescent="0.3">
      <c r="A291">
        <v>0</v>
      </c>
      <c r="B291">
        <v>1</v>
      </c>
      <c r="C291">
        <v>1</v>
      </c>
      <c r="R291" s="3">
        <v>1.1499999999999999</v>
      </c>
      <c r="S291">
        <v>2</v>
      </c>
      <c r="U291">
        <v>2</v>
      </c>
    </row>
    <row r="292" spans="1:21" x14ac:dyDescent="0.3">
      <c r="A292">
        <v>0.01</v>
      </c>
      <c r="B292">
        <v>1</v>
      </c>
      <c r="C292">
        <v>1</v>
      </c>
      <c r="R292" s="3">
        <v>1.1599999999999999</v>
      </c>
      <c r="S292">
        <v>1</v>
      </c>
      <c r="U292">
        <v>1</v>
      </c>
    </row>
    <row r="293" spans="1:21" x14ac:dyDescent="0.3">
      <c r="A293">
        <v>0.01</v>
      </c>
      <c r="B293">
        <v>1</v>
      </c>
      <c r="C293">
        <v>1</v>
      </c>
      <c r="R293" s="3">
        <v>1.18</v>
      </c>
      <c r="S293">
        <v>1</v>
      </c>
      <c r="U293">
        <v>1</v>
      </c>
    </row>
    <row r="294" spans="1:21" x14ac:dyDescent="0.3">
      <c r="A294">
        <v>0.01</v>
      </c>
      <c r="B294">
        <v>1</v>
      </c>
      <c r="C294">
        <v>1</v>
      </c>
      <c r="R294" s="3">
        <v>1.19</v>
      </c>
      <c r="S294">
        <v>2</v>
      </c>
      <c r="U294">
        <v>2</v>
      </c>
    </row>
    <row r="295" spans="1:21" x14ac:dyDescent="0.3">
      <c r="A295">
        <v>0.01</v>
      </c>
      <c r="B295">
        <v>1</v>
      </c>
      <c r="C295">
        <v>1</v>
      </c>
      <c r="R295" s="3">
        <v>1.2</v>
      </c>
      <c r="S295">
        <v>3</v>
      </c>
      <c r="U295">
        <v>3</v>
      </c>
    </row>
    <row r="296" spans="1:21" x14ac:dyDescent="0.3">
      <c r="A296">
        <v>0.01</v>
      </c>
      <c r="B296">
        <v>1</v>
      </c>
      <c r="C296">
        <v>1</v>
      </c>
      <c r="R296" s="3">
        <v>1.21</v>
      </c>
      <c r="S296">
        <v>1</v>
      </c>
      <c r="U296">
        <v>1</v>
      </c>
    </row>
    <row r="297" spans="1:21" x14ac:dyDescent="0.3">
      <c r="A297">
        <v>0.01</v>
      </c>
      <c r="B297">
        <v>1</v>
      </c>
      <c r="C297">
        <v>1</v>
      </c>
      <c r="R297" s="3">
        <v>1.22</v>
      </c>
      <c r="S297">
        <v>1</v>
      </c>
      <c r="U297">
        <v>1</v>
      </c>
    </row>
    <row r="298" spans="1:21" x14ac:dyDescent="0.3">
      <c r="A298">
        <v>0.01</v>
      </c>
      <c r="B298">
        <v>1</v>
      </c>
      <c r="C298">
        <v>1</v>
      </c>
      <c r="R298" s="3">
        <v>1.24</v>
      </c>
      <c r="S298">
        <v>1</v>
      </c>
      <c r="U298">
        <v>1</v>
      </c>
    </row>
    <row r="299" spans="1:21" x14ac:dyDescent="0.3">
      <c r="A299">
        <v>0.01</v>
      </c>
      <c r="B299">
        <v>1</v>
      </c>
      <c r="C299">
        <v>1</v>
      </c>
      <c r="R299" s="3">
        <v>1.25</v>
      </c>
      <c r="S299">
        <v>2</v>
      </c>
      <c r="U299">
        <v>2</v>
      </c>
    </row>
    <row r="300" spans="1:21" x14ac:dyDescent="0.3">
      <c r="A300">
        <v>0.01</v>
      </c>
      <c r="B300">
        <v>1</v>
      </c>
      <c r="C300">
        <v>1</v>
      </c>
      <c r="R300" s="3">
        <v>1.27</v>
      </c>
      <c r="S300">
        <v>1</v>
      </c>
      <c r="U300">
        <v>1</v>
      </c>
    </row>
    <row r="301" spans="1:21" x14ac:dyDescent="0.3">
      <c r="A301">
        <v>0.01</v>
      </c>
      <c r="B301">
        <v>1</v>
      </c>
      <c r="C301">
        <v>1</v>
      </c>
      <c r="R301" s="3">
        <v>1.29</v>
      </c>
      <c r="S301">
        <v>1</v>
      </c>
      <c r="U301">
        <v>1</v>
      </c>
    </row>
    <row r="302" spans="1:21" x14ac:dyDescent="0.3">
      <c r="A302">
        <v>0.01</v>
      </c>
      <c r="B302">
        <v>1</v>
      </c>
      <c r="C302">
        <v>1</v>
      </c>
      <c r="R302" s="3">
        <v>1.31</v>
      </c>
      <c r="S302">
        <v>1</v>
      </c>
      <c r="U302">
        <v>1</v>
      </c>
    </row>
    <row r="303" spans="1:21" x14ac:dyDescent="0.3">
      <c r="A303">
        <v>0.01</v>
      </c>
      <c r="B303">
        <v>1</v>
      </c>
      <c r="C303">
        <v>1</v>
      </c>
      <c r="R303" s="3">
        <v>1.32</v>
      </c>
      <c r="S303">
        <v>2</v>
      </c>
      <c r="U303">
        <v>2</v>
      </c>
    </row>
    <row r="304" spans="1:21" x14ac:dyDescent="0.3">
      <c r="A304">
        <v>0.01</v>
      </c>
      <c r="B304">
        <v>1</v>
      </c>
      <c r="C304">
        <v>1</v>
      </c>
      <c r="R304" s="3">
        <v>1.33</v>
      </c>
      <c r="S304">
        <v>3</v>
      </c>
      <c r="U304">
        <v>3</v>
      </c>
    </row>
    <row r="305" spans="1:21" x14ac:dyDescent="0.3">
      <c r="A305">
        <v>0.01</v>
      </c>
      <c r="B305">
        <v>1</v>
      </c>
      <c r="C305">
        <v>1</v>
      </c>
      <c r="R305" s="3">
        <v>1.34</v>
      </c>
      <c r="S305">
        <v>1</v>
      </c>
      <c r="U305">
        <v>1</v>
      </c>
    </row>
    <row r="306" spans="1:21" x14ac:dyDescent="0.3">
      <c r="A306">
        <v>0.01</v>
      </c>
      <c r="B306">
        <v>1</v>
      </c>
      <c r="C306">
        <v>1</v>
      </c>
      <c r="R306" s="3">
        <v>1.36</v>
      </c>
      <c r="S306">
        <v>4</v>
      </c>
      <c r="U306">
        <v>4</v>
      </c>
    </row>
    <row r="307" spans="1:21" x14ac:dyDescent="0.3">
      <c r="A307">
        <v>0.01</v>
      </c>
      <c r="B307">
        <v>1</v>
      </c>
      <c r="C307">
        <v>1</v>
      </c>
      <c r="R307" s="3">
        <v>1.38</v>
      </c>
      <c r="S307">
        <v>1</v>
      </c>
      <c r="U307">
        <v>1</v>
      </c>
    </row>
    <row r="308" spans="1:21" x14ac:dyDescent="0.3">
      <c r="A308">
        <v>0.01</v>
      </c>
      <c r="B308">
        <v>1</v>
      </c>
      <c r="C308">
        <v>1</v>
      </c>
      <c r="R308" s="3">
        <v>1.39</v>
      </c>
      <c r="S308">
        <v>3</v>
      </c>
      <c r="U308">
        <v>3</v>
      </c>
    </row>
    <row r="309" spans="1:21" x14ac:dyDescent="0.3">
      <c r="A309">
        <v>0.01</v>
      </c>
      <c r="B309">
        <v>1</v>
      </c>
      <c r="C309">
        <v>1</v>
      </c>
      <c r="R309" s="3">
        <v>1.4</v>
      </c>
      <c r="S309">
        <v>3</v>
      </c>
      <c r="U309">
        <v>3</v>
      </c>
    </row>
    <row r="310" spans="1:21" x14ac:dyDescent="0.3">
      <c r="A310">
        <v>0.01</v>
      </c>
      <c r="B310">
        <v>1</v>
      </c>
      <c r="C310">
        <v>1</v>
      </c>
      <c r="R310" s="3">
        <v>1.42</v>
      </c>
      <c r="S310">
        <v>2</v>
      </c>
      <c r="U310">
        <v>2</v>
      </c>
    </row>
    <row r="311" spans="1:21" x14ac:dyDescent="0.3">
      <c r="A311">
        <v>0.01</v>
      </c>
      <c r="B311">
        <v>1</v>
      </c>
      <c r="C311">
        <v>1</v>
      </c>
      <c r="R311" s="3">
        <v>1.45</v>
      </c>
      <c r="S311">
        <v>2</v>
      </c>
      <c r="U311">
        <v>2</v>
      </c>
    </row>
    <row r="312" spans="1:21" x14ac:dyDescent="0.3">
      <c r="A312">
        <v>0.01</v>
      </c>
      <c r="B312">
        <v>1</v>
      </c>
      <c r="C312">
        <v>1</v>
      </c>
      <c r="R312" s="3">
        <v>1.47</v>
      </c>
      <c r="S312">
        <v>1</v>
      </c>
      <c r="U312">
        <v>1</v>
      </c>
    </row>
    <row r="313" spans="1:21" x14ac:dyDescent="0.3">
      <c r="A313">
        <v>0.01</v>
      </c>
      <c r="B313">
        <v>1</v>
      </c>
      <c r="C313">
        <v>1</v>
      </c>
      <c r="R313" s="3">
        <v>1.48</v>
      </c>
      <c r="S313">
        <v>1</v>
      </c>
      <c r="U313">
        <v>1</v>
      </c>
    </row>
    <row r="314" spans="1:21" x14ac:dyDescent="0.3">
      <c r="A314">
        <v>0.01</v>
      </c>
      <c r="B314">
        <v>1</v>
      </c>
      <c r="C314">
        <v>1</v>
      </c>
      <c r="R314" s="3">
        <v>1.49</v>
      </c>
      <c r="S314">
        <v>2</v>
      </c>
      <c r="U314">
        <v>2</v>
      </c>
    </row>
    <row r="315" spans="1:21" x14ac:dyDescent="0.3">
      <c r="A315">
        <v>0.01</v>
      </c>
      <c r="B315">
        <v>1</v>
      </c>
      <c r="C315">
        <v>1</v>
      </c>
      <c r="R315" s="3">
        <v>1.53</v>
      </c>
      <c r="S315">
        <v>3</v>
      </c>
      <c r="U315">
        <v>3</v>
      </c>
    </row>
    <row r="316" spans="1:21" x14ac:dyDescent="0.3">
      <c r="A316">
        <v>0.01</v>
      </c>
      <c r="B316">
        <v>1</v>
      </c>
      <c r="C316">
        <v>1</v>
      </c>
      <c r="R316" s="3">
        <v>1.54</v>
      </c>
      <c r="S316">
        <v>1</v>
      </c>
      <c r="U316">
        <v>1</v>
      </c>
    </row>
    <row r="317" spans="1:21" x14ac:dyDescent="0.3">
      <c r="A317">
        <v>0.01</v>
      </c>
      <c r="B317">
        <v>1</v>
      </c>
      <c r="C317">
        <v>1</v>
      </c>
      <c r="R317" s="3">
        <v>1.56</v>
      </c>
      <c r="S317">
        <v>2</v>
      </c>
      <c r="U317">
        <v>2</v>
      </c>
    </row>
    <row r="318" spans="1:21" x14ac:dyDescent="0.3">
      <c r="A318">
        <v>0.02</v>
      </c>
      <c r="B318">
        <v>1</v>
      </c>
      <c r="C318">
        <v>1</v>
      </c>
      <c r="R318" s="3">
        <v>1.57</v>
      </c>
      <c r="S318">
        <v>1</v>
      </c>
      <c r="U318">
        <v>1</v>
      </c>
    </row>
    <row r="319" spans="1:21" x14ac:dyDescent="0.3">
      <c r="A319">
        <v>0.02</v>
      </c>
      <c r="B319">
        <v>1</v>
      </c>
      <c r="C319">
        <v>1</v>
      </c>
      <c r="R319" s="3">
        <v>1.58</v>
      </c>
      <c r="S319">
        <v>1</v>
      </c>
      <c r="U319">
        <v>1</v>
      </c>
    </row>
    <row r="320" spans="1:21" x14ac:dyDescent="0.3">
      <c r="A320">
        <v>0.02</v>
      </c>
      <c r="B320">
        <v>1</v>
      </c>
      <c r="C320">
        <v>1</v>
      </c>
      <c r="R320" s="3">
        <v>1.6</v>
      </c>
      <c r="S320">
        <v>2</v>
      </c>
      <c r="U320">
        <v>2</v>
      </c>
    </row>
    <row r="321" spans="1:21" x14ac:dyDescent="0.3">
      <c r="A321">
        <v>0.02</v>
      </c>
      <c r="B321">
        <v>1</v>
      </c>
      <c r="C321">
        <v>1</v>
      </c>
      <c r="R321" s="3">
        <v>1.61</v>
      </c>
      <c r="S321">
        <v>2</v>
      </c>
      <c r="U321">
        <v>2</v>
      </c>
    </row>
    <row r="322" spans="1:21" x14ac:dyDescent="0.3">
      <c r="A322">
        <v>0.02</v>
      </c>
      <c r="B322">
        <v>1</v>
      </c>
      <c r="C322">
        <v>1</v>
      </c>
      <c r="R322" s="3">
        <v>1.62</v>
      </c>
      <c r="S322">
        <v>1</v>
      </c>
      <c r="U322">
        <v>1</v>
      </c>
    </row>
    <row r="323" spans="1:21" x14ac:dyDescent="0.3">
      <c r="A323">
        <v>0.02</v>
      </c>
      <c r="B323">
        <v>1</v>
      </c>
      <c r="C323">
        <v>1</v>
      </c>
      <c r="R323" s="3">
        <v>1.63</v>
      </c>
      <c r="S323">
        <v>1</v>
      </c>
      <c r="U323">
        <v>1</v>
      </c>
    </row>
    <row r="324" spans="1:21" x14ac:dyDescent="0.3">
      <c r="A324">
        <v>0.02</v>
      </c>
      <c r="B324">
        <v>1</v>
      </c>
      <c r="C324">
        <v>1</v>
      </c>
      <c r="R324" s="3">
        <v>1.64</v>
      </c>
      <c r="S324">
        <v>3</v>
      </c>
      <c r="U324">
        <v>3</v>
      </c>
    </row>
    <row r="325" spans="1:21" x14ac:dyDescent="0.3">
      <c r="A325">
        <v>0.02</v>
      </c>
      <c r="B325">
        <v>1</v>
      </c>
      <c r="C325">
        <v>1</v>
      </c>
      <c r="R325" s="3">
        <v>1.65</v>
      </c>
      <c r="S325">
        <v>1</v>
      </c>
      <c r="U325">
        <v>1</v>
      </c>
    </row>
    <row r="326" spans="1:21" x14ac:dyDescent="0.3">
      <c r="A326">
        <v>0.02</v>
      </c>
      <c r="B326">
        <v>1</v>
      </c>
      <c r="C326">
        <v>1</v>
      </c>
      <c r="R326" s="3">
        <v>1.67</v>
      </c>
      <c r="S326">
        <v>2</v>
      </c>
      <c r="U326">
        <v>2</v>
      </c>
    </row>
    <row r="327" spans="1:21" x14ac:dyDescent="0.3">
      <c r="A327">
        <v>0.02</v>
      </c>
      <c r="B327">
        <v>1</v>
      </c>
      <c r="C327">
        <v>1</v>
      </c>
      <c r="R327" s="3">
        <v>1.7</v>
      </c>
      <c r="S327">
        <v>2</v>
      </c>
      <c r="U327">
        <v>2</v>
      </c>
    </row>
    <row r="328" spans="1:21" x14ac:dyDescent="0.3">
      <c r="A328">
        <v>0.02</v>
      </c>
      <c r="B328">
        <v>1</v>
      </c>
      <c r="C328">
        <v>1</v>
      </c>
      <c r="R328" s="3">
        <v>1.73</v>
      </c>
      <c r="S328">
        <v>1</v>
      </c>
      <c r="U328">
        <v>1</v>
      </c>
    </row>
    <row r="329" spans="1:21" x14ac:dyDescent="0.3">
      <c r="A329">
        <v>0.02</v>
      </c>
      <c r="B329">
        <v>1</v>
      </c>
      <c r="C329">
        <v>1</v>
      </c>
      <c r="R329" s="3">
        <v>1.74</v>
      </c>
      <c r="S329">
        <v>1</v>
      </c>
      <c r="U329">
        <v>1</v>
      </c>
    </row>
    <row r="330" spans="1:21" x14ac:dyDescent="0.3">
      <c r="A330">
        <v>0.02</v>
      </c>
      <c r="B330">
        <v>1</v>
      </c>
      <c r="C330">
        <v>1</v>
      </c>
      <c r="R330" s="3">
        <v>1.77</v>
      </c>
      <c r="S330">
        <v>1</v>
      </c>
      <c r="U330">
        <v>1</v>
      </c>
    </row>
    <row r="331" spans="1:21" x14ac:dyDescent="0.3">
      <c r="A331">
        <v>0.02</v>
      </c>
      <c r="B331">
        <v>1</v>
      </c>
      <c r="C331">
        <v>1</v>
      </c>
      <c r="R331" s="3">
        <v>1.79</v>
      </c>
      <c r="S331">
        <v>1</v>
      </c>
      <c r="U331">
        <v>1</v>
      </c>
    </row>
    <row r="332" spans="1:21" x14ac:dyDescent="0.3">
      <c r="A332">
        <v>0.02</v>
      </c>
      <c r="B332">
        <v>1</v>
      </c>
      <c r="C332">
        <v>1</v>
      </c>
      <c r="R332" s="3">
        <v>1.83</v>
      </c>
      <c r="S332">
        <v>3</v>
      </c>
      <c r="U332">
        <v>3</v>
      </c>
    </row>
    <row r="333" spans="1:21" x14ac:dyDescent="0.3">
      <c r="A333">
        <v>0.02</v>
      </c>
      <c r="B333">
        <v>1</v>
      </c>
      <c r="C333">
        <v>1</v>
      </c>
      <c r="R333" s="3">
        <v>1.85</v>
      </c>
      <c r="S333">
        <v>1</v>
      </c>
      <c r="U333">
        <v>1</v>
      </c>
    </row>
    <row r="334" spans="1:21" x14ac:dyDescent="0.3">
      <c r="A334">
        <v>0.02</v>
      </c>
      <c r="B334">
        <v>1</v>
      </c>
      <c r="C334">
        <v>1</v>
      </c>
      <c r="R334" s="3">
        <v>1.86</v>
      </c>
      <c r="S334">
        <v>1</v>
      </c>
      <c r="U334">
        <v>1</v>
      </c>
    </row>
    <row r="335" spans="1:21" x14ac:dyDescent="0.3">
      <c r="A335">
        <v>0.02</v>
      </c>
      <c r="B335">
        <v>1</v>
      </c>
      <c r="C335">
        <v>1</v>
      </c>
      <c r="R335" s="3">
        <v>1.88</v>
      </c>
      <c r="S335">
        <v>2</v>
      </c>
      <c r="U335">
        <v>2</v>
      </c>
    </row>
    <row r="336" spans="1:21" x14ac:dyDescent="0.3">
      <c r="A336">
        <v>0.02</v>
      </c>
      <c r="B336">
        <v>1</v>
      </c>
      <c r="C336">
        <v>1</v>
      </c>
      <c r="R336" s="3">
        <v>1.89</v>
      </c>
      <c r="S336">
        <v>3</v>
      </c>
      <c r="U336">
        <v>3</v>
      </c>
    </row>
    <row r="337" spans="1:21" x14ac:dyDescent="0.3">
      <c r="A337">
        <v>0.02</v>
      </c>
      <c r="B337">
        <v>1</v>
      </c>
      <c r="C337">
        <v>1</v>
      </c>
      <c r="R337" s="3">
        <v>1.92</v>
      </c>
      <c r="S337">
        <v>1</v>
      </c>
      <c r="U337">
        <v>1</v>
      </c>
    </row>
    <row r="338" spans="1:21" x14ac:dyDescent="0.3">
      <c r="A338">
        <v>0.02</v>
      </c>
      <c r="B338">
        <v>1</v>
      </c>
      <c r="C338">
        <v>1</v>
      </c>
      <c r="R338" s="3">
        <v>1.94</v>
      </c>
      <c r="S338">
        <v>1</v>
      </c>
      <c r="U338">
        <v>1</v>
      </c>
    </row>
    <row r="339" spans="1:21" x14ac:dyDescent="0.3">
      <c r="A339">
        <v>0.02</v>
      </c>
      <c r="B339">
        <v>1</v>
      </c>
      <c r="C339">
        <v>1</v>
      </c>
      <c r="R339" s="3">
        <v>2.04</v>
      </c>
      <c r="S339">
        <v>1</v>
      </c>
      <c r="U339">
        <v>1</v>
      </c>
    </row>
    <row r="340" spans="1:21" x14ac:dyDescent="0.3">
      <c r="A340">
        <v>0.02</v>
      </c>
      <c r="B340">
        <v>1</v>
      </c>
      <c r="C340">
        <v>1</v>
      </c>
      <c r="R340" s="3">
        <v>2.0499999999999998</v>
      </c>
      <c r="S340">
        <v>2</v>
      </c>
      <c r="U340">
        <v>2</v>
      </c>
    </row>
    <row r="341" spans="1:21" x14ac:dyDescent="0.3">
      <c r="A341">
        <v>0.02</v>
      </c>
      <c r="B341">
        <v>1</v>
      </c>
      <c r="C341">
        <v>1</v>
      </c>
      <c r="R341" s="3">
        <v>2.08</v>
      </c>
      <c r="S341">
        <v>1</v>
      </c>
      <c r="U341">
        <v>1</v>
      </c>
    </row>
    <row r="342" spans="1:21" x14ac:dyDescent="0.3">
      <c r="A342">
        <v>0.02</v>
      </c>
      <c r="B342">
        <v>1</v>
      </c>
      <c r="C342">
        <v>1</v>
      </c>
      <c r="R342" s="3">
        <v>2.11</v>
      </c>
      <c r="S342">
        <v>1</v>
      </c>
      <c r="U342">
        <v>1</v>
      </c>
    </row>
    <row r="343" spans="1:21" x14ac:dyDescent="0.3">
      <c r="A343">
        <v>0.02</v>
      </c>
      <c r="B343">
        <v>1</v>
      </c>
      <c r="C343">
        <v>1</v>
      </c>
      <c r="R343" s="3">
        <v>2.12</v>
      </c>
      <c r="S343">
        <v>2</v>
      </c>
      <c r="U343">
        <v>2</v>
      </c>
    </row>
    <row r="344" spans="1:21" x14ac:dyDescent="0.3">
      <c r="A344">
        <v>0.02</v>
      </c>
      <c r="B344">
        <v>1</v>
      </c>
      <c r="C344">
        <v>1</v>
      </c>
      <c r="R344" s="3">
        <v>2.13</v>
      </c>
      <c r="S344">
        <v>2</v>
      </c>
      <c r="U344">
        <v>2</v>
      </c>
    </row>
    <row r="345" spans="1:21" x14ac:dyDescent="0.3">
      <c r="A345">
        <v>0.02</v>
      </c>
      <c r="B345">
        <v>1</v>
      </c>
      <c r="C345">
        <v>1</v>
      </c>
      <c r="R345" s="3">
        <v>2.17</v>
      </c>
      <c r="S345">
        <v>2</v>
      </c>
      <c r="U345">
        <v>2</v>
      </c>
    </row>
    <row r="346" spans="1:21" x14ac:dyDescent="0.3">
      <c r="A346">
        <v>0.03</v>
      </c>
      <c r="B346">
        <v>1</v>
      </c>
      <c r="C346">
        <v>1</v>
      </c>
      <c r="R346" s="3">
        <v>2.2000000000000002</v>
      </c>
      <c r="S346">
        <v>1</v>
      </c>
      <c r="U346">
        <v>1</v>
      </c>
    </row>
    <row r="347" spans="1:21" x14ac:dyDescent="0.3">
      <c r="A347">
        <v>0.03</v>
      </c>
      <c r="B347">
        <v>1</v>
      </c>
      <c r="C347">
        <v>1</v>
      </c>
      <c r="R347" s="3">
        <v>2.2400000000000002</v>
      </c>
      <c r="S347">
        <v>2</v>
      </c>
      <c r="U347">
        <v>2</v>
      </c>
    </row>
    <row r="348" spans="1:21" x14ac:dyDescent="0.3">
      <c r="A348">
        <v>0.03</v>
      </c>
      <c r="B348">
        <v>1</v>
      </c>
      <c r="C348">
        <v>1</v>
      </c>
      <c r="R348" s="3">
        <v>2.2599999999999998</v>
      </c>
      <c r="S348">
        <v>1</v>
      </c>
      <c r="U348">
        <v>1</v>
      </c>
    </row>
    <row r="349" spans="1:21" x14ac:dyDescent="0.3">
      <c r="A349">
        <v>0.03</v>
      </c>
      <c r="B349">
        <v>1</v>
      </c>
      <c r="C349">
        <v>1</v>
      </c>
      <c r="R349" s="3">
        <v>2.2799999999999998</v>
      </c>
      <c r="S349">
        <v>1</v>
      </c>
      <c r="U349">
        <v>1</v>
      </c>
    </row>
    <row r="350" spans="1:21" x14ac:dyDescent="0.3">
      <c r="A350">
        <v>0.03</v>
      </c>
      <c r="B350">
        <v>1</v>
      </c>
      <c r="C350">
        <v>1</v>
      </c>
      <c r="R350" s="3">
        <v>2.29</v>
      </c>
      <c r="S350">
        <v>2</v>
      </c>
      <c r="U350">
        <v>2</v>
      </c>
    </row>
    <row r="351" spans="1:21" x14ac:dyDescent="0.3">
      <c r="A351">
        <v>0.03</v>
      </c>
      <c r="B351">
        <v>1</v>
      </c>
      <c r="C351">
        <v>1</v>
      </c>
      <c r="R351" s="3">
        <v>2.2999999999999998</v>
      </c>
      <c r="S351">
        <v>1</v>
      </c>
      <c r="U351">
        <v>1</v>
      </c>
    </row>
    <row r="352" spans="1:21" x14ac:dyDescent="0.3">
      <c r="A352">
        <v>0.03</v>
      </c>
      <c r="B352">
        <v>1</v>
      </c>
      <c r="C352">
        <v>1</v>
      </c>
      <c r="R352" s="3">
        <v>2.31</v>
      </c>
      <c r="S352">
        <v>1</v>
      </c>
      <c r="U352">
        <v>1</v>
      </c>
    </row>
    <row r="353" spans="1:21" x14ac:dyDescent="0.3">
      <c r="A353">
        <v>0.03</v>
      </c>
      <c r="B353">
        <v>1</v>
      </c>
      <c r="C353">
        <v>1</v>
      </c>
      <c r="R353" s="3">
        <v>2.36</v>
      </c>
      <c r="S353">
        <v>2</v>
      </c>
      <c r="U353">
        <v>2</v>
      </c>
    </row>
    <row r="354" spans="1:21" x14ac:dyDescent="0.3">
      <c r="A354">
        <v>0.03</v>
      </c>
      <c r="B354">
        <v>1</v>
      </c>
      <c r="C354">
        <v>1</v>
      </c>
      <c r="R354" s="3">
        <v>2.37</v>
      </c>
      <c r="S354">
        <v>2</v>
      </c>
      <c r="U354">
        <v>2</v>
      </c>
    </row>
    <row r="355" spans="1:21" x14ac:dyDescent="0.3">
      <c r="A355">
        <v>0.03</v>
      </c>
      <c r="B355">
        <v>1</v>
      </c>
      <c r="C355">
        <v>1</v>
      </c>
      <c r="R355" s="3">
        <v>2.4</v>
      </c>
      <c r="S355">
        <v>1</v>
      </c>
      <c r="U355">
        <v>1</v>
      </c>
    </row>
    <row r="356" spans="1:21" x14ac:dyDescent="0.3">
      <c r="A356">
        <v>0.03</v>
      </c>
      <c r="B356">
        <v>1</v>
      </c>
      <c r="C356">
        <v>1</v>
      </c>
      <c r="R356" s="3">
        <v>2.44</v>
      </c>
      <c r="S356">
        <v>1</v>
      </c>
      <c r="U356">
        <v>1</v>
      </c>
    </row>
    <row r="357" spans="1:21" x14ac:dyDescent="0.3">
      <c r="A357">
        <v>0.03</v>
      </c>
      <c r="B357">
        <v>1</v>
      </c>
      <c r="C357">
        <v>1</v>
      </c>
      <c r="R357" s="3">
        <v>2.4700000000000002</v>
      </c>
      <c r="S357">
        <v>1</v>
      </c>
      <c r="U357">
        <v>1</v>
      </c>
    </row>
    <row r="358" spans="1:21" x14ac:dyDescent="0.3">
      <c r="A358">
        <v>0.03</v>
      </c>
      <c r="B358">
        <v>1</v>
      </c>
      <c r="C358">
        <v>1</v>
      </c>
      <c r="R358" s="3">
        <v>2.48</v>
      </c>
      <c r="S358">
        <v>1</v>
      </c>
      <c r="U358">
        <v>1</v>
      </c>
    </row>
    <row r="359" spans="1:21" x14ac:dyDescent="0.3">
      <c r="A359">
        <v>0.03</v>
      </c>
      <c r="B359">
        <v>1</v>
      </c>
      <c r="C359">
        <v>1</v>
      </c>
      <c r="R359" s="3">
        <v>2.4900000000000002</v>
      </c>
      <c r="S359">
        <v>1</v>
      </c>
      <c r="U359">
        <v>1</v>
      </c>
    </row>
    <row r="360" spans="1:21" x14ac:dyDescent="0.3">
      <c r="A360">
        <v>0.03</v>
      </c>
      <c r="B360">
        <v>1</v>
      </c>
      <c r="C360">
        <v>1</v>
      </c>
      <c r="R360" s="3">
        <v>2.54</v>
      </c>
      <c r="S360">
        <v>2</v>
      </c>
      <c r="U360">
        <v>2</v>
      </c>
    </row>
    <row r="361" spans="1:21" x14ac:dyDescent="0.3">
      <c r="A361">
        <v>0.03</v>
      </c>
      <c r="B361">
        <v>1</v>
      </c>
      <c r="C361">
        <v>1</v>
      </c>
      <c r="R361" s="3">
        <v>2.56</v>
      </c>
      <c r="S361">
        <v>1</v>
      </c>
      <c r="U361">
        <v>1</v>
      </c>
    </row>
    <row r="362" spans="1:21" x14ac:dyDescent="0.3">
      <c r="A362">
        <v>0.03</v>
      </c>
      <c r="B362">
        <v>1</v>
      </c>
      <c r="C362">
        <v>1</v>
      </c>
      <c r="R362" s="3">
        <v>2.57</v>
      </c>
      <c r="S362">
        <v>2</v>
      </c>
      <c r="U362">
        <v>2</v>
      </c>
    </row>
    <row r="363" spans="1:21" x14ac:dyDescent="0.3">
      <c r="A363">
        <v>0.03</v>
      </c>
      <c r="B363">
        <v>1</v>
      </c>
      <c r="C363">
        <v>1</v>
      </c>
      <c r="R363" s="3">
        <v>2.62</v>
      </c>
      <c r="S363">
        <v>1</v>
      </c>
      <c r="U363">
        <v>1</v>
      </c>
    </row>
    <row r="364" spans="1:21" x14ac:dyDescent="0.3">
      <c r="A364">
        <v>0.03</v>
      </c>
      <c r="B364">
        <v>1</v>
      </c>
      <c r="C364">
        <v>1</v>
      </c>
      <c r="R364" s="3">
        <v>2.65</v>
      </c>
      <c r="S364">
        <v>2</v>
      </c>
      <c r="U364">
        <v>2</v>
      </c>
    </row>
    <row r="365" spans="1:21" x14ac:dyDescent="0.3">
      <c r="A365">
        <v>0.03</v>
      </c>
      <c r="B365">
        <v>1</v>
      </c>
      <c r="C365">
        <v>1</v>
      </c>
      <c r="R365" s="3">
        <v>2.69</v>
      </c>
      <c r="S365">
        <v>1</v>
      </c>
      <c r="U365">
        <v>1</v>
      </c>
    </row>
    <row r="366" spans="1:21" x14ac:dyDescent="0.3">
      <c r="A366">
        <v>0.03</v>
      </c>
      <c r="B366">
        <v>1</v>
      </c>
      <c r="C366">
        <v>1</v>
      </c>
      <c r="R366" s="3">
        <v>2.71</v>
      </c>
      <c r="S366">
        <v>1</v>
      </c>
      <c r="U366">
        <v>1</v>
      </c>
    </row>
    <row r="367" spans="1:21" x14ac:dyDescent="0.3">
      <c r="A367">
        <v>0.03</v>
      </c>
      <c r="B367">
        <v>1</v>
      </c>
      <c r="C367">
        <v>1</v>
      </c>
      <c r="R367" s="3">
        <v>2.73</v>
      </c>
      <c r="S367">
        <v>1</v>
      </c>
      <c r="U367">
        <v>1</v>
      </c>
    </row>
    <row r="368" spans="1:21" x14ac:dyDescent="0.3">
      <c r="A368">
        <v>0.03</v>
      </c>
      <c r="B368">
        <v>1</v>
      </c>
      <c r="C368">
        <v>1</v>
      </c>
      <c r="R368" s="3">
        <v>2.81</v>
      </c>
      <c r="S368">
        <v>2</v>
      </c>
      <c r="U368">
        <v>2</v>
      </c>
    </row>
    <row r="369" spans="1:21" x14ac:dyDescent="0.3">
      <c r="A369">
        <v>0.03</v>
      </c>
      <c r="B369">
        <v>1</v>
      </c>
      <c r="C369">
        <v>1</v>
      </c>
      <c r="R369" s="3">
        <v>2.87</v>
      </c>
      <c r="S369">
        <v>1</v>
      </c>
      <c r="U369">
        <v>1</v>
      </c>
    </row>
    <row r="370" spans="1:21" x14ac:dyDescent="0.3">
      <c r="A370">
        <v>0.03</v>
      </c>
      <c r="B370">
        <v>1</v>
      </c>
      <c r="C370">
        <v>1</v>
      </c>
      <c r="R370" s="3">
        <v>2.9</v>
      </c>
      <c r="S370">
        <v>1</v>
      </c>
      <c r="U370">
        <v>1</v>
      </c>
    </row>
    <row r="371" spans="1:21" x14ac:dyDescent="0.3">
      <c r="A371">
        <v>0.03</v>
      </c>
      <c r="B371">
        <v>1</v>
      </c>
      <c r="C371">
        <v>1</v>
      </c>
      <c r="R371" s="3">
        <v>3</v>
      </c>
      <c r="S371">
        <v>1</v>
      </c>
      <c r="U371">
        <v>1</v>
      </c>
    </row>
    <row r="372" spans="1:21" x14ac:dyDescent="0.3">
      <c r="A372">
        <v>0.03</v>
      </c>
      <c r="B372">
        <v>1</v>
      </c>
      <c r="C372">
        <v>1</v>
      </c>
      <c r="R372" s="3">
        <v>3.04</v>
      </c>
      <c r="S372">
        <v>1</v>
      </c>
      <c r="U372">
        <v>1</v>
      </c>
    </row>
    <row r="373" spans="1:21" x14ac:dyDescent="0.3">
      <c r="A373">
        <v>0.03</v>
      </c>
      <c r="B373">
        <v>1</v>
      </c>
      <c r="C373">
        <v>1</v>
      </c>
      <c r="R373" s="3">
        <v>3.09</v>
      </c>
      <c r="S373">
        <v>1</v>
      </c>
      <c r="U373">
        <v>1</v>
      </c>
    </row>
    <row r="374" spans="1:21" x14ac:dyDescent="0.3">
      <c r="A374">
        <v>0.03</v>
      </c>
      <c r="B374">
        <v>1</v>
      </c>
      <c r="C374">
        <v>1</v>
      </c>
      <c r="R374" s="3">
        <v>3.24</v>
      </c>
      <c r="S374">
        <v>1</v>
      </c>
      <c r="U374">
        <v>1</v>
      </c>
    </row>
    <row r="375" spans="1:21" x14ac:dyDescent="0.3">
      <c r="A375">
        <v>0.03</v>
      </c>
      <c r="B375">
        <v>1</v>
      </c>
      <c r="C375">
        <v>1</v>
      </c>
      <c r="R375" s="3">
        <v>3.27</v>
      </c>
      <c r="S375">
        <v>1</v>
      </c>
      <c r="U375">
        <v>1</v>
      </c>
    </row>
    <row r="376" spans="1:21" x14ac:dyDescent="0.3">
      <c r="A376">
        <v>0.03</v>
      </c>
      <c r="B376">
        <v>1</v>
      </c>
      <c r="C376">
        <v>1</v>
      </c>
      <c r="R376" s="3">
        <v>3.28</v>
      </c>
      <c r="S376">
        <v>1</v>
      </c>
      <c r="U376">
        <v>1</v>
      </c>
    </row>
    <row r="377" spans="1:21" x14ac:dyDescent="0.3">
      <c r="A377">
        <v>0.03</v>
      </c>
      <c r="B377">
        <v>1</v>
      </c>
      <c r="C377">
        <v>1</v>
      </c>
      <c r="R377" s="3">
        <v>3.29</v>
      </c>
      <c r="S377">
        <v>2</v>
      </c>
      <c r="U377">
        <v>2</v>
      </c>
    </row>
    <row r="378" spans="1:21" x14ac:dyDescent="0.3">
      <c r="A378">
        <v>0.03</v>
      </c>
      <c r="B378">
        <v>1</v>
      </c>
      <c r="C378">
        <v>1</v>
      </c>
      <c r="R378" s="3">
        <v>3.4</v>
      </c>
      <c r="S378">
        <v>2</v>
      </c>
      <c r="U378">
        <v>2</v>
      </c>
    </row>
    <row r="379" spans="1:21" x14ac:dyDescent="0.3">
      <c r="A379">
        <v>0.03</v>
      </c>
      <c r="B379">
        <v>1</v>
      </c>
      <c r="C379">
        <v>1</v>
      </c>
      <c r="R379" s="3">
        <v>3.47</v>
      </c>
      <c r="S379">
        <v>1</v>
      </c>
      <c r="U379">
        <v>1</v>
      </c>
    </row>
    <row r="380" spans="1:21" x14ac:dyDescent="0.3">
      <c r="A380">
        <v>0.03</v>
      </c>
      <c r="B380">
        <v>1</v>
      </c>
      <c r="C380">
        <v>1</v>
      </c>
      <c r="R380" s="3">
        <v>3.49</v>
      </c>
      <c r="S380">
        <v>1</v>
      </c>
      <c r="U380">
        <v>1</v>
      </c>
    </row>
    <row r="381" spans="1:21" x14ac:dyDescent="0.3">
      <c r="A381">
        <v>0.03</v>
      </c>
      <c r="B381">
        <v>1</v>
      </c>
      <c r="C381">
        <v>1</v>
      </c>
      <c r="R381" s="3">
        <v>3.54</v>
      </c>
      <c r="S381">
        <v>1</v>
      </c>
      <c r="U381">
        <v>1</v>
      </c>
    </row>
    <row r="382" spans="1:21" x14ac:dyDescent="0.3">
      <c r="A382">
        <v>0.03</v>
      </c>
      <c r="B382">
        <v>1</v>
      </c>
      <c r="C382">
        <v>1</v>
      </c>
      <c r="R382" s="3">
        <v>3.59</v>
      </c>
      <c r="S382">
        <v>1</v>
      </c>
      <c r="U382">
        <v>1</v>
      </c>
    </row>
    <row r="383" spans="1:21" x14ac:dyDescent="0.3">
      <c r="A383">
        <v>0.03</v>
      </c>
      <c r="B383">
        <v>1</v>
      </c>
      <c r="C383">
        <v>1</v>
      </c>
      <c r="R383" s="3">
        <v>3.61</v>
      </c>
      <c r="S383">
        <v>1</v>
      </c>
      <c r="U383">
        <v>1</v>
      </c>
    </row>
    <row r="384" spans="1:21" x14ac:dyDescent="0.3">
      <c r="A384">
        <v>0.03</v>
      </c>
      <c r="B384">
        <v>1</v>
      </c>
      <c r="C384">
        <v>1</v>
      </c>
      <c r="R384" s="3">
        <v>3.64</v>
      </c>
      <c r="S384">
        <v>1</v>
      </c>
      <c r="U384">
        <v>1</v>
      </c>
    </row>
    <row r="385" spans="1:21" x14ac:dyDescent="0.3">
      <c r="A385">
        <v>0.04</v>
      </c>
      <c r="B385">
        <v>1</v>
      </c>
      <c r="C385">
        <v>1</v>
      </c>
      <c r="R385" s="3">
        <v>3.73</v>
      </c>
      <c r="S385">
        <v>1</v>
      </c>
      <c r="U385">
        <v>1</v>
      </c>
    </row>
    <row r="386" spans="1:21" x14ac:dyDescent="0.3">
      <c r="A386">
        <v>0.04</v>
      </c>
      <c r="B386">
        <v>1</v>
      </c>
      <c r="C386">
        <v>1</v>
      </c>
      <c r="R386" s="3">
        <v>3.81</v>
      </c>
      <c r="S386">
        <v>1</v>
      </c>
      <c r="U386">
        <v>1</v>
      </c>
    </row>
    <row r="387" spans="1:21" x14ac:dyDescent="0.3">
      <c r="A387">
        <v>0.04</v>
      </c>
      <c r="B387">
        <v>1</v>
      </c>
      <c r="C387">
        <v>1</v>
      </c>
      <c r="R387" s="3">
        <v>3.82</v>
      </c>
      <c r="S387">
        <v>1</v>
      </c>
      <c r="U387">
        <v>1</v>
      </c>
    </row>
    <row r="388" spans="1:21" x14ac:dyDescent="0.3">
      <c r="A388">
        <v>0.04</v>
      </c>
      <c r="B388">
        <v>1</v>
      </c>
      <c r="C388">
        <v>1</v>
      </c>
      <c r="R388" s="3">
        <v>3.88</v>
      </c>
      <c r="S388">
        <v>1</v>
      </c>
      <c r="U388">
        <v>1</v>
      </c>
    </row>
    <row r="389" spans="1:21" x14ac:dyDescent="0.3">
      <c r="A389">
        <v>0.04</v>
      </c>
      <c r="B389">
        <v>1</v>
      </c>
      <c r="C389">
        <v>1</v>
      </c>
      <c r="R389" s="3">
        <v>3.96</v>
      </c>
      <c r="S389">
        <v>1</v>
      </c>
      <c r="U389">
        <v>1</v>
      </c>
    </row>
    <row r="390" spans="1:21" x14ac:dyDescent="0.3">
      <c r="A390">
        <v>0.04</v>
      </c>
      <c r="B390">
        <v>1</v>
      </c>
      <c r="C390">
        <v>1</v>
      </c>
      <c r="R390" s="3">
        <v>3.98</v>
      </c>
      <c r="S390">
        <v>1</v>
      </c>
      <c r="U390">
        <v>1</v>
      </c>
    </row>
    <row r="391" spans="1:21" x14ac:dyDescent="0.3">
      <c r="A391">
        <v>0.04</v>
      </c>
      <c r="B391">
        <v>1</v>
      </c>
      <c r="C391">
        <v>1</v>
      </c>
      <c r="R391" s="3">
        <v>4.04</v>
      </c>
      <c r="S391">
        <v>1</v>
      </c>
      <c r="U391">
        <v>1</v>
      </c>
    </row>
    <row r="392" spans="1:21" x14ac:dyDescent="0.3">
      <c r="A392">
        <v>0.04</v>
      </c>
      <c r="B392">
        <v>1</v>
      </c>
      <c r="C392">
        <v>1</v>
      </c>
      <c r="R392" s="3">
        <v>4.1900000000000004</v>
      </c>
      <c r="S392">
        <v>1</v>
      </c>
      <c r="U392">
        <v>1</v>
      </c>
    </row>
    <row r="393" spans="1:21" x14ac:dyDescent="0.3">
      <c r="A393">
        <v>0.04</v>
      </c>
      <c r="B393">
        <v>1</v>
      </c>
      <c r="C393">
        <v>1</v>
      </c>
      <c r="R393" s="3">
        <v>4.24</v>
      </c>
      <c r="S393">
        <v>1</v>
      </c>
      <c r="U393">
        <v>1</v>
      </c>
    </row>
    <row r="394" spans="1:21" x14ac:dyDescent="0.3">
      <c r="A394">
        <v>0.04</v>
      </c>
      <c r="B394">
        <v>1</v>
      </c>
      <c r="C394">
        <v>1</v>
      </c>
      <c r="R394" s="3">
        <v>4.25</v>
      </c>
      <c r="S394">
        <v>1</v>
      </c>
      <c r="U394">
        <v>1</v>
      </c>
    </row>
    <row r="395" spans="1:21" x14ac:dyDescent="0.3">
      <c r="A395">
        <v>0.04</v>
      </c>
      <c r="B395">
        <v>1</v>
      </c>
      <c r="C395">
        <v>1</v>
      </c>
      <c r="R395" s="3">
        <v>4.3499999999999996</v>
      </c>
      <c r="S395">
        <v>2</v>
      </c>
      <c r="U395">
        <v>2</v>
      </c>
    </row>
    <row r="396" spans="1:21" x14ac:dyDescent="0.3">
      <c r="A396">
        <v>0.04</v>
      </c>
      <c r="B396">
        <v>1</v>
      </c>
      <c r="C396">
        <v>1</v>
      </c>
      <c r="R396" s="3">
        <v>4.45</v>
      </c>
      <c r="S396">
        <v>1</v>
      </c>
      <c r="U396">
        <v>1</v>
      </c>
    </row>
    <row r="397" spans="1:21" x14ac:dyDescent="0.3">
      <c r="A397">
        <v>0.04</v>
      </c>
      <c r="B397">
        <v>1</v>
      </c>
      <c r="C397">
        <v>1</v>
      </c>
      <c r="R397" s="3">
        <v>4.47</v>
      </c>
      <c r="S397">
        <v>1</v>
      </c>
      <c r="U397">
        <v>1</v>
      </c>
    </row>
    <row r="398" spans="1:21" x14ac:dyDescent="0.3">
      <c r="A398">
        <v>0.04</v>
      </c>
      <c r="B398">
        <v>1</v>
      </c>
      <c r="C398">
        <v>1</v>
      </c>
      <c r="R398" s="3">
        <v>4.5199999999999996</v>
      </c>
      <c r="S398">
        <v>1</v>
      </c>
      <c r="U398">
        <v>1</v>
      </c>
    </row>
    <row r="399" spans="1:21" x14ac:dyDescent="0.3">
      <c r="A399">
        <v>0.04</v>
      </c>
      <c r="B399">
        <v>1</v>
      </c>
      <c r="C399">
        <v>1</v>
      </c>
      <c r="R399" s="3">
        <v>4.7300000000000004</v>
      </c>
      <c r="S399">
        <v>2</v>
      </c>
      <c r="U399">
        <v>2</v>
      </c>
    </row>
    <row r="400" spans="1:21" x14ac:dyDescent="0.3">
      <c r="A400">
        <v>0.04</v>
      </c>
      <c r="B400">
        <v>1</v>
      </c>
      <c r="C400">
        <v>1</v>
      </c>
      <c r="R400" s="3">
        <v>4.82</v>
      </c>
      <c r="S400">
        <v>1</v>
      </c>
      <c r="U400">
        <v>1</v>
      </c>
    </row>
    <row r="401" spans="1:21" x14ac:dyDescent="0.3">
      <c r="A401">
        <v>0.04</v>
      </c>
      <c r="B401">
        <v>1</v>
      </c>
      <c r="C401">
        <v>1</v>
      </c>
      <c r="R401" s="3">
        <v>4.83</v>
      </c>
      <c r="S401">
        <v>1</v>
      </c>
      <c r="U401">
        <v>1</v>
      </c>
    </row>
    <row r="402" spans="1:21" x14ac:dyDescent="0.3">
      <c r="A402">
        <v>0.04</v>
      </c>
      <c r="B402">
        <v>1</v>
      </c>
      <c r="C402">
        <v>1</v>
      </c>
      <c r="R402" s="3">
        <v>4.9000000000000004</v>
      </c>
      <c r="S402">
        <v>1</v>
      </c>
      <c r="U402">
        <v>1</v>
      </c>
    </row>
    <row r="403" spans="1:21" x14ac:dyDescent="0.3">
      <c r="A403">
        <v>0.04</v>
      </c>
      <c r="B403">
        <v>1</v>
      </c>
      <c r="C403">
        <v>1</v>
      </c>
      <c r="R403" s="3">
        <v>4.95</v>
      </c>
      <c r="S403">
        <v>1</v>
      </c>
      <c r="U403">
        <v>1</v>
      </c>
    </row>
    <row r="404" spans="1:21" x14ac:dyDescent="0.3">
      <c r="A404">
        <v>0.04</v>
      </c>
      <c r="B404">
        <v>1</v>
      </c>
      <c r="C404">
        <v>1</v>
      </c>
      <c r="R404" s="3">
        <v>5.12</v>
      </c>
      <c r="S404">
        <v>1</v>
      </c>
      <c r="U404">
        <v>1</v>
      </c>
    </row>
    <row r="405" spans="1:21" x14ac:dyDescent="0.3">
      <c r="A405">
        <v>0.04</v>
      </c>
      <c r="B405">
        <v>1</v>
      </c>
      <c r="C405">
        <v>1</v>
      </c>
      <c r="R405" s="3">
        <v>5.15</v>
      </c>
      <c r="S405">
        <v>1</v>
      </c>
      <c r="U405">
        <v>1</v>
      </c>
    </row>
    <row r="406" spans="1:21" x14ac:dyDescent="0.3">
      <c r="A406">
        <v>0.04</v>
      </c>
      <c r="B406">
        <v>1</v>
      </c>
      <c r="C406">
        <v>1</v>
      </c>
      <c r="R406" s="3">
        <v>5.4</v>
      </c>
      <c r="S406">
        <v>1</v>
      </c>
      <c r="U406">
        <v>1</v>
      </c>
    </row>
    <row r="407" spans="1:21" x14ac:dyDescent="0.3">
      <c r="A407">
        <v>0.04</v>
      </c>
      <c r="B407">
        <v>1</v>
      </c>
      <c r="C407">
        <v>1</v>
      </c>
      <c r="R407" s="3">
        <v>5.48</v>
      </c>
      <c r="S407">
        <v>1</v>
      </c>
      <c r="U407">
        <v>1</v>
      </c>
    </row>
    <row r="408" spans="1:21" x14ac:dyDescent="0.3">
      <c r="A408">
        <v>0.04</v>
      </c>
      <c r="B408">
        <v>1</v>
      </c>
      <c r="C408">
        <v>1</v>
      </c>
      <c r="R408" s="3">
        <v>5.64</v>
      </c>
      <c r="S408">
        <v>1</v>
      </c>
      <c r="U408">
        <v>1</v>
      </c>
    </row>
    <row r="409" spans="1:21" x14ac:dyDescent="0.3">
      <c r="A409">
        <v>0.04</v>
      </c>
      <c r="B409">
        <v>1</v>
      </c>
      <c r="C409">
        <v>1</v>
      </c>
      <c r="R409" s="3">
        <v>5.67</v>
      </c>
      <c r="S409">
        <v>1</v>
      </c>
      <c r="U409">
        <v>1</v>
      </c>
    </row>
    <row r="410" spans="1:21" x14ac:dyDescent="0.3">
      <c r="A410">
        <v>0.04</v>
      </c>
      <c r="B410">
        <v>1</v>
      </c>
      <c r="C410">
        <v>1</v>
      </c>
      <c r="R410" s="3">
        <v>5.81</v>
      </c>
      <c r="S410">
        <v>1</v>
      </c>
      <c r="U410">
        <v>1</v>
      </c>
    </row>
    <row r="411" spans="1:21" x14ac:dyDescent="0.3">
      <c r="A411">
        <v>0.04</v>
      </c>
      <c r="B411">
        <v>1</v>
      </c>
      <c r="C411">
        <v>1</v>
      </c>
      <c r="R411" s="3">
        <v>5.95</v>
      </c>
      <c r="S411">
        <v>1</v>
      </c>
      <c r="U411">
        <v>1</v>
      </c>
    </row>
    <row r="412" spans="1:21" x14ac:dyDescent="0.3">
      <c r="A412">
        <v>0.04</v>
      </c>
      <c r="B412">
        <v>1</v>
      </c>
      <c r="C412">
        <v>1</v>
      </c>
      <c r="R412" s="3">
        <v>5.97</v>
      </c>
      <c r="S412">
        <v>1</v>
      </c>
      <c r="U412">
        <v>1</v>
      </c>
    </row>
    <row r="413" spans="1:21" x14ac:dyDescent="0.3">
      <c r="A413">
        <v>0.05</v>
      </c>
      <c r="B413">
        <v>1</v>
      </c>
      <c r="C413">
        <v>1</v>
      </c>
      <c r="R413" s="3">
        <v>6.2</v>
      </c>
      <c r="S413">
        <v>2</v>
      </c>
      <c r="U413">
        <v>2</v>
      </c>
    </row>
    <row r="414" spans="1:21" x14ac:dyDescent="0.3">
      <c r="A414">
        <v>0.05</v>
      </c>
      <c r="B414">
        <v>1</v>
      </c>
      <c r="C414">
        <v>1</v>
      </c>
      <c r="R414" s="3">
        <v>6.34</v>
      </c>
      <c r="S414">
        <v>1</v>
      </c>
      <c r="U414">
        <v>1</v>
      </c>
    </row>
    <row r="415" spans="1:21" x14ac:dyDescent="0.3">
      <c r="A415">
        <v>0.05</v>
      </c>
      <c r="B415">
        <v>1</v>
      </c>
      <c r="C415">
        <v>1</v>
      </c>
      <c r="R415" s="3">
        <v>6.46</v>
      </c>
      <c r="S415">
        <v>1</v>
      </c>
      <c r="U415">
        <v>1</v>
      </c>
    </row>
    <row r="416" spans="1:21" x14ac:dyDescent="0.3">
      <c r="A416">
        <v>0.05</v>
      </c>
      <c r="B416">
        <v>1</v>
      </c>
      <c r="C416">
        <v>1</v>
      </c>
      <c r="R416" s="3">
        <v>6.48</v>
      </c>
      <c r="S416">
        <v>1</v>
      </c>
      <c r="U416">
        <v>1</v>
      </c>
    </row>
    <row r="417" spans="1:21" x14ac:dyDescent="0.3">
      <c r="A417">
        <v>0.05</v>
      </c>
      <c r="B417">
        <v>1</v>
      </c>
      <c r="C417">
        <v>1</v>
      </c>
      <c r="R417" s="3">
        <v>6.66</v>
      </c>
      <c r="S417">
        <v>1</v>
      </c>
      <c r="U417">
        <v>1</v>
      </c>
    </row>
    <row r="418" spans="1:21" x14ac:dyDescent="0.3">
      <c r="A418">
        <v>0.05</v>
      </c>
      <c r="B418">
        <v>1</v>
      </c>
      <c r="C418">
        <v>1</v>
      </c>
      <c r="R418" s="3">
        <v>6.74</v>
      </c>
      <c r="S418">
        <v>1</v>
      </c>
      <c r="U418">
        <v>1</v>
      </c>
    </row>
    <row r="419" spans="1:21" x14ac:dyDescent="0.3">
      <c r="A419">
        <v>0.05</v>
      </c>
      <c r="B419">
        <v>1</v>
      </c>
      <c r="C419">
        <v>1</v>
      </c>
      <c r="R419" s="3">
        <v>6.95</v>
      </c>
      <c r="S419">
        <v>1</v>
      </c>
      <c r="U419">
        <v>1</v>
      </c>
    </row>
    <row r="420" spans="1:21" x14ac:dyDescent="0.3">
      <c r="A420">
        <v>0.05</v>
      </c>
      <c r="B420">
        <v>1</v>
      </c>
      <c r="C420">
        <v>1</v>
      </c>
      <c r="R420" s="3">
        <v>7.33</v>
      </c>
      <c r="S420">
        <v>1</v>
      </c>
      <c r="U420">
        <v>1</v>
      </c>
    </row>
    <row r="421" spans="1:21" x14ac:dyDescent="0.3">
      <c r="A421">
        <v>0.05</v>
      </c>
      <c r="B421">
        <v>1</v>
      </c>
      <c r="C421">
        <v>1</v>
      </c>
      <c r="R421" s="3">
        <v>7.43</v>
      </c>
      <c r="S421">
        <v>1</v>
      </c>
      <c r="U421">
        <v>1</v>
      </c>
    </row>
    <row r="422" spans="1:21" x14ac:dyDescent="0.3">
      <c r="A422">
        <v>0.05</v>
      </c>
      <c r="B422">
        <v>1</v>
      </c>
      <c r="C422">
        <v>1</v>
      </c>
      <c r="R422" s="3">
        <v>7.58</v>
      </c>
      <c r="S422">
        <v>1</v>
      </c>
      <c r="U422">
        <v>1</v>
      </c>
    </row>
    <row r="423" spans="1:21" x14ac:dyDescent="0.3">
      <c r="A423">
        <v>0.05</v>
      </c>
      <c r="B423">
        <v>1</v>
      </c>
      <c r="C423">
        <v>1</v>
      </c>
      <c r="R423" s="3">
        <v>7.99</v>
      </c>
      <c r="S423">
        <v>1</v>
      </c>
      <c r="U423">
        <v>1</v>
      </c>
    </row>
    <row r="424" spans="1:21" x14ac:dyDescent="0.3">
      <c r="A424">
        <v>0.05</v>
      </c>
      <c r="B424">
        <v>1</v>
      </c>
      <c r="C424">
        <v>1</v>
      </c>
      <c r="R424" s="3">
        <v>8.4</v>
      </c>
      <c r="S424">
        <v>1</v>
      </c>
      <c r="U424">
        <v>1</v>
      </c>
    </row>
    <row r="425" spans="1:21" x14ac:dyDescent="0.3">
      <c r="A425">
        <v>0.05</v>
      </c>
      <c r="B425">
        <v>1</v>
      </c>
      <c r="C425">
        <v>1</v>
      </c>
      <c r="R425" s="3">
        <v>8.84</v>
      </c>
      <c r="S425">
        <v>1</v>
      </c>
      <c r="U425">
        <v>1</v>
      </c>
    </row>
    <row r="426" spans="1:21" x14ac:dyDescent="0.3">
      <c r="A426">
        <v>0.05</v>
      </c>
      <c r="B426">
        <v>1</v>
      </c>
      <c r="C426">
        <v>1</v>
      </c>
      <c r="R426" s="3">
        <v>8.8800000000000008</v>
      </c>
      <c r="S426">
        <v>1</v>
      </c>
      <c r="U426">
        <v>1</v>
      </c>
    </row>
    <row r="427" spans="1:21" x14ac:dyDescent="0.3">
      <c r="A427">
        <v>0.05</v>
      </c>
      <c r="B427">
        <v>1</v>
      </c>
      <c r="C427">
        <v>1</v>
      </c>
      <c r="R427" s="3">
        <v>9.0500000000000007</v>
      </c>
      <c r="S427">
        <v>1</v>
      </c>
      <c r="U427">
        <v>1</v>
      </c>
    </row>
    <row r="428" spans="1:21" x14ac:dyDescent="0.3">
      <c r="A428">
        <v>0.05</v>
      </c>
      <c r="B428">
        <v>1</v>
      </c>
      <c r="C428">
        <v>1</v>
      </c>
      <c r="R428" s="3">
        <v>9.1999999999999993</v>
      </c>
      <c r="S428">
        <v>1</v>
      </c>
      <c r="U428">
        <v>1</v>
      </c>
    </row>
    <row r="429" spans="1:21" x14ac:dyDescent="0.3">
      <c r="A429">
        <v>0.05</v>
      </c>
      <c r="B429">
        <v>1</v>
      </c>
      <c r="C429">
        <v>1</v>
      </c>
      <c r="R429" s="3">
        <v>10.09</v>
      </c>
      <c r="S429">
        <v>1</v>
      </c>
      <c r="U429">
        <v>1</v>
      </c>
    </row>
    <row r="430" spans="1:21" x14ac:dyDescent="0.3">
      <c r="A430">
        <v>0.05</v>
      </c>
      <c r="B430">
        <v>1</v>
      </c>
      <c r="C430">
        <v>1</v>
      </c>
      <c r="R430" s="3">
        <v>10.27</v>
      </c>
      <c r="S430">
        <v>1</v>
      </c>
      <c r="U430">
        <v>1</v>
      </c>
    </row>
    <row r="431" spans="1:21" x14ac:dyDescent="0.3">
      <c r="A431">
        <v>0.05</v>
      </c>
      <c r="B431">
        <v>1</v>
      </c>
      <c r="C431">
        <v>1</v>
      </c>
      <c r="R431" s="3">
        <v>10.81</v>
      </c>
      <c r="S431">
        <v>1</v>
      </c>
      <c r="U431">
        <v>1</v>
      </c>
    </row>
    <row r="432" spans="1:21" x14ac:dyDescent="0.3">
      <c r="A432">
        <v>0.05</v>
      </c>
      <c r="B432">
        <v>1</v>
      </c>
      <c r="C432">
        <v>1</v>
      </c>
      <c r="R432" s="3">
        <v>15.59</v>
      </c>
      <c r="S432">
        <v>1</v>
      </c>
      <c r="U432">
        <v>1</v>
      </c>
    </row>
    <row r="433" spans="1:21" x14ac:dyDescent="0.3">
      <c r="A433">
        <v>0.05</v>
      </c>
      <c r="B433">
        <v>1</v>
      </c>
      <c r="C433">
        <v>1</v>
      </c>
      <c r="R433" s="3">
        <v>17.850000000000001</v>
      </c>
      <c r="S433">
        <v>1</v>
      </c>
      <c r="U433">
        <v>1</v>
      </c>
    </row>
    <row r="434" spans="1:21" x14ac:dyDescent="0.3">
      <c r="A434">
        <v>0.06</v>
      </c>
      <c r="B434">
        <v>1</v>
      </c>
      <c r="C434">
        <v>1</v>
      </c>
      <c r="R434" s="3">
        <v>20.96</v>
      </c>
      <c r="S434">
        <v>1</v>
      </c>
      <c r="U434">
        <v>1</v>
      </c>
    </row>
    <row r="435" spans="1:21" x14ac:dyDescent="0.3">
      <c r="A435">
        <v>0.06</v>
      </c>
      <c r="B435">
        <v>1</v>
      </c>
      <c r="C435">
        <v>1</v>
      </c>
      <c r="R435" s="3" t="s">
        <v>4708</v>
      </c>
    </row>
    <row r="436" spans="1:21" x14ac:dyDescent="0.3">
      <c r="A436">
        <v>0.06</v>
      </c>
      <c r="B436">
        <v>1</v>
      </c>
      <c r="C436">
        <v>1</v>
      </c>
      <c r="R436" s="3" t="s">
        <v>4709</v>
      </c>
      <c r="S436">
        <v>1995</v>
      </c>
      <c r="U436">
        <v>1995</v>
      </c>
    </row>
    <row r="437" spans="1:21" x14ac:dyDescent="0.3">
      <c r="A437">
        <v>0.06</v>
      </c>
      <c r="B437">
        <v>1</v>
      </c>
      <c r="C437">
        <v>1</v>
      </c>
    </row>
    <row r="438" spans="1:21" x14ac:dyDescent="0.3">
      <c r="A438">
        <v>0.06</v>
      </c>
      <c r="B438">
        <v>1</v>
      </c>
      <c r="C438">
        <v>1</v>
      </c>
    </row>
    <row r="439" spans="1:21" x14ac:dyDescent="0.3">
      <c r="A439">
        <v>0.06</v>
      </c>
      <c r="B439">
        <v>1</v>
      </c>
      <c r="C439">
        <v>1</v>
      </c>
    </row>
    <row r="440" spans="1:21" x14ac:dyDescent="0.3">
      <c r="A440">
        <v>0.06</v>
      </c>
      <c r="B440">
        <v>1</v>
      </c>
      <c r="C440">
        <v>1</v>
      </c>
    </row>
    <row r="441" spans="1:21" x14ac:dyDescent="0.3">
      <c r="A441">
        <v>0.06</v>
      </c>
      <c r="B441">
        <v>1</v>
      </c>
      <c r="C441">
        <v>1</v>
      </c>
    </row>
    <row r="442" spans="1:21" x14ac:dyDescent="0.3">
      <c r="A442">
        <v>0.06</v>
      </c>
      <c r="B442">
        <v>1</v>
      </c>
      <c r="C442">
        <v>1</v>
      </c>
    </row>
    <row r="443" spans="1:21" x14ac:dyDescent="0.3">
      <c r="A443">
        <v>0.06</v>
      </c>
      <c r="B443">
        <v>1</v>
      </c>
      <c r="C443">
        <v>1</v>
      </c>
    </row>
    <row r="444" spans="1:21" x14ac:dyDescent="0.3">
      <c r="A444">
        <v>0.06</v>
      </c>
      <c r="B444">
        <v>1</v>
      </c>
      <c r="C444">
        <v>1</v>
      </c>
    </row>
    <row r="445" spans="1:21" x14ac:dyDescent="0.3">
      <c r="A445">
        <v>0.06</v>
      </c>
      <c r="B445">
        <v>1</v>
      </c>
      <c r="C445">
        <v>1</v>
      </c>
    </row>
    <row r="446" spans="1:21" x14ac:dyDescent="0.3">
      <c r="A446">
        <v>0.06</v>
      </c>
      <c r="B446">
        <v>1</v>
      </c>
      <c r="C446">
        <v>1</v>
      </c>
    </row>
    <row r="447" spans="1:21" x14ac:dyDescent="0.3">
      <c r="A447">
        <v>0.06</v>
      </c>
      <c r="B447">
        <v>1</v>
      </c>
      <c r="C447">
        <v>1</v>
      </c>
    </row>
    <row r="448" spans="1:21" x14ac:dyDescent="0.3">
      <c r="A448">
        <v>0.06</v>
      </c>
      <c r="B448">
        <v>1</v>
      </c>
      <c r="C448">
        <v>1</v>
      </c>
    </row>
    <row r="449" spans="1:3" x14ac:dyDescent="0.3">
      <c r="A449">
        <v>0.06</v>
      </c>
      <c r="B449">
        <v>1</v>
      </c>
      <c r="C449">
        <v>1</v>
      </c>
    </row>
    <row r="450" spans="1:3" x14ac:dyDescent="0.3">
      <c r="A450">
        <v>0.06</v>
      </c>
      <c r="B450">
        <v>1</v>
      </c>
      <c r="C450">
        <v>1</v>
      </c>
    </row>
    <row r="451" spans="1:3" x14ac:dyDescent="0.3">
      <c r="A451">
        <v>0.06</v>
      </c>
      <c r="B451">
        <v>1</v>
      </c>
      <c r="C451">
        <v>1</v>
      </c>
    </row>
    <row r="452" spans="1:3" x14ac:dyDescent="0.3">
      <c r="A452">
        <v>0.06</v>
      </c>
      <c r="B452">
        <v>1</v>
      </c>
      <c r="C452">
        <v>1</v>
      </c>
    </row>
    <row r="453" spans="1:3" x14ac:dyDescent="0.3">
      <c r="A453">
        <v>0.06</v>
      </c>
      <c r="B453">
        <v>1</v>
      </c>
      <c r="C453">
        <v>1</v>
      </c>
    </row>
    <row r="454" spans="1:3" x14ac:dyDescent="0.3">
      <c r="A454">
        <v>0.06</v>
      </c>
      <c r="B454">
        <v>1</v>
      </c>
      <c r="C454">
        <v>1</v>
      </c>
    </row>
    <row r="455" spans="1:3" x14ac:dyDescent="0.3">
      <c r="A455">
        <v>7.0000000000000007E-2</v>
      </c>
      <c r="B455">
        <v>1</v>
      </c>
      <c r="C455">
        <v>1</v>
      </c>
    </row>
    <row r="456" spans="1:3" x14ac:dyDescent="0.3">
      <c r="A456">
        <v>7.0000000000000007E-2</v>
      </c>
      <c r="B456">
        <v>1</v>
      </c>
      <c r="C456">
        <v>1</v>
      </c>
    </row>
    <row r="457" spans="1:3" x14ac:dyDescent="0.3">
      <c r="A457">
        <v>7.0000000000000007E-2</v>
      </c>
      <c r="B457">
        <v>1</v>
      </c>
      <c r="C457">
        <v>1</v>
      </c>
    </row>
    <row r="458" spans="1:3" x14ac:dyDescent="0.3">
      <c r="A458">
        <v>7.0000000000000007E-2</v>
      </c>
      <c r="B458">
        <v>1</v>
      </c>
      <c r="C458">
        <v>1</v>
      </c>
    </row>
    <row r="459" spans="1:3" x14ac:dyDescent="0.3">
      <c r="A459">
        <v>7.0000000000000007E-2</v>
      </c>
      <c r="B459">
        <v>1</v>
      </c>
      <c r="C459">
        <v>1</v>
      </c>
    </row>
    <row r="460" spans="1:3" x14ac:dyDescent="0.3">
      <c r="A460">
        <v>7.0000000000000007E-2</v>
      </c>
      <c r="B460">
        <v>1</v>
      </c>
      <c r="C460">
        <v>1</v>
      </c>
    </row>
    <row r="461" spans="1:3" x14ac:dyDescent="0.3">
      <c r="A461">
        <v>7.0000000000000007E-2</v>
      </c>
      <c r="B461">
        <v>1</v>
      </c>
      <c r="C461">
        <v>1</v>
      </c>
    </row>
    <row r="462" spans="1:3" x14ac:dyDescent="0.3">
      <c r="A462">
        <v>7.0000000000000007E-2</v>
      </c>
      <c r="B462">
        <v>1</v>
      </c>
      <c r="C462">
        <v>1</v>
      </c>
    </row>
    <row r="463" spans="1:3" x14ac:dyDescent="0.3">
      <c r="A463">
        <v>7.0000000000000007E-2</v>
      </c>
      <c r="B463">
        <v>1</v>
      </c>
      <c r="C463">
        <v>1</v>
      </c>
    </row>
    <row r="464" spans="1:3" x14ac:dyDescent="0.3">
      <c r="A464">
        <v>7.0000000000000007E-2</v>
      </c>
      <c r="B464">
        <v>1</v>
      </c>
      <c r="C464">
        <v>1</v>
      </c>
    </row>
    <row r="465" spans="1:3" x14ac:dyDescent="0.3">
      <c r="A465">
        <v>7.0000000000000007E-2</v>
      </c>
      <c r="B465">
        <v>1</v>
      </c>
      <c r="C465">
        <v>1</v>
      </c>
    </row>
    <row r="466" spans="1:3" x14ac:dyDescent="0.3">
      <c r="A466">
        <v>7.0000000000000007E-2</v>
      </c>
      <c r="B466">
        <v>1</v>
      </c>
      <c r="C466">
        <v>1</v>
      </c>
    </row>
    <row r="467" spans="1:3" x14ac:dyDescent="0.3">
      <c r="A467">
        <v>7.0000000000000007E-2</v>
      </c>
      <c r="B467">
        <v>1</v>
      </c>
      <c r="C467">
        <v>1</v>
      </c>
    </row>
    <row r="468" spans="1:3" x14ac:dyDescent="0.3">
      <c r="A468">
        <v>7.0000000000000007E-2</v>
      </c>
      <c r="B468">
        <v>1</v>
      </c>
      <c r="C468">
        <v>1</v>
      </c>
    </row>
    <row r="469" spans="1:3" x14ac:dyDescent="0.3">
      <c r="A469">
        <v>7.0000000000000007E-2</v>
      </c>
      <c r="B469">
        <v>1</v>
      </c>
      <c r="C469">
        <v>1</v>
      </c>
    </row>
    <row r="470" spans="1:3" x14ac:dyDescent="0.3">
      <c r="A470">
        <v>7.0000000000000007E-2</v>
      </c>
      <c r="B470">
        <v>1</v>
      </c>
      <c r="C470">
        <v>1</v>
      </c>
    </row>
    <row r="471" spans="1:3" x14ac:dyDescent="0.3">
      <c r="A471">
        <v>7.0000000000000007E-2</v>
      </c>
      <c r="B471">
        <v>1</v>
      </c>
      <c r="C471">
        <v>1</v>
      </c>
    </row>
    <row r="472" spans="1:3" x14ac:dyDescent="0.3">
      <c r="A472">
        <v>7.0000000000000007E-2</v>
      </c>
      <c r="B472">
        <v>1</v>
      </c>
      <c r="C472">
        <v>1</v>
      </c>
    </row>
    <row r="473" spans="1:3" x14ac:dyDescent="0.3">
      <c r="A473">
        <v>7.0000000000000007E-2</v>
      </c>
      <c r="B473">
        <v>1</v>
      </c>
      <c r="C473">
        <v>1</v>
      </c>
    </row>
    <row r="474" spans="1:3" x14ac:dyDescent="0.3">
      <c r="A474">
        <v>7.0000000000000007E-2</v>
      </c>
      <c r="B474">
        <v>1</v>
      </c>
      <c r="C474">
        <v>1</v>
      </c>
    </row>
    <row r="475" spans="1:3" x14ac:dyDescent="0.3">
      <c r="A475">
        <v>7.0000000000000007E-2</v>
      </c>
      <c r="B475">
        <v>1</v>
      </c>
      <c r="C475">
        <v>1</v>
      </c>
    </row>
    <row r="476" spans="1:3" x14ac:dyDescent="0.3">
      <c r="A476">
        <v>7.0000000000000007E-2</v>
      </c>
      <c r="B476">
        <v>1</v>
      </c>
      <c r="C476">
        <v>1</v>
      </c>
    </row>
    <row r="477" spans="1:3" x14ac:dyDescent="0.3">
      <c r="A477">
        <v>7.0000000000000007E-2</v>
      </c>
      <c r="B477">
        <v>1</v>
      </c>
      <c r="C477">
        <v>1</v>
      </c>
    </row>
    <row r="478" spans="1:3" x14ac:dyDescent="0.3">
      <c r="A478">
        <v>7.0000000000000007E-2</v>
      </c>
      <c r="B478">
        <v>1</v>
      </c>
      <c r="C478">
        <v>1</v>
      </c>
    </row>
    <row r="479" spans="1:3" x14ac:dyDescent="0.3">
      <c r="A479">
        <v>7.0000000000000007E-2</v>
      </c>
      <c r="B479">
        <v>1</v>
      </c>
      <c r="C479">
        <v>1</v>
      </c>
    </row>
    <row r="480" spans="1:3" x14ac:dyDescent="0.3">
      <c r="A480">
        <v>7.0000000000000007E-2</v>
      </c>
      <c r="B480">
        <v>1</v>
      </c>
      <c r="C480">
        <v>1</v>
      </c>
    </row>
    <row r="481" spans="1:3" x14ac:dyDescent="0.3">
      <c r="A481">
        <v>7.0000000000000007E-2</v>
      </c>
      <c r="B481">
        <v>1</v>
      </c>
      <c r="C481">
        <v>1</v>
      </c>
    </row>
    <row r="482" spans="1:3" x14ac:dyDescent="0.3">
      <c r="A482">
        <v>7.0000000000000007E-2</v>
      </c>
      <c r="B482">
        <v>1</v>
      </c>
      <c r="C482">
        <v>1</v>
      </c>
    </row>
    <row r="483" spans="1:3" x14ac:dyDescent="0.3">
      <c r="A483">
        <v>7.0000000000000007E-2</v>
      </c>
      <c r="B483">
        <v>1</v>
      </c>
      <c r="C483">
        <v>1</v>
      </c>
    </row>
    <row r="484" spans="1:3" x14ac:dyDescent="0.3">
      <c r="A484">
        <v>7.0000000000000007E-2</v>
      </c>
      <c r="B484">
        <v>1</v>
      </c>
      <c r="C484">
        <v>1</v>
      </c>
    </row>
    <row r="485" spans="1:3" x14ac:dyDescent="0.3">
      <c r="A485">
        <v>7.0000000000000007E-2</v>
      </c>
      <c r="B485">
        <v>1</v>
      </c>
      <c r="C485">
        <v>1</v>
      </c>
    </row>
    <row r="486" spans="1:3" x14ac:dyDescent="0.3">
      <c r="A486">
        <v>7.0000000000000007E-2</v>
      </c>
      <c r="B486">
        <v>1</v>
      </c>
      <c r="C486">
        <v>1</v>
      </c>
    </row>
    <row r="487" spans="1:3" x14ac:dyDescent="0.3">
      <c r="A487">
        <v>0.08</v>
      </c>
      <c r="B487">
        <v>1</v>
      </c>
      <c r="C487">
        <v>1</v>
      </c>
    </row>
    <row r="488" spans="1:3" x14ac:dyDescent="0.3">
      <c r="A488">
        <v>0.08</v>
      </c>
      <c r="B488">
        <v>1</v>
      </c>
      <c r="C488">
        <v>1</v>
      </c>
    </row>
    <row r="489" spans="1:3" x14ac:dyDescent="0.3">
      <c r="A489">
        <v>0.08</v>
      </c>
      <c r="B489">
        <v>1</v>
      </c>
      <c r="C489">
        <v>1</v>
      </c>
    </row>
    <row r="490" spans="1:3" x14ac:dyDescent="0.3">
      <c r="A490">
        <v>0.08</v>
      </c>
      <c r="B490">
        <v>1</v>
      </c>
      <c r="C490">
        <v>1</v>
      </c>
    </row>
    <row r="491" spans="1:3" x14ac:dyDescent="0.3">
      <c r="A491">
        <v>0.08</v>
      </c>
      <c r="B491">
        <v>1</v>
      </c>
      <c r="C491">
        <v>1</v>
      </c>
    </row>
    <row r="492" spans="1:3" x14ac:dyDescent="0.3">
      <c r="A492">
        <v>0.08</v>
      </c>
      <c r="B492">
        <v>1</v>
      </c>
      <c r="C492">
        <v>1</v>
      </c>
    </row>
    <row r="493" spans="1:3" x14ac:dyDescent="0.3">
      <c r="A493">
        <v>0.08</v>
      </c>
      <c r="B493">
        <v>1</v>
      </c>
      <c r="C493">
        <v>1</v>
      </c>
    </row>
    <row r="494" spans="1:3" x14ac:dyDescent="0.3">
      <c r="A494">
        <v>0.08</v>
      </c>
      <c r="B494">
        <v>1</v>
      </c>
      <c r="C494">
        <v>1</v>
      </c>
    </row>
    <row r="495" spans="1:3" x14ac:dyDescent="0.3">
      <c r="A495">
        <v>0.08</v>
      </c>
      <c r="B495">
        <v>1</v>
      </c>
      <c r="C495">
        <v>1</v>
      </c>
    </row>
    <row r="496" spans="1:3" x14ac:dyDescent="0.3">
      <c r="A496">
        <v>0.08</v>
      </c>
      <c r="B496">
        <v>1</v>
      </c>
      <c r="C496">
        <v>1</v>
      </c>
    </row>
    <row r="497" spans="1:3" x14ac:dyDescent="0.3">
      <c r="A497">
        <v>0.08</v>
      </c>
      <c r="B497">
        <v>1</v>
      </c>
      <c r="C497">
        <v>1</v>
      </c>
    </row>
    <row r="498" spans="1:3" x14ac:dyDescent="0.3">
      <c r="A498">
        <v>0.08</v>
      </c>
      <c r="B498">
        <v>1</v>
      </c>
      <c r="C498">
        <v>1</v>
      </c>
    </row>
    <row r="499" spans="1:3" x14ac:dyDescent="0.3">
      <c r="A499">
        <v>0.08</v>
      </c>
      <c r="B499">
        <v>1</v>
      </c>
      <c r="C499">
        <v>1</v>
      </c>
    </row>
    <row r="500" spans="1:3" x14ac:dyDescent="0.3">
      <c r="A500">
        <v>0.08</v>
      </c>
      <c r="B500">
        <v>1</v>
      </c>
      <c r="C500">
        <v>1</v>
      </c>
    </row>
    <row r="501" spans="1:3" x14ac:dyDescent="0.3">
      <c r="A501">
        <v>0.08</v>
      </c>
      <c r="B501">
        <v>1</v>
      </c>
      <c r="C501">
        <v>1</v>
      </c>
    </row>
    <row r="502" spans="1:3" x14ac:dyDescent="0.3">
      <c r="A502">
        <v>0.08</v>
      </c>
      <c r="B502">
        <v>1</v>
      </c>
      <c r="C502">
        <v>1</v>
      </c>
    </row>
    <row r="503" spans="1:3" x14ac:dyDescent="0.3">
      <c r="A503">
        <v>0.09</v>
      </c>
      <c r="B503">
        <v>1</v>
      </c>
      <c r="C503">
        <v>1</v>
      </c>
    </row>
    <row r="504" spans="1:3" x14ac:dyDescent="0.3">
      <c r="A504">
        <v>0.09</v>
      </c>
      <c r="B504">
        <v>1</v>
      </c>
      <c r="C504">
        <v>1</v>
      </c>
    </row>
    <row r="505" spans="1:3" x14ac:dyDescent="0.3">
      <c r="A505">
        <v>0.09</v>
      </c>
      <c r="B505">
        <v>1</v>
      </c>
      <c r="C505">
        <v>1</v>
      </c>
    </row>
    <row r="506" spans="1:3" x14ac:dyDescent="0.3">
      <c r="A506">
        <v>0.09</v>
      </c>
      <c r="B506">
        <v>1</v>
      </c>
      <c r="C506">
        <v>1</v>
      </c>
    </row>
    <row r="507" spans="1:3" x14ac:dyDescent="0.3">
      <c r="A507">
        <v>0.09</v>
      </c>
      <c r="B507">
        <v>1</v>
      </c>
      <c r="C507">
        <v>1</v>
      </c>
    </row>
    <row r="508" spans="1:3" x14ac:dyDescent="0.3">
      <c r="A508">
        <v>0.09</v>
      </c>
      <c r="B508">
        <v>1</v>
      </c>
      <c r="C508">
        <v>1</v>
      </c>
    </row>
    <row r="509" spans="1:3" x14ac:dyDescent="0.3">
      <c r="A509">
        <v>0.09</v>
      </c>
      <c r="B509">
        <v>1</v>
      </c>
      <c r="C509">
        <v>1</v>
      </c>
    </row>
    <row r="510" spans="1:3" x14ac:dyDescent="0.3">
      <c r="A510">
        <v>0.09</v>
      </c>
      <c r="B510">
        <v>1</v>
      </c>
      <c r="C510">
        <v>1</v>
      </c>
    </row>
    <row r="511" spans="1:3" x14ac:dyDescent="0.3">
      <c r="A511">
        <v>0.09</v>
      </c>
      <c r="B511">
        <v>1</v>
      </c>
      <c r="C511">
        <v>1</v>
      </c>
    </row>
    <row r="512" spans="1:3" x14ac:dyDescent="0.3">
      <c r="A512">
        <v>0.09</v>
      </c>
      <c r="B512">
        <v>1</v>
      </c>
      <c r="C512">
        <v>1</v>
      </c>
    </row>
    <row r="513" spans="1:3" x14ac:dyDescent="0.3">
      <c r="A513">
        <v>0.09</v>
      </c>
      <c r="B513">
        <v>1</v>
      </c>
      <c r="C513">
        <v>1</v>
      </c>
    </row>
    <row r="514" spans="1:3" x14ac:dyDescent="0.3">
      <c r="A514">
        <v>0.09</v>
      </c>
      <c r="B514">
        <v>1</v>
      </c>
      <c r="C514">
        <v>1</v>
      </c>
    </row>
    <row r="515" spans="1:3" x14ac:dyDescent="0.3">
      <c r="A515">
        <v>0.09</v>
      </c>
      <c r="B515">
        <v>1</v>
      </c>
      <c r="C515">
        <v>1</v>
      </c>
    </row>
    <row r="516" spans="1:3" x14ac:dyDescent="0.3">
      <c r="A516">
        <v>0.09</v>
      </c>
      <c r="B516">
        <v>1</v>
      </c>
      <c r="C516">
        <v>1</v>
      </c>
    </row>
    <row r="517" spans="1:3" x14ac:dyDescent="0.3">
      <c r="A517">
        <v>0.09</v>
      </c>
      <c r="B517">
        <v>1</v>
      </c>
      <c r="C517">
        <v>1</v>
      </c>
    </row>
    <row r="518" spans="1:3" x14ac:dyDescent="0.3">
      <c r="A518">
        <v>0.09</v>
      </c>
      <c r="B518">
        <v>1</v>
      </c>
      <c r="C518">
        <v>1</v>
      </c>
    </row>
    <row r="519" spans="1:3" x14ac:dyDescent="0.3">
      <c r="A519">
        <v>0.09</v>
      </c>
      <c r="B519">
        <v>1</v>
      </c>
      <c r="C519">
        <v>1</v>
      </c>
    </row>
    <row r="520" spans="1:3" x14ac:dyDescent="0.3">
      <c r="A520">
        <v>0.09</v>
      </c>
      <c r="B520">
        <v>1</v>
      </c>
      <c r="C520">
        <v>1</v>
      </c>
    </row>
    <row r="521" spans="1:3" x14ac:dyDescent="0.3">
      <c r="A521">
        <v>0.09</v>
      </c>
      <c r="B521">
        <v>1</v>
      </c>
      <c r="C521">
        <v>1</v>
      </c>
    </row>
    <row r="522" spans="1:3" x14ac:dyDescent="0.3">
      <c r="A522">
        <v>0.09</v>
      </c>
      <c r="B522">
        <v>1</v>
      </c>
      <c r="C522">
        <v>1</v>
      </c>
    </row>
    <row r="523" spans="1:3" x14ac:dyDescent="0.3">
      <c r="A523">
        <v>0.09</v>
      </c>
      <c r="B523">
        <v>1</v>
      </c>
      <c r="C523">
        <v>1</v>
      </c>
    </row>
    <row r="524" spans="1:3" x14ac:dyDescent="0.3">
      <c r="A524">
        <v>0.09</v>
      </c>
      <c r="B524">
        <v>1</v>
      </c>
      <c r="C524">
        <v>1</v>
      </c>
    </row>
    <row r="525" spans="1:3" x14ac:dyDescent="0.3">
      <c r="A525">
        <v>0.09</v>
      </c>
      <c r="B525">
        <v>1</v>
      </c>
      <c r="C525">
        <v>1</v>
      </c>
    </row>
    <row r="526" spans="1:3" x14ac:dyDescent="0.3">
      <c r="A526">
        <v>0.09</v>
      </c>
      <c r="B526">
        <v>1</v>
      </c>
      <c r="C526">
        <v>1</v>
      </c>
    </row>
    <row r="527" spans="1:3" x14ac:dyDescent="0.3">
      <c r="A527">
        <v>0.09</v>
      </c>
      <c r="B527">
        <v>1</v>
      </c>
      <c r="C527">
        <v>1</v>
      </c>
    </row>
    <row r="528" spans="1:3" x14ac:dyDescent="0.3">
      <c r="A528">
        <v>0.09</v>
      </c>
      <c r="B528">
        <v>1</v>
      </c>
      <c r="C528">
        <v>1</v>
      </c>
    </row>
    <row r="529" spans="1:3" x14ac:dyDescent="0.3">
      <c r="A529">
        <v>0.09</v>
      </c>
      <c r="B529">
        <v>1</v>
      </c>
      <c r="C529">
        <v>1</v>
      </c>
    </row>
    <row r="530" spans="1:3" x14ac:dyDescent="0.3">
      <c r="A530">
        <v>0.09</v>
      </c>
      <c r="B530">
        <v>1</v>
      </c>
      <c r="C530">
        <v>1</v>
      </c>
    </row>
    <row r="531" spans="1:3" x14ac:dyDescent="0.3">
      <c r="A531">
        <v>0.09</v>
      </c>
      <c r="B531">
        <v>1</v>
      </c>
      <c r="C531">
        <v>1</v>
      </c>
    </row>
    <row r="532" spans="1:3" x14ac:dyDescent="0.3">
      <c r="A532">
        <v>0.09</v>
      </c>
      <c r="B532">
        <v>1</v>
      </c>
      <c r="C532">
        <v>1</v>
      </c>
    </row>
    <row r="533" spans="1:3" x14ac:dyDescent="0.3">
      <c r="A533">
        <v>0.09</v>
      </c>
      <c r="B533">
        <v>1</v>
      </c>
      <c r="C533">
        <v>1</v>
      </c>
    </row>
    <row r="534" spans="1:3" x14ac:dyDescent="0.3">
      <c r="A534">
        <v>0.09</v>
      </c>
      <c r="B534">
        <v>1</v>
      </c>
      <c r="C534">
        <v>1</v>
      </c>
    </row>
    <row r="535" spans="1:3" x14ac:dyDescent="0.3">
      <c r="A535">
        <v>0.09</v>
      </c>
      <c r="B535">
        <v>1</v>
      </c>
      <c r="C535">
        <v>1</v>
      </c>
    </row>
    <row r="536" spans="1:3" x14ac:dyDescent="0.3">
      <c r="A536">
        <v>0.09</v>
      </c>
      <c r="B536">
        <v>1</v>
      </c>
      <c r="C536">
        <v>1</v>
      </c>
    </row>
    <row r="537" spans="1:3" x14ac:dyDescent="0.3">
      <c r="A537">
        <v>0.1</v>
      </c>
      <c r="B537">
        <v>1</v>
      </c>
      <c r="C537">
        <v>1</v>
      </c>
    </row>
    <row r="538" spans="1:3" x14ac:dyDescent="0.3">
      <c r="A538">
        <v>0.1</v>
      </c>
      <c r="B538">
        <v>1</v>
      </c>
      <c r="C538">
        <v>1</v>
      </c>
    </row>
    <row r="539" spans="1:3" x14ac:dyDescent="0.3">
      <c r="A539">
        <v>0.1</v>
      </c>
      <c r="B539">
        <v>1</v>
      </c>
      <c r="C539">
        <v>1</v>
      </c>
    </row>
    <row r="540" spans="1:3" x14ac:dyDescent="0.3">
      <c r="A540">
        <v>0.1</v>
      </c>
      <c r="B540">
        <v>1</v>
      </c>
      <c r="C540">
        <v>1</v>
      </c>
    </row>
    <row r="541" spans="1:3" x14ac:dyDescent="0.3">
      <c r="A541">
        <v>0.1</v>
      </c>
      <c r="B541">
        <v>1</v>
      </c>
      <c r="C541">
        <v>1</v>
      </c>
    </row>
    <row r="542" spans="1:3" x14ac:dyDescent="0.3">
      <c r="A542">
        <v>0.1</v>
      </c>
      <c r="B542">
        <v>1</v>
      </c>
      <c r="C542">
        <v>1</v>
      </c>
    </row>
    <row r="543" spans="1:3" x14ac:dyDescent="0.3">
      <c r="A543">
        <v>0.1</v>
      </c>
      <c r="B543">
        <v>1</v>
      </c>
      <c r="C543">
        <v>1</v>
      </c>
    </row>
    <row r="544" spans="1:3" x14ac:dyDescent="0.3">
      <c r="A544">
        <v>0.1</v>
      </c>
      <c r="B544">
        <v>1</v>
      </c>
      <c r="C544">
        <v>1</v>
      </c>
    </row>
    <row r="545" spans="1:3" x14ac:dyDescent="0.3">
      <c r="A545">
        <v>0.1</v>
      </c>
      <c r="B545">
        <v>1</v>
      </c>
      <c r="C545">
        <v>1</v>
      </c>
    </row>
    <row r="546" spans="1:3" x14ac:dyDescent="0.3">
      <c r="A546">
        <v>0.1</v>
      </c>
      <c r="B546">
        <v>1</v>
      </c>
      <c r="C546">
        <v>1</v>
      </c>
    </row>
    <row r="547" spans="1:3" x14ac:dyDescent="0.3">
      <c r="A547">
        <v>0.1</v>
      </c>
      <c r="B547">
        <v>1</v>
      </c>
      <c r="C547">
        <v>1</v>
      </c>
    </row>
    <row r="548" spans="1:3" x14ac:dyDescent="0.3">
      <c r="A548">
        <v>0.1</v>
      </c>
      <c r="B548">
        <v>1</v>
      </c>
      <c r="C548">
        <v>1</v>
      </c>
    </row>
    <row r="549" spans="1:3" x14ac:dyDescent="0.3">
      <c r="A549">
        <v>0.1</v>
      </c>
      <c r="B549">
        <v>1</v>
      </c>
      <c r="C549">
        <v>1</v>
      </c>
    </row>
    <row r="550" spans="1:3" x14ac:dyDescent="0.3">
      <c r="A550">
        <v>0.1</v>
      </c>
      <c r="B550">
        <v>1</v>
      </c>
      <c r="C550">
        <v>1</v>
      </c>
    </row>
    <row r="551" spans="1:3" x14ac:dyDescent="0.3">
      <c r="A551">
        <v>0.1</v>
      </c>
      <c r="B551">
        <v>1</v>
      </c>
      <c r="C551">
        <v>1</v>
      </c>
    </row>
    <row r="552" spans="1:3" x14ac:dyDescent="0.3">
      <c r="A552">
        <v>0.1</v>
      </c>
      <c r="B552">
        <v>1</v>
      </c>
      <c r="C552">
        <v>1</v>
      </c>
    </row>
    <row r="553" spans="1:3" x14ac:dyDescent="0.3">
      <c r="A553">
        <v>0.1</v>
      </c>
      <c r="B553">
        <v>1</v>
      </c>
      <c r="C553">
        <v>1</v>
      </c>
    </row>
    <row r="554" spans="1:3" x14ac:dyDescent="0.3">
      <c r="A554">
        <v>0.1</v>
      </c>
      <c r="B554">
        <v>1</v>
      </c>
      <c r="C554">
        <v>1</v>
      </c>
    </row>
    <row r="555" spans="1:3" x14ac:dyDescent="0.3">
      <c r="A555">
        <v>0.1</v>
      </c>
      <c r="B555">
        <v>1</v>
      </c>
      <c r="C555">
        <v>1</v>
      </c>
    </row>
    <row r="556" spans="1:3" x14ac:dyDescent="0.3">
      <c r="A556">
        <v>0.1</v>
      </c>
      <c r="B556">
        <v>1</v>
      </c>
      <c r="C556">
        <v>1</v>
      </c>
    </row>
    <row r="557" spans="1:3" x14ac:dyDescent="0.3">
      <c r="A557">
        <v>0.1</v>
      </c>
      <c r="B557">
        <v>1</v>
      </c>
      <c r="C557">
        <v>1</v>
      </c>
    </row>
    <row r="558" spans="1:3" x14ac:dyDescent="0.3">
      <c r="A558">
        <v>0.1</v>
      </c>
      <c r="B558">
        <v>1</v>
      </c>
      <c r="C558">
        <v>1</v>
      </c>
    </row>
    <row r="559" spans="1:3" x14ac:dyDescent="0.3">
      <c r="A559">
        <v>0.1</v>
      </c>
      <c r="B559">
        <v>1</v>
      </c>
      <c r="C559">
        <v>1</v>
      </c>
    </row>
    <row r="560" spans="1:3" x14ac:dyDescent="0.3">
      <c r="A560">
        <v>0.1</v>
      </c>
      <c r="B560">
        <v>1</v>
      </c>
      <c r="C560">
        <v>1</v>
      </c>
    </row>
    <row r="561" spans="1:3" x14ac:dyDescent="0.3">
      <c r="A561">
        <v>0.1</v>
      </c>
      <c r="B561">
        <v>1</v>
      </c>
      <c r="C561">
        <v>1</v>
      </c>
    </row>
    <row r="562" spans="1:3" x14ac:dyDescent="0.3">
      <c r="A562">
        <v>0.1</v>
      </c>
      <c r="B562">
        <v>1</v>
      </c>
      <c r="C562">
        <v>1</v>
      </c>
    </row>
    <row r="563" spans="1:3" x14ac:dyDescent="0.3">
      <c r="A563">
        <v>0.1</v>
      </c>
      <c r="B563">
        <v>1</v>
      </c>
      <c r="C563">
        <v>1</v>
      </c>
    </row>
    <row r="564" spans="1:3" x14ac:dyDescent="0.3">
      <c r="A564">
        <v>0.1</v>
      </c>
      <c r="B564">
        <v>1</v>
      </c>
      <c r="C564">
        <v>1</v>
      </c>
    </row>
    <row r="565" spans="1:3" x14ac:dyDescent="0.3">
      <c r="A565">
        <v>0.1</v>
      </c>
      <c r="B565">
        <v>1</v>
      </c>
      <c r="C565">
        <v>1</v>
      </c>
    </row>
    <row r="566" spans="1:3" x14ac:dyDescent="0.3">
      <c r="A566">
        <v>0.1</v>
      </c>
      <c r="B566">
        <v>1</v>
      </c>
      <c r="C566">
        <v>1</v>
      </c>
    </row>
    <row r="567" spans="1:3" x14ac:dyDescent="0.3">
      <c r="A567">
        <v>0.1</v>
      </c>
      <c r="B567">
        <v>1</v>
      </c>
      <c r="C567">
        <v>1</v>
      </c>
    </row>
    <row r="568" spans="1:3" x14ac:dyDescent="0.3">
      <c r="A568">
        <v>0.1</v>
      </c>
      <c r="B568">
        <v>1</v>
      </c>
      <c r="C568">
        <v>1</v>
      </c>
    </row>
    <row r="569" spans="1:3" x14ac:dyDescent="0.3">
      <c r="A569">
        <v>0.1</v>
      </c>
      <c r="B569">
        <v>1</v>
      </c>
      <c r="C569">
        <v>1</v>
      </c>
    </row>
    <row r="570" spans="1:3" x14ac:dyDescent="0.3">
      <c r="A570">
        <v>0.1</v>
      </c>
      <c r="B570">
        <v>1</v>
      </c>
      <c r="C570">
        <v>1</v>
      </c>
    </row>
    <row r="571" spans="1:3" x14ac:dyDescent="0.3">
      <c r="A571">
        <v>0.1</v>
      </c>
      <c r="B571">
        <v>1</v>
      </c>
      <c r="C571">
        <v>1</v>
      </c>
    </row>
    <row r="572" spans="1:3" x14ac:dyDescent="0.3">
      <c r="A572">
        <v>0.1</v>
      </c>
      <c r="B572">
        <v>1</v>
      </c>
      <c r="C572">
        <v>1</v>
      </c>
    </row>
    <row r="573" spans="1:3" x14ac:dyDescent="0.3">
      <c r="A573">
        <v>0.11</v>
      </c>
      <c r="B573">
        <v>1</v>
      </c>
      <c r="C573">
        <v>1</v>
      </c>
    </row>
    <row r="574" spans="1:3" x14ac:dyDescent="0.3">
      <c r="A574">
        <v>0.11</v>
      </c>
      <c r="B574">
        <v>1</v>
      </c>
      <c r="C574">
        <v>1</v>
      </c>
    </row>
    <row r="575" spans="1:3" x14ac:dyDescent="0.3">
      <c r="A575">
        <v>0.11</v>
      </c>
      <c r="B575">
        <v>1</v>
      </c>
      <c r="C575">
        <v>1</v>
      </c>
    </row>
    <row r="576" spans="1:3" x14ac:dyDescent="0.3">
      <c r="A576">
        <v>0.11</v>
      </c>
      <c r="B576">
        <v>1</v>
      </c>
      <c r="C576">
        <v>1</v>
      </c>
    </row>
    <row r="577" spans="1:3" x14ac:dyDescent="0.3">
      <c r="A577">
        <v>0.11</v>
      </c>
      <c r="B577">
        <v>1</v>
      </c>
      <c r="C577">
        <v>1</v>
      </c>
    </row>
    <row r="578" spans="1:3" x14ac:dyDescent="0.3">
      <c r="A578">
        <v>0.11</v>
      </c>
      <c r="B578">
        <v>1</v>
      </c>
      <c r="C578">
        <v>1</v>
      </c>
    </row>
    <row r="579" spans="1:3" x14ac:dyDescent="0.3">
      <c r="A579">
        <v>0.11</v>
      </c>
      <c r="B579">
        <v>1</v>
      </c>
      <c r="C579">
        <v>1</v>
      </c>
    </row>
    <row r="580" spans="1:3" x14ac:dyDescent="0.3">
      <c r="A580">
        <v>0.11</v>
      </c>
      <c r="B580">
        <v>1</v>
      </c>
      <c r="C580">
        <v>1</v>
      </c>
    </row>
    <row r="581" spans="1:3" x14ac:dyDescent="0.3">
      <c r="A581">
        <v>0.11</v>
      </c>
      <c r="B581">
        <v>1</v>
      </c>
      <c r="C581">
        <v>1</v>
      </c>
    </row>
    <row r="582" spans="1:3" x14ac:dyDescent="0.3">
      <c r="A582">
        <v>0.11</v>
      </c>
      <c r="B582">
        <v>1</v>
      </c>
      <c r="C582">
        <v>1</v>
      </c>
    </row>
    <row r="583" spans="1:3" x14ac:dyDescent="0.3">
      <c r="A583">
        <v>0.11</v>
      </c>
      <c r="B583">
        <v>1</v>
      </c>
      <c r="C583">
        <v>1</v>
      </c>
    </row>
    <row r="584" spans="1:3" x14ac:dyDescent="0.3">
      <c r="A584">
        <v>0.11</v>
      </c>
      <c r="B584">
        <v>1</v>
      </c>
      <c r="C584">
        <v>1</v>
      </c>
    </row>
    <row r="585" spans="1:3" x14ac:dyDescent="0.3">
      <c r="A585">
        <v>0.11</v>
      </c>
      <c r="B585">
        <v>1</v>
      </c>
      <c r="C585">
        <v>1</v>
      </c>
    </row>
    <row r="586" spans="1:3" x14ac:dyDescent="0.3">
      <c r="A586">
        <v>0.11</v>
      </c>
      <c r="B586">
        <v>1</v>
      </c>
      <c r="C586">
        <v>1</v>
      </c>
    </row>
    <row r="587" spans="1:3" x14ac:dyDescent="0.3">
      <c r="A587">
        <v>0.11</v>
      </c>
      <c r="B587">
        <v>1</v>
      </c>
      <c r="C587">
        <v>1</v>
      </c>
    </row>
    <row r="588" spans="1:3" x14ac:dyDescent="0.3">
      <c r="A588">
        <v>0.11</v>
      </c>
      <c r="B588">
        <v>1</v>
      </c>
      <c r="C588">
        <v>1</v>
      </c>
    </row>
    <row r="589" spans="1:3" x14ac:dyDescent="0.3">
      <c r="A589">
        <v>0.11</v>
      </c>
      <c r="B589">
        <v>1</v>
      </c>
      <c r="C589">
        <v>1</v>
      </c>
    </row>
    <row r="590" spans="1:3" x14ac:dyDescent="0.3">
      <c r="A590">
        <v>0.11</v>
      </c>
      <c r="B590">
        <v>1</v>
      </c>
      <c r="C590">
        <v>1</v>
      </c>
    </row>
    <row r="591" spans="1:3" x14ac:dyDescent="0.3">
      <c r="A591">
        <v>0.11</v>
      </c>
      <c r="B591">
        <v>1</v>
      </c>
      <c r="C591">
        <v>1</v>
      </c>
    </row>
    <row r="592" spans="1:3" x14ac:dyDescent="0.3">
      <c r="A592">
        <v>0.11</v>
      </c>
      <c r="B592">
        <v>1</v>
      </c>
      <c r="C592">
        <v>1</v>
      </c>
    </row>
    <row r="593" spans="1:3" x14ac:dyDescent="0.3">
      <c r="A593">
        <v>0.11</v>
      </c>
      <c r="B593">
        <v>1</v>
      </c>
      <c r="C593">
        <v>1</v>
      </c>
    </row>
    <row r="594" spans="1:3" x14ac:dyDescent="0.3">
      <c r="A594">
        <v>0.11</v>
      </c>
      <c r="B594">
        <v>1</v>
      </c>
      <c r="C594">
        <v>1</v>
      </c>
    </row>
    <row r="595" spans="1:3" x14ac:dyDescent="0.3">
      <c r="A595">
        <v>0.11</v>
      </c>
      <c r="B595">
        <v>1</v>
      </c>
      <c r="C595">
        <v>1</v>
      </c>
    </row>
    <row r="596" spans="1:3" x14ac:dyDescent="0.3">
      <c r="A596">
        <v>0.11</v>
      </c>
      <c r="B596">
        <v>1</v>
      </c>
      <c r="C596">
        <v>1</v>
      </c>
    </row>
    <row r="597" spans="1:3" x14ac:dyDescent="0.3">
      <c r="A597">
        <v>0.11</v>
      </c>
      <c r="B597">
        <v>1</v>
      </c>
      <c r="C597">
        <v>1</v>
      </c>
    </row>
    <row r="598" spans="1:3" x14ac:dyDescent="0.3">
      <c r="A598">
        <v>0.11</v>
      </c>
      <c r="B598">
        <v>1</v>
      </c>
      <c r="C598">
        <v>1</v>
      </c>
    </row>
    <row r="599" spans="1:3" x14ac:dyDescent="0.3">
      <c r="A599">
        <v>0.11</v>
      </c>
      <c r="B599">
        <v>1</v>
      </c>
      <c r="C599">
        <v>1</v>
      </c>
    </row>
    <row r="600" spans="1:3" x14ac:dyDescent="0.3">
      <c r="A600">
        <v>0.11</v>
      </c>
      <c r="B600">
        <v>1</v>
      </c>
      <c r="C600">
        <v>1</v>
      </c>
    </row>
    <row r="601" spans="1:3" x14ac:dyDescent="0.3">
      <c r="A601">
        <v>0.11</v>
      </c>
      <c r="B601">
        <v>1</v>
      </c>
      <c r="C601">
        <v>1</v>
      </c>
    </row>
    <row r="602" spans="1:3" x14ac:dyDescent="0.3">
      <c r="A602">
        <v>0.11</v>
      </c>
      <c r="B602">
        <v>1</v>
      </c>
      <c r="C602">
        <v>1</v>
      </c>
    </row>
    <row r="603" spans="1:3" x14ac:dyDescent="0.3">
      <c r="A603">
        <v>0.11</v>
      </c>
      <c r="B603">
        <v>1</v>
      </c>
      <c r="C603">
        <v>1</v>
      </c>
    </row>
    <row r="604" spans="1:3" x14ac:dyDescent="0.3">
      <c r="A604">
        <v>0.11</v>
      </c>
      <c r="B604">
        <v>1</v>
      </c>
      <c r="C604">
        <v>1</v>
      </c>
    </row>
    <row r="605" spans="1:3" x14ac:dyDescent="0.3">
      <c r="A605">
        <v>0.11</v>
      </c>
      <c r="B605">
        <v>1</v>
      </c>
      <c r="C605">
        <v>1</v>
      </c>
    </row>
    <row r="606" spans="1:3" x14ac:dyDescent="0.3">
      <c r="A606">
        <v>0.11</v>
      </c>
      <c r="B606">
        <v>1</v>
      </c>
      <c r="C606">
        <v>1</v>
      </c>
    </row>
    <row r="607" spans="1:3" x14ac:dyDescent="0.3">
      <c r="A607">
        <v>0.11</v>
      </c>
      <c r="B607">
        <v>1</v>
      </c>
      <c r="C607">
        <v>1</v>
      </c>
    </row>
    <row r="608" spans="1:3" x14ac:dyDescent="0.3">
      <c r="A608">
        <v>0.11</v>
      </c>
      <c r="B608">
        <v>1</v>
      </c>
      <c r="C608">
        <v>1</v>
      </c>
    </row>
    <row r="609" spans="1:3" x14ac:dyDescent="0.3">
      <c r="A609">
        <v>0.11</v>
      </c>
      <c r="B609">
        <v>1</v>
      </c>
      <c r="C609">
        <v>1</v>
      </c>
    </row>
    <row r="610" spans="1:3" x14ac:dyDescent="0.3">
      <c r="A610">
        <v>0.11</v>
      </c>
      <c r="B610">
        <v>1</v>
      </c>
      <c r="C610">
        <v>1</v>
      </c>
    </row>
    <row r="611" spans="1:3" x14ac:dyDescent="0.3">
      <c r="A611">
        <v>0.11</v>
      </c>
      <c r="B611">
        <v>1</v>
      </c>
      <c r="C611">
        <v>1</v>
      </c>
    </row>
    <row r="612" spans="1:3" x14ac:dyDescent="0.3">
      <c r="A612">
        <v>0.11</v>
      </c>
      <c r="B612">
        <v>1</v>
      </c>
      <c r="C612">
        <v>1</v>
      </c>
    </row>
    <row r="613" spans="1:3" x14ac:dyDescent="0.3">
      <c r="A613">
        <v>0.12</v>
      </c>
      <c r="B613">
        <v>1</v>
      </c>
      <c r="C613">
        <v>1</v>
      </c>
    </row>
    <row r="614" spans="1:3" x14ac:dyDescent="0.3">
      <c r="A614">
        <v>0.12</v>
      </c>
      <c r="B614">
        <v>1</v>
      </c>
      <c r="C614">
        <v>1</v>
      </c>
    </row>
    <row r="615" spans="1:3" x14ac:dyDescent="0.3">
      <c r="A615">
        <v>0.12</v>
      </c>
      <c r="B615">
        <v>1</v>
      </c>
      <c r="C615">
        <v>1</v>
      </c>
    </row>
    <row r="616" spans="1:3" x14ac:dyDescent="0.3">
      <c r="A616">
        <v>0.12</v>
      </c>
      <c r="B616">
        <v>1</v>
      </c>
      <c r="C616">
        <v>1</v>
      </c>
    </row>
    <row r="617" spans="1:3" x14ac:dyDescent="0.3">
      <c r="A617">
        <v>0.12</v>
      </c>
      <c r="B617">
        <v>1</v>
      </c>
      <c r="C617">
        <v>1</v>
      </c>
    </row>
    <row r="618" spans="1:3" x14ac:dyDescent="0.3">
      <c r="A618">
        <v>0.12</v>
      </c>
      <c r="B618">
        <v>1</v>
      </c>
      <c r="C618">
        <v>1</v>
      </c>
    </row>
    <row r="619" spans="1:3" x14ac:dyDescent="0.3">
      <c r="A619">
        <v>0.12</v>
      </c>
      <c r="B619">
        <v>1</v>
      </c>
      <c r="C619">
        <v>1</v>
      </c>
    </row>
    <row r="620" spans="1:3" x14ac:dyDescent="0.3">
      <c r="A620">
        <v>0.12</v>
      </c>
      <c r="B620">
        <v>1</v>
      </c>
      <c r="C620">
        <v>1</v>
      </c>
    </row>
    <row r="621" spans="1:3" x14ac:dyDescent="0.3">
      <c r="A621">
        <v>0.12</v>
      </c>
      <c r="B621">
        <v>1</v>
      </c>
      <c r="C621">
        <v>1</v>
      </c>
    </row>
    <row r="622" spans="1:3" x14ac:dyDescent="0.3">
      <c r="A622">
        <v>0.12</v>
      </c>
      <c r="B622">
        <v>1</v>
      </c>
      <c r="C622">
        <v>1</v>
      </c>
    </row>
    <row r="623" spans="1:3" x14ac:dyDescent="0.3">
      <c r="A623">
        <v>0.12</v>
      </c>
      <c r="B623">
        <v>1</v>
      </c>
      <c r="C623">
        <v>1</v>
      </c>
    </row>
    <row r="624" spans="1:3" x14ac:dyDescent="0.3">
      <c r="A624">
        <v>0.12</v>
      </c>
      <c r="B624">
        <v>1</v>
      </c>
      <c r="C624">
        <v>1</v>
      </c>
    </row>
    <row r="625" spans="1:3" x14ac:dyDescent="0.3">
      <c r="A625">
        <v>0.12</v>
      </c>
      <c r="B625">
        <v>1</v>
      </c>
      <c r="C625">
        <v>1</v>
      </c>
    </row>
    <row r="626" spans="1:3" x14ac:dyDescent="0.3">
      <c r="A626">
        <v>0.12</v>
      </c>
      <c r="B626">
        <v>1</v>
      </c>
      <c r="C626">
        <v>1</v>
      </c>
    </row>
    <row r="627" spans="1:3" x14ac:dyDescent="0.3">
      <c r="A627">
        <v>0.12</v>
      </c>
      <c r="B627">
        <v>1</v>
      </c>
      <c r="C627">
        <v>1</v>
      </c>
    </row>
    <row r="628" spans="1:3" x14ac:dyDescent="0.3">
      <c r="A628">
        <v>0.12</v>
      </c>
      <c r="B628">
        <v>1</v>
      </c>
      <c r="C628">
        <v>1</v>
      </c>
    </row>
    <row r="629" spans="1:3" x14ac:dyDescent="0.3">
      <c r="A629">
        <v>0.12</v>
      </c>
      <c r="B629">
        <v>1</v>
      </c>
      <c r="C629">
        <v>1</v>
      </c>
    </row>
    <row r="630" spans="1:3" x14ac:dyDescent="0.3">
      <c r="A630">
        <v>0.12</v>
      </c>
      <c r="B630">
        <v>1</v>
      </c>
      <c r="C630">
        <v>1</v>
      </c>
    </row>
    <row r="631" spans="1:3" x14ac:dyDescent="0.3">
      <c r="A631">
        <v>0.12</v>
      </c>
      <c r="B631">
        <v>1</v>
      </c>
      <c r="C631">
        <v>1</v>
      </c>
    </row>
    <row r="632" spans="1:3" x14ac:dyDescent="0.3">
      <c r="A632">
        <v>0.12</v>
      </c>
      <c r="B632">
        <v>1</v>
      </c>
      <c r="C632">
        <v>1</v>
      </c>
    </row>
    <row r="633" spans="1:3" x14ac:dyDescent="0.3">
      <c r="A633">
        <v>0.12</v>
      </c>
      <c r="B633">
        <v>1</v>
      </c>
      <c r="C633">
        <v>1</v>
      </c>
    </row>
    <row r="634" spans="1:3" x14ac:dyDescent="0.3">
      <c r="A634">
        <v>0.12</v>
      </c>
      <c r="B634">
        <v>1</v>
      </c>
      <c r="C634">
        <v>1</v>
      </c>
    </row>
    <row r="635" spans="1:3" x14ac:dyDescent="0.3">
      <c r="A635">
        <v>0.12</v>
      </c>
      <c r="B635">
        <v>1</v>
      </c>
      <c r="C635">
        <v>1</v>
      </c>
    </row>
    <row r="636" spans="1:3" x14ac:dyDescent="0.3">
      <c r="A636">
        <v>0.12</v>
      </c>
      <c r="B636">
        <v>1</v>
      </c>
      <c r="C636">
        <v>1</v>
      </c>
    </row>
    <row r="637" spans="1:3" x14ac:dyDescent="0.3">
      <c r="A637">
        <v>0.12</v>
      </c>
      <c r="B637">
        <v>1</v>
      </c>
      <c r="C637">
        <v>1</v>
      </c>
    </row>
    <row r="638" spans="1:3" x14ac:dyDescent="0.3">
      <c r="A638">
        <v>0.12</v>
      </c>
      <c r="B638">
        <v>1</v>
      </c>
      <c r="C638">
        <v>1</v>
      </c>
    </row>
    <row r="639" spans="1:3" x14ac:dyDescent="0.3">
      <c r="A639">
        <v>0.12</v>
      </c>
      <c r="B639">
        <v>1</v>
      </c>
      <c r="C639">
        <v>1</v>
      </c>
    </row>
    <row r="640" spans="1:3" x14ac:dyDescent="0.3">
      <c r="A640">
        <v>0.12</v>
      </c>
      <c r="B640">
        <v>1</v>
      </c>
      <c r="C640">
        <v>1</v>
      </c>
    </row>
    <row r="641" spans="1:3" x14ac:dyDescent="0.3">
      <c r="A641">
        <v>0.12</v>
      </c>
      <c r="B641">
        <v>1</v>
      </c>
      <c r="C641">
        <v>1</v>
      </c>
    </row>
    <row r="642" spans="1:3" x14ac:dyDescent="0.3">
      <c r="A642">
        <v>0.12</v>
      </c>
      <c r="B642">
        <v>1</v>
      </c>
      <c r="C642">
        <v>1</v>
      </c>
    </row>
    <row r="643" spans="1:3" x14ac:dyDescent="0.3">
      <c r="A643">
        <v>0.12</v>
      </c>
      <c r="B643">
        <v>1</v>
      </c>
      <c r="C643">
        <v>1</v>
      </c>
    </row>
    <row r="644" spans="1:3" x14ac:dyDescent="0.3">
      <c r="A644">
        <v>0.12</v>
      </c>
      <c r="B644">
        <v>1</v>
      </c>
      <c r="C644">
        <v>1</v>
      </c>
    </row>
    <row r="645" spans="1:3" x14ac:dyDescent="0.3">
      <c r="A645">
        <v>0.12</v>
      </c>
      <c r="B645">
        <v>1</v>
      </c>
      <c r="C645">
        <v>1</v>
      </c>
    </row>
    <row r="646" spans="1:3" x14ac:dyDescent="0.3">
      <c r="A646">
        <v>0.12</v>
      </c>
      <c r="B646">
        <v>1</v>
      </c>
      <c r="C646">
        <v>1</v>
      </c>
    </row>
    <row r="647" spans="1:3" x14ac:dyDescent="0.3">
      <c r="A647">
        <v>0.12</v>
      </c>
      <c r="B647">
        <v>1</v>
      </c>
      <c r="C647">
        <v>1</v>
      </c>
    </row>
    <row r="648" spans="1:3" x14ac:dyDescent="0.3">
      <c r="A648">
        <v>0.12</v>
      </c>
      <c r="B648">
        <v>1</v>
      </c>
      <c r="C648">
        <v>1</v>
      </c>
    </row>
    <row r="649" spans="1:3" x14ac:dyDescent="0.3">
      <c r="A649">
        <v>0.12</v>
      </c>
      <c r="B649">
        <v>1</v>
      </c>
      <c r="C649">
        <v>1</v>
      </c>
    </row>
    <row r="650" spans="1:3" x14ac:dyDescent="0.3">
      <c r="A650">
        <v>0.12</v>
      </c>
      <c r="B650">
        <v>1</v>
      </c>
      <c r="C650">
        <v>1</v>
      </c>
    </row>
    <row r="651" spans="1:3" x14ac:dyDescent="0.3">
      <c r="A651">
        <v>0.12</v>
      </c>
      <c r="B651">
        <v>1</v>
      </c>
      <c r="C651">
        <v>1</v>
      </c>
    </row>
    <row r="652" spans="1:3" x14ac:dyDescent="0.3">
      <c r="A652">
        <v>0.12</v>
      </c>
      <c r="B652">
        <v>1</v>
      </c>
      <c r="C652">
        <v>1</v>
      </c>
    </row>
    <row r="653" spans="1:3" x14ac:dyDescent="0.3">
      <c r="A653">
        <v>0.12</v>
      </c>
      <c r="B653">
        <v>1</v>
      </c>
      <c r="C653">
        <v>1</v>
      </c>
    </row>
    <row r="654" spans="1:3" x14ac:dyDescent="0.3">
      <c r="A654">
        <v>0.12</v>
      </c>
      <c r="B654">
        <v>1</v>
      </c>
      <c r="C654">
        <v>1</v>
      </c>
    </row>
    <row r="655" spans="1:3" x14ac:dyDescent="0.3">
      <c r="A655">
        <v>0.12</v>
      </c>
      <c r="B655">
        <v>1</v>
      </c>
      <c r="C655">
        <v>1</v>
      </c>
    </row>
    <row r="656" spans="1:3" x14ac:dyDescent="0.3">
      <c r="A656">
        <v>0.12</v>
      </c>
      <c r="B656">
        <v>1</v>
      </c>
      <c r="C656">
        <v>1</v>
      </c>
    </row>
    <row r="657" spans="1:3" x14ac:dyDescent="0.3">
      <c r="A657">
        <v>0.12</v>
      </c>
      <c r="B657">
        <v>1</v>
      </c>
      <c r="C657">
        <v>1</v>
      </c>
    </row>
    <row r="658" spans="1:3" x14ac:dyDescent="0.3">
      <c r="A658">
        <v>0.12</v>
      </c>
      <c r="B658">
        <v>1</v>
      </c>
      <c r="C658">
        <v>1</v>
      </c>
    </row>
    <row r="659" spans="1:3" x14ac:dyDescent="0.3">
      <c r="A659">
        <v>0.12</v>
      </c>
      <c r="B659">
        <v>1</v>
      </c>
      <c r="C659">
        <v>1</v>
      </c>
    </row>
    <row r="660" spans="1:3" x14ac:dyDescent="0.3">
      <c r="A660">
        <v>0.12</v>
      </c>
      <c r="B660">
        <v>1</v>
      </c>
      <c r="C660">
        <v>1</v>
      </c>
    </row>
    <row r="661" spans="1:3" x14ac:dyDescent="0.3">
      <c r="A661">
        <v>0.12</v>
      </c>
      <c r="B661">
        <v>1</v>
      </c>
      <c r="C661">
        <v>1</v>
      </c>
    </row>
    <row r="662" spans="1:3" x14ac:dyDescent="0.3">
      <c r="A662">
        <v>0.12</v>
      </c>
      <c r="B662">
        <v>1</v>
      </c>
      <c r="C662">
        <v>1</v>
      </c>
    </row>
    <row r="663" spans="1:3" x14ac:dyDescent="0.3">
      <c r="A663">
        <v>0.13</v>
      </c>
      <c r="B663">
        <v>1</v>
      </c>
      <c r="C663">
        <v>1</v>
      </c>
    </row>
    <row r="664" spans="1:3" x14ac:dyDescent="0.3">
      <c r="A664">
        <v>0.13</v>
      </c>
      <c r="B664">
        <v>1</v>
      </c>
      <c r="C664">
        <v>1</v>
      </c>
    </row>
    <row r="665" spans="1:3" x14ac:dyDescent="0.3">
      <c r="A665">
        <v>0.13</v>
      </c>
      <c r="B665">
        <v>1</v>
      </c>
      <c r="C665">
        <v>1</v>
      </c>
    </row>
    <row r="666" spans="1:3" x14ac:dyDescent="0.3">
      <c r="A666">
        <v>0.13</v>
      </c>
      <c r="B666">
        <v>1</v>
      </c>
      <c r="C666">
        <v>1</v>
      </c>
    </row>
    <row r="667" spans="1:3" x14ac:dyDescent="0.3">
      <c r="A667">
        <v>0.13</v>
      </c>
      <c r="B667">
        <v>1</v>
      </c>
      <c r="C667">
        <v>1</v>
      </c>
    </row>
    <row r="668" spans="1:3" x14ac:dyDescent="0.3">
      <c r="A668">
        <v>0.13</v>
      </c>
      <c r="B668">
        <v>1</v>
      </c>
      <c r="C668">
        <v>1</v>
      </c>
    </row>
    <row r="669" spans="1:3" x14ac:dyDescent="0.3">
      <c r="A669">
        <v>0.13</v>
      </c>
      <c r="B669">
        <v>1</v>
      </c>
      <c r="C669">
        <v>1</v>
      </c>
    </row>
    <row r="670" spans="1:3" x14ac:dyDescent="0.3">
      <c r="A670">
        <v>0.13</v>
      </c>
      <c r="B670">
        <v>1</v>
      </c>
      <c r="C670">
        <v>1</v>
      </c>
    </row>
    <row r="671" spans="1:3" x14ac:dyDescent="0.3">
      <c r="A671">
        <v>0.13</v>
      </c>
      <c r="B671">
        <v>1</v>
      </c>
      <c r="C671">
        <v>1</v>
      </c>
    </row>
    <row r="672" spans="1:3" x14ac:dyDescent="0.3">
      <c r="A672">
        <v>0.13</v>
      </c>
      <c r="B672">
        <v>1</v>
      </c>
      <c r="C672">
        <v>1</v>
      </c>
    </row>
    <row r="673" spans="1:3" x14ac:dyDescent="0.3">
      <c r="A673">
        <v>0.13</v>
      </c>
      <c r="B673">
        <v>1</v>
      </c>
      <c r="C673">
        <v>1</v>
      </c>
    </row>
    <row r="674" spans="1:3" x14ac:dyDescent="0.3">
      <c r="A674">
        <v>0.13</v>
      </c>
      <c r="B674">
        <v>1</v>
      </c>
      <c r="C674">
        <v>1</v>
      </c>
    </row>
    <row r="675" spans="1:3" x14ac:dyDescent="0.3">
      <c r="A675">
        <v>0.13</v>
      </c>
      <c r="B675">
        <v>1</v>
      </c>
      <c r="C675">
        <v>1</v>
      </c>
    </row>
    <row r="676" spans="1:3" x14ac:dyDescent="0.3">
      <c r="A676">
        <v>0.13</v>
      </c>
      <c r="B676">
        <v>1</v>
      </c>
      <c r="C676">
        <v>1</v>
      </c>
    </row>
    <row r="677" spans="1:3" x14ac:dyDescent="0.3">
      <c r="A677">
        <v>0.13</v>
      </c>
      <c r="B677">
        <v>1</v>
      </c>
      <c r="C677">
        <v>1</v>
      </c>
    </row>
    <row r="678" spans="1:3" x14ac:dyDescent="0.3">
      <c r="A678">
        <v>0.13</v>
      </c>
      <c r="B678">
        <v>1</v>
      </c>
      <c r="C678">
        <v>1</v>
      </c>
    </row>
    <row r="679" spans="1:3" x14ac:dyDescent="0.3">
      <c r="A679">
        <v>0.13</v>
      </c>
      <c r="B679">
        <v>1</v>
      </c>
      <c r="C679">
        <v>1</v>
      </c>
    </row>
    <row r="680" spans="1:3" x14ac:dyDescent="0.3">
      <c r="A680">
        <v>0.13</v>
      </c>
      <c r="B680">
        <v>1</v>
      </c>
      <c r="C680">
        <v>1</v>
      </c>
    </row>
    <row r="681" spans="1:3" x14ac:dyDescent="0.3">
      <c r="A681">
        <v>0.13</v>
      </c>
      <c r="B681">
        <v>1</v>
      </c>
      <c r="C681">
        <v>1</v>
      </c>
    </row>
    <row r="682" spans="1:3" x14ac:dyDescent="0.3">
      <c r="A682">
        <v>0.13</v>
      </c>
      <c r="B682">
        <v>1</v>
      </c>
      <c r="C682">
        <v>1</v>
      </c>
    </row>
    <row r="683" spans="1:3" x14ac:dyDescent="0.3">
      <c r="A683">
        <v>0.13</v>
      </c>
      <c r="B683">
        <v>1</v>
      </c>
      <c r="C683">
        <v>1</v>
      </c>
    </row>
    <row r="684" spans="1:3" x14ac:dyDescent="0.3">
      <c r="A684">
        <v>0.13</v>
      </c>
      <c r="B684">
        <v>1</v>
      </c>
      <c r="C684">
        <v>1</v>
      </c>
    </row>
    <row r="685" spans="1:3" x14ac:dyDescent="0.3">
      <c r="A685">
        <v>0.13</v>
      </c>
      <c r="B685">
        <v>1</v>
      </c>
      <c r="C685">
        <v>1</v>
      </c>
    </row>
    <row r="686" spans="1:3" x14ac:dyDescent="0.3">
      <c r="A686">
        <v>0.13</v>
      </c>
      <c r="B686">
        <v>1</v>
      </c>
      <c r="C686">
        <v>1</v>
      </c>
    </row>
    <row r="687" spans="1:3" x14ac:dyDescent="0.3">
      <c r="A687">
        <v>0.13</v>
      </c>
      <c r="B687">
        <v>1</v>
      </c>
      <c r="C687">
        <v>1</v>
      </c>
    </row>
    <row r="688" spans="1:3" x14ac:dyDescent="0.3">
      <c r="A688">
        <v>0.13</v>
      </c>
      <c r="B688">
        <v>1</v>
      </c>
      <c r="C688">
        <v>1</v>
      </c>
    </row>
    <row r="689" spans="1:3" x14ac:dyDescent="0.3">
      <c r="A689">
        <v>0.13</v>
      </c>
      <c r="B689">
        <v>1</v>
      </c>
      <c r="C689">
        <v>1</v>
      </c>
    </row>
    <row r="690" spans="1:3" x14ac:dyDescent="0.3">
      <c r="A690">
        <v>0.13</v>
      </c>
      <c r="B690">
        <v>1</v>
      </c>
      <c r="C690">
        <v>1</v>
      </c>
    </row>
    <row r="691" spans="1:3" x14ac:dyDescent="0.3">
      <c r="A691">
        <v>0.13</v>
      </c>
      <c r="B691">
        <v>1</v>
      </c>
      <c r="C691">
        <v>1</v>
      </c>
    </row>
    <row r="692" spans="1:3" x14ac:dyDescent="0.3">
      <c r="A692">
        <v>0.13</v>
      </c>
      <c r="B692">
        <v>1</v>
      </c>
      <c r="C692">
        <v>1</v>
      </c>
    </row>
    <row r="693" spans="1:3" x14ac:dyDescent="0.3">
      <c r="A693">
        <v>0.13</v>
      </c>
      <c r="B693">
        <v>1</v>
      </c>
      <c r="C693">
        <v>1</v>
      </c>
    </row>
    <row r="694" spans="1:3" x14ac:dyDescent="0.3">
      <c r="A694">
        <v>0.13</v>
      </c>
      <c r="B694">
        <v>1</v>
      </c>
      <c r="C694">
        <v>1</v>
      </c>
    </row>
    <row r="695" spans="1:3" x14ac:dyDescent="0.3">
      <c r="A695">
        <v>0.13</v>
      </c>
      <c r="B695">
        <v>1</v>
      </c>
      <c r="C695">
        <v>1</v>
      </c>
    </row>
    <row r="696" spans="1:3" x14ac:dyDescent="0.3">
      <c r="A696">
        <v>0.13</v>
      </c>
      <c r="B696">
        <v>1</v>
      </c>
      <c r="C696">
        <v>1</v>
      </c>
    </row>
    <row r="697" spans="1:3" x14ac:dyDescent="0.3">
      <c r="A697">
        <v>0.13</v>
      </c>
      <c r="B697">
        <v>1</v>
      </c>
      <c r="C697">
        <v>1</v>
      </c>
    </row>
    <row r="698" spans="1:3" x14ac:dyDescent="0.3">
      <c r="A698">
        <v>0.13</v>
      </c>
      <c r="B698">
        <v>1</v>
      </c>
      <c r="C698">
        <v>1</v>
      </c>
    </row>
    <row r="699" spans="1:3" x14ac:dyDescent="0.3">
      <c r="A699">
        <v>0.13</v>
      </c>
      <c r="B699">
        <v>1</v>
      </c>
      <c r="C699">
        <v>1</v>
      </c>
    </row>
    <row r="700" spans="1:3" x14ac:dyDescent="0.3">
      <c r="A700">
        <v>0.13</v>
      </c>
      <c r="B700">
        <v>1</v>
      </c>
      <c r="C700">
        <v>1</v>
      </c>
    </row>
    <row r="701" spans="1:3" x14ac:dyDescent="0.3">
      <c r="A701">
        <v>0.13</v>
      </c>
      <c r="B701">
        <v>1</v>
      </c>
      <c r="C701">
        <v>1</v>
      </c>
    </row>
    <row r="702" spans="1:3" x14ac:dyDescent="0.3">
      <c r="A702">
        <v>0.13</v>
      </c>
      <c r="B702">
        <v>1</v>
      </c>
      <c r="C702">
        <v>1</v>
      </c>
    </row>
    <row r="703" spans="1:3" x14ac:dyDescent="0.3">
      <c r="A703">
        <v>0.13</v>
      </c>
      <c r="B703">
        <v>1</v>
      </c>
      <c r="C703">
        <v>1</v>
      </c>
    </row>
    <row r="704" spans="1:3" x14ac:dyDescent="0.3">
      <c r="A704">
        <v>0.13</v>
      </c>
      <c r="B704">
        <v>1</v>
      </c>
      <c r="C704">
        <v>1</v>
      </c>
    </row>
    <row r="705" spans="1:3" x14ac:dyDescent="0.3">
      <c r="A705">
        <v>0.13</v>
      </c>
      <c r="B705">
        <v>1</v>
      </c>
      <c r="C705">
        <v>1</v>
      </c>
    </row>
    <row r="706" spans="1:3" x14ac:dyDescent="0.3">
      <c r="A706">
        <v>0.13</v>
      </c>
      <c r="B706">
        <v>1</v>
      </c>
      <c r="C706">
        <v>1</v>
      </c>
    </row>
    <row r="707" spans="1:3" x14ac:dyDescent="0.3">
      <c r="A707">
        <v>0.13</v>
      </c>
      <c r="B707">
        <v>1</v>
      </c>
      <c r="C707">
        <v>1</v>
      </c>
    </row>
    <row r="708" spans="1:3" x14ac:dyDescent="0.3">
      <c r="A708">
        <v>0.13</v>
      </c>
      <c r="B708">
        <v>1</v>
      </c>
      <c r="C708">
        <v>1</v>
      </c>
    </row>
    <row r="709" spans="1:3" x14ac:dyDescent="0.3">
      <c r="A709">
        <v>0.13</v>
      </c>
      <c r="B709">
        <v>1</v>
      </c>
      <c r="C709">
        <v>1</v>
      </c>
    </row>
    <row r="710" spans="1:3" x14ac:dyDescent="0.3">
      <c r="A710">
        <v>0.13</v>
      </c>
      <c r="B710">
        <v>1</v>
      </c>
      <c r="C710">
        <v>1</v>
      </c>
    </row>
    <row r="711" spans="1:3" x14ac:dyDescent="0.3">
      <c r="A711">
        <v>0.13</v>
      </c>
      <c r="B711">
        <v>1</v>
      </c>
      <c r="C711">
        <v>1</v>
      </c>
    </row>
    <row r="712" spans="1:3" x14ac:dyDescent="0.3">
      <c r="A712">
        <v>0.13</v>
      </c>
      <c r="B712">
        <v>1</v>
      </c>
      <c r="C712">
        <v>1</v>
      </c>
    </row>
    <row r="713" spans="1:3" x14ac:dyDescent="0.3">
      <c r="A713">
        <v>0.13</v>
      </c>
      <c r="B713">
        <v>1</v>
      </c>
      <c r="C713">
        <v>1</v>
      </c>
    </row>
    <row r="714" spans="1:3" x14ac:dyDescent="0.3">
      <c r="A714">
        <v>0.13</v>
      </c>
      <c r="B714">
        <v>1</v>
      </c>
      <c r="C714">
        <v>1</v>
      </c>
    </row>
    <row r="715" spans="1:3" x14ac:dyDescent="0.3">
      <c r="A715">
        <v>0.13</v>
      </c>
      <c r="B715">
        <v>1</v>
      </c>
      <c r="C715">
        <v>1</v>
      </c>
    </row>
    <row r="716" spans="1:3" x14ac:dyDescent="0.3">
      <c r="A716">
        <v>0.13</v>
      </c>
      <c r="B716">
        <v>1</v>
      </c>
      <c r="C716">
        <v>1</v>
      </c>
    </row>
    <row r="717" spans="1:3" x14ac:dyDescent="0.3">
      <c r="A717">
        <v>0.13</v>
      </c>
      <c r="B717">
        <v>1</v>
      </c>
      <c r="C717">
        <v>1</v>
      </c>
    </row>
    <row r="718" spans="1:3" x14ac:dyDescent="0.3">
      <c r="A718">
        <v>0.13</v>
      </c>
      <c r="B718">
        <v>1</v>
      </c>
      <c r="C718">
        <v>1</v>
      </c>
    </row>
    <row r="719" spans="1:3" x14ac:dyDescent="0.3">
      <c r="A719">
        <v>0.13</v>
      </c>
      <c r="B719">
        <v>1</v>
      </c>
      <c r="C719">
        <v>1</v>
      </c>
    </row>
    <row r="720" spans="1:3" x14ac:dyDescent="0.3">
      <c r="A720">
        <v>0.13</v>
      </c>
      <c r="B720">
        <v>1</v>
      </c>
      <c r="C720">
        <v>1</v>
      </c>
    </row>
    <row r="721" spans="1:3" x14ac:dyDescent="0.3">
      <c r="A721">
        <v>0.14000000000000001</v>
      </c>
      <c r="B721">
        <v>1</v>
      </c>
      <c r="C721">
        <v>1</v>
      </c>
    </row>
    <row r="722" spans="1:3" x14ac:dyDescent="0.3">
      <c r="A722">
        <v>0.14000000000000001</v>
      </c>
      <c r="B722">
        <v>1</v>
      </c>
      <c r="C722">
        <v>1</v>
      </c>
    </row>
    <row r="723" spans="1:3" x14ac:dyDescent="0.3">
      <c r="A723">
        <v>0.14000000000000001</v>
      </c>
      <c r="B723">
        <v>1</v>
      </c>
      <c r="C723">
        <v>1</v>
      </c>
    </row>
    <row r="724" spans="1:3" x14ac:dyDescent="0.3">
      <c r="A724">
        <v>0.14000000000000001</v>
      </c>
      <c r="B724">
        <v>1</v>
      </c>
      <c r="C724">
        <v>1</v>
      </c>
    </row>
    <row r="725" spans="1:3" x14ac:dyDescent="0.3">
      <c r="A725">
        <v>0.14000000000000001</v>
      </c>
      <c r="B725">
        <v>1</v>
      </c>
      <c r="C725">
        <v>1</v>
      </c>
    </row>
    <row r="726" spans="1:3" x14ac:dyDescent="0.3">
      <c r="A726">
        <v>0.14000000000000001</v>
      </c>
      <c r="B726">
        <v>1</v>
      </c>
      <c r="C726">
        <v>1</v>
      </c>
    </row>
    <row r="727" spans="1:3" x14ac:dyDescent="0.3">
      <c r="A727">
        <v>0.14000000000000001</v>
      </c>
      <c r="B727">
        <v>1</v>
      </c>
      <c r="C727">
        <v>1</v>
      </c>
    </row>
    <row r="728" spans="1:3" x14ac:dyDescent="0.3">
      <c r="A728">
        <v>0.14000000000000001</v>
      </c>
      <c r="B728">
        <v>1</v>
      </c>
      <c r="C728">
        <v>1</v>
      </c>
    </row>
    <row r="729" spans="1:3" x14ac:dyDescent="0.3">
      <c r="A729">
        <v>0.14000000000000001</v>
      </c>
      <c r="B729">
        <v>1</v>
      </c>
      <c r="C729">
        <v>1</v>
      </c>
    </row>
    <row r="730" spans="1:3" x14ac:dyDescent="0.3">
      <c r="A730">
        <v>0.14000000000000001</v>
      </c>
      <c r="B730">
        <v>1</v>
      </c>
      <c r="C730">
        <v>1</v>
      </c>
    </row>
    <row r="731" spans="1:3" x14ac:dyDescent="0.3">
      <c r="A731">
        <v>0.14000000000000001</v>
      </c>
      <c r="B731">
        <v>1</v>
      </c>
      <c r="C731">
        <v>1</v>
      </c>
    </row>
    <row r="732" spans="1:3" x14ac:dyDescent="0.3">
      <c r="A732">
        <v>0.14000000000000001</v>
      </c>
      <c r="B732">
        <v>1</v>
      </c>
      <c r="C732">
        <v>1</v>
      </c>
    </row>
    <row r="733" spans="1:3" x14ac:dyDescent="0.3">
      <c r="A733">
        <v>0.14000000000000001</v>
      </c>
      <c r="B733">
        <v>1</v>
      </c>
      <c r="C733">
        <v>1</v>
      </c>
    </row>
    <row r="734" spans="1:3" x14ac:dyDescent="0.3">
      <c r="A734">
        <v>0.14000000000000001</v>
      </c>
      <c r="B734">
        <v>1</v>
      </c>
      <c r="C734">
        <v>1</v>
      </c>
    </row>
    <row r="735" spans="1:3" x14ac:dyDescent="0.3">
      <c r="A735">
        <v>0.14000000000000001</v>
      </c>
      <c r="B735">
        <v>1</v>
      </c>
      <c r="C735">
        <v>1</v>
      </c>
    </row>
    <row r="736" spans="1:3" x14ac:dyDescent="0.3">
      <c r="A736">
        <v>0.14000000000000001</v>
      </c>
      <c r="B736">
        <v>1</v>
      </c>
      <c r="C736">
        <v>1</v>
      </c>
    </row>
    <row r="737" spans="1:3" x14ac:dyDescent="0.3">
      <c r="A737">
        <v>0.14000000000000001</v>
      </c>
      <c r="B737">
        <v>1</v>
      </c>
      <c r="C737">
        <v>1</v>
      </c>
    </row>
    <row r="738" spans="1:3" x14ac:dyDescent="0.3">
      <c r="A738">
        <v>0.14000000000000001</v>
      </c>
      <c r="B738">
        <v>1</v>
      </c>
      <c r="C738">
        <v>1</v>
      </c>
    </row>
    <row r="739" spans="1:3" x14ac:dyDescent="0.3">
      <c r="A739">
        <v>0.14000000000000001</v>
      </c>
      <c r="B739">
        <v>1</v>
      </c>
      <c r="C739">
        <v>1</v>
      </c>
    </row>
    <row r="740" spans="1:3" x14ac:dyDescent="0.3">
      <c r="A740">
        <v>0.14000000000000001</v>
      </c>
      <c r="B740">
        <v>1</v>
      </c>
      <c r="C740">
        <v>1</v>
      </c>
    </row>
    <row r="741" spans="1:3" x14ac:dyDescent="0.3">
      <c r="A741">
        <v>0.14000000000000001</v>
      </c>
      <c r="B741">
        <v>1</v>
      </c>
      <c r="C741">
        <v>1</v>
      </c>
    </row>
    <row r="742" spans="1:3" x14ac:dyDescent="0.3">
      <c r="A742">
        <v>0.14000000000000001</v>
      </c>
      <c r="B742">
        <v>1</v>
      </c>
      <c r="C742">
        <v>1</v>
      </c>
    </row>
    <row r="743" spans="1:3" x14ac:dyDescent="0.3">
      <c r="A743">
        <v>0.14000000000000001</v>
      </c>
      <c r="B743">
        <v>1</v>
      </c>
      <c r="C743">
        <v>1</v>
      </c>
    </row>
    <row r="744" spans="1:3" x14ac:dyDescent="0.3">
      <c r="A744">
        <v>0.14000000000000001</v>
      </c>
      <c r="B744">
        <v>1</v>
      </c>
      <c r="C744">
        <v>1</v>
      </c>
    </row>
    <row r="745" spans="1:3" x14ac:dyDescent="0.3">
      <c r="A745">
        <v>0.14000000000000001</v>
      </c>
      <c r="B745">
        <v>1</v>
      </c>
      <c r="C745">
        <v>1</v>
      </c>
    </row>
    <row r="746" spans="1:3" x14ac:dyDescent="0.3">
      <c r="A746">
        <v>0.14000000000000001</v>
      </c>
      <c r="B746">
        <v>1</v>
      </c>
      <c r="C746">
        <v>1</v>
      </c>
    </row>
    <row r="747" spans="1:3" x14ac:dyDescent="0.3">
      <c r="A747">
        <v>0.14000000000000001</v>
      </c>
      <c r="B747">
        <v>1</v>
      </c>
      <c r="C747">
        <v>1</v>
      </c>
    </row>
    <row r="748" spans="1:3" x14ac:dyDescent="0.3">
      <c r="A748">
        <v>0.14000000000000001</v>
      </c>
      <c r="B748">
        <v>1</v>
      </c>
      <c r="C748">
        <v>1</v>
      </c>
    </row>
    <row r="749" spans="1:3" x14ac:dyDescent="0.3">
      <c r="A749">
        <v>0.14000000000000001</v>
      </c>
      <c r="B749">
        <v>1</v>
      </c>
      <c r="C749">
        <v>1</v>
      </c>
    </row>
    <row r="750" spans="1:3" x14ac:dyDescent="0.3">
      <c r="A750">
        <v>0.14000000000000001</v>
      </c>
      <c r="B750">
        <v>1</v>
      </c>
      <c r="C750">
        <v>1</v>
      </c>
    </row>
    <row r="751" spans="1:3" x14ac:dyDescent="0.3">
      <c r="A751">
        <v>0.14000000000000001</v>
      </c>
      <c r="B751">
        <v>1</v>
      </c>
      <c r="C751">
        <v>1</v>
      </c>
    </row>
    <row r="752" spans="1:3" x14ac:dyDescent="0.3">
      <c r="A752">
        <v>0.14000000000000001</v>
      </c>
      <c r="B752">
        <v>1</v>
      </c>
      <c r="C752">
        <v>1</v>
      </c>
    </row>
    <row r="753" spans="1:3" x14ac:dyDescent="0.3">
      <c r="A753">
        <v>0.14000000000000001</v>
      </c>
      <c r="B753">
        <v>1</v>
      </c>
      <c r="C753">
        <v>1</v>
      </c>
    </row>
    <row r="754" spans="1:3" x14ac:dyDescent="0.3">
      <c r="A754">
        <v>0.14000000000000001</v>
      </c>
      <c r="B754">
        <v>1</v>
      </c>
      <c r="C754">
        <v>1</v>
      </c>
    </row>
    <row r="755" spans="1:3" x14ac:dyDescent="0.3">
      <c r="A755">
        <v>0.14000000000000001</v>
      </c>
      <c r="B755">
        <v>1</v>
      </c>
      <c r="C755">
        <v>1</v>
      </c>
    </row>
    <row r="756" spans="1:3" x14ac:dyDescent="0.3">
      <c r="A756">
        <v>0.14000000000000001</v>
      </c>
      <c r="B756">
        <v>1</v>
      </c>
      <c r="C756">
        <v>1</v>
      </c>
    </row>
    <row r="757" spans="1:3" x14ac:dyDescent="0.3">
      <c r="A757">
        <v>0.14000000000000001</v>
      </c>
      <c r="B757">
        <v>1</v>
      </c>
      <c r="C757">
        <v>1</v>
      </c>
    </row>
    <row r="758" spans="1:3" x14ac:dyDescent="0.3">
      <c r="A758">
        <v>0.14000000000000001</v>
      </c>
      <c r="B758">
        <v>1</v>
      </c>
      <c r="C758">
        <v>1</v>
      </c>
    </row>
    <row r="759" spans="1:3" x14ac:dyDescent="0.3">
      <c r="A759">
        <v>0.14000000000000001</v>
      </c>
      <c r="B759">
        <v>1</v>
      </c>
      <c r="C759">
        <v>1</v>
      </c>
    </row>
    <row r="760" spans="1:3" x14ac:dyDescent="0.3">
      <c r="A760">
        <v>0.14000000000000001</v>
      </c>
      <c r="B760">
        <v>1</v>
      </c>
      <c r="C760">
        <v>1</v>
      </c>
    </row>
    <row r="761" spans="1:3" x14ac:dyDescent="0.3">
      <c r="A761">
        <v>0.14000000000000001</v>
      </c>
      <c r="B761">
        <v>1</v>
      </c>
      <c r="C761">
        <v>1</v>
      </c>
    </row>
    <row r="762" spans="1:3" x14ac:dyDescent="0.3">
      <c r="A762">
        <v>0.14000000000000001</v>
      </c>
      <c r="B762">
        <v>1</v>
      </c>
      <c r="C762">
        <v>1</v>
      </c>
    </row>
    <row r="763" spans="1:3" x14ac:dyDescent="0.3">
      <c r="A763">
        <v>0.14000000000000001</v>
      </c>
      <c r="B763">
        <v>1</v>
      </c>
      <c r="C763">
        <v>1</v>
      </c>
    </row>
    <row r="764" spans="1:3" x14ac:dyDescent="0.3">
      <c r="A764">
        <v>0.14000000000000001</v>
      </c>
      <c r="B764">
        <v>1</v>
      </c>
      <c r="C764">
        <v>1</v>
      </c>
    </row>
    <row r="765" spans="1:3" x14ac:dyDescent="0.3">
      <c r="A765">
        <v>0.14000000000000001</v>
      </c>
      <c r="B765">
        <v>1</v>
      </c>
      <c r="C765">
        <v>1</v>
      </c>
    </row>
    <row r="766" spans="1:3" x14ac:dyDescent="0.3">
      <c r="A766">
        <v>0.14000000000000001</v>
      </c>
      <c r="B766">
        <v>1</v>
      </c>
      <c r="C766">
        <v>1</v>
      </c>
    </row>
    <row r="767" spans="1:3" x14ac:dyDescent="0.3">
      <c r="A767">
        <v>0.14000000000000001</v>
      </c>
      <c r="B767">
        <v>1</v>
      </c>
      <c r="C767">
        <v>1</v>
      </c>
    </row>
    <row r="768" spans="1:3" x14ac:dyDescent="0.3">
      <c r="A768">
        <v>0.14000000000000001</v>
      </c>
      <c r="B768">
        <v>1</v>
      </c>
      <c r="C768">
        <v>1</v>
      </c>
    </row>
    <row r="769" spans="1:3" x14ac:dyDescent="0.3">
      <c r="A769">
        <v>0.14000000000000001</v>
      </c>
      <c r="B769">
        <v>1</v>
      </c>
      <c r="C769">
        <v>1</v>
      </c>
    </row>
    <row r="770" spans="1:3" x14ac:dyDescent="0.3">
      <c r="A770">
        <v>0.14000000000000001</v>
      </c>
      <c r="B770">
        <v>1</v>
      </c>
      <c r="C770">
        <v>1</v>
      </c>
    </row>
    <row r="771" spans="1:3" x14ac:dyDescent="0.3">
      <c r="A771">
        <v>0.14000000000000001</v>
      </c>
      <c r="B771">
        <v>1</v>
      </c>
      <c r="C771">
        <v>1</v>
      </c>
    </row>
    <row r="772" spans="1:3" x14ac:dyDescent="0.3">
      <c r="A772">
        <v>0.14000000000000001</v>
      </c>
      <c r="B772">
        <v>1</v>
      </c>
      <c r="C772">
        <v>1</v>
      </c>
    </row>
    <row r="773" spans="1:3" x14ac:dyDescent="0.3">
      <c r="A773">
        <v>0.15</v>
      </c>
      <c r="B773">
        <v>1</v>
      </c>
      <c r="C773">
        <v>1</v>
      </c>
    </row>
    <row r="774" spans="1:3" x14ac:dyDescent="0.3">
      <c r="A774">
        <v>0.15</v>
      </c>
      <c r="B774">
        <v>1</v>
      </c>
      <c r="C774">
        <v>1</v>
      </c>
    </row>
    <row r="775" spans="1:3" x14ac:dyDescent="0.3">
      <c r="A775">
        <v>0.15</v>
      </c>
      <c r="B775">
        <v>1</v>
      </c>
      <c r="C775">
        <v>1</v>
      </c>
    </row>
    <row r="776" spans="1:3" x14ac:dyDescent="0.3">
      <c r="A776">
        <v>0.15</v>
      </c>
      <c r="B776">
        <v>1</v>
      </c>
      <c r="C776">
        <v>1</v>
      </c>
    </row>
    <row r="777" spans="1:3" x14ac:dyDescent="0.3">
      <c r="A777">
        <v>0.15</v>
      </c>
      <c r="B777">
        <v>1</v>
      </c>
      <c r="C777">
        <v>1</v>
      </c>
    </row>
    <row r="778" spans="1:3" x14ac:dyDescent="0.3">
      <c r="A778">
        <v>0.15</v>
      </c>
      <c r="B778">
        <v>1</v>
      </c>
      <c r="C778">
        <v>1</v>
      </c>
    </row>
    <row r="779" spans="1:3" x14ac:dyDescent="0.3">
      <c r="A779">
        <v>0.15</v>
      </c>
      <c r="B779">
        <v>1</v>
      </c>
      <c r="C779">
        <v>1</v>
      </c>
    </row>
    <row r="780" spans="1:3" x14ac:dyDescent="0.3">
      <c r="A780">
        <v>0.15</v>
      </c>
      <c r="B780">
        <v>1</v>
      </c>
      <c r="C780">
        <v>1</v>
      </c>
    </row>
    <row r="781" spans="1:3" x14ac:dyDescent="0.3">
      <c r="A781">
        <v>0.15</v>
      </c>
      <c r="B781">
        <v>1</v>
      </c>
      <c r="C781">
        <v>1</v>
      </c>
    </row>
    <row r="782" spans="1:3" x14ac:dyDescent="0.3">
      <c r="A782">
        <v>0.15</v>
      </c>
      <c r="B782">
        <v>1</v>
      </c>
      <c r="C782">
        <v>1</v>
      </c>
    </row>
    <row r="783" spans="1:3" x14ac:dyDescent="0.3">
      <c r="A783">
        <v>0.15</v>
      </c>
      <c r="B783">
        <v>1</v>
      </c>
      <c r="C783">
        <v>1</v>
      </c>
    </row>
    <row r="784" spans="1:3" x14ac:dyDescent="0.3">
      <c r="A784">
        <v>0.15</v>
      </c>
      <c r="B784">
        <v>1</v>
      </c>
      <c r="C784">
        <v>1</v>
      </c>
    </row>
    <row r="785" spans="1:3" x14ac:dyDescent="0.3">
      <c r="A785">
        <v>0.15</v>
      </c>
      <c r="B785">
        <v>1</v>
      </c>
      <c r="C785">
        <v>1</v>
      </c>
    </row>
    <row r="786" spans="1:3" x14ac:dyDescent="0.3">
      <c r="A786">
        <v>0.15</v>
      </c>
      <c r="B786">
        <v>1</v>
      </c>
      <c r="C786">
        <v>1</v>
      </c>
    </row>
    <row r="787" spans="1:3" x14ac:dyDescent="0.3">
      <c r="A787">
        <v>0.15</v>
      </c>
      <c r="B787">
        <v>1</v>
      </c>
      <c r="C787">
        <v>1</v>
      </c>
    </row>
    <row r="788" spans="1:3" x14ac:dyDescent="0.3">
      <c r="A788">
        <v>0.15</v>
      </c>
      <c r="B788">
        <v>1</v>
      </c>
      <c r="C788">
        <v>1</v>
      </c>
    </row>
    <row r="789" spans="1:3" x14ac:dyDescent="0.3">
      <c r="A789">
        <v>0.15</v>
      </c>
      <c r="B789">
        <v>1</v>
      </c>
      <c r="C789">
        <v>1</v>
      </c>
    </row>
    <row r="790" spans="1:3" x14ac:dyDescent="0.3">
      <c r="A790">
        <v>0.15</v>
      </c>
      <c r="B790">
        <v>1</v>
      </c>
      <c r="C790">
        <v>1</v>
      </c>
    </row>
    <row r="791" spans="1:3" x14ac:dyDescent="0.3">
      <c r="A791">
        <v>0.15</v>
      </c>
      <c r="B791">
        <v>1</v>
      </c>
      <c r="C791">
        <v>1</v>
      </c>
    </row>
    <row r="792" spans="1:3" x14ac:dyDescent="0.3">
      <c r="A792">
        <v>0.15</v>
      </c>
      <c r="B792">
        <v>1</v>
      </c>
      <c r="C792">
        <v>1</v>
      </c>
    </row>
    <row r="793" spans="1:3" x14ac:dyDescent="0.3">
      <c r="A793">
        <v>0.15</v>
      </c>
      <c r="B793">
        <v>1</v>
      </c>
      <c r="C793">
        <v>1</v>
      </c>
    </row>
    <row r="794" spans="1:3" x14ac:dyDescent="0.3">
      <c r="A794">
        <v>0.15</v>
      </c>
      <c r="B794">
        <v>1</v>
      </c>
      <c r="C794">
        <v>1</v>
      </c>
    </row>
    <row r="795" spans="1:3" x14ac:dyDescent="0.3">
      <c r="A795">
        <v>0.15</v>
      </c>
      <c r="B795">
        <v>1</v>
      </c>
      <c r="C795">
        <v>1</v>
      </c>
    </row>
    <row r="796" spans="1:3" x14ac:dyDescent="0.3">
      <c r="A796">
        <v>0.15</v>
      </c>
      <c r="B796">
        <v>1</v>
      </c>
      <c r="C796">
        <v>1</v>
      </c>
    </row>
    <row r="797" spans="1:3" x14ac:dyDescent="0.3">
      <c r="A797">
        <v>0.15</v>
      </c>
      <c r="B797">
        <v>1</v>
      </c>
      <c r="C797">
        <v>1</v>
      </c>
    </row>
    <row r="798" spans="1:3" x14ac:dyDescent="0.3">
      <c r="A798">
        <v>0.15</v>
      </c>
      <c r="B798">
        <v>1</v>
      </c>
      <c r="C798">
        <v>1</v>
      </c>
    </row>
    <row r="799" spans="1:3" x14ac:dyDescent="0.3">
      <c r="A799">
        <v>0.15</v>
      </c>
      <c r="B799">
        <v>1</v>
      </c>
      <c r="C799">
        <v>1</v>
      </c>
    </row>
    <row r="800" spans="1:3" x14ac:dyDescent="0.3">
      <c r="A800">
        <v>0.15</v>
      </c>
      <c r="B800">
        <v>1</v>
      </c>
      <c r="C800">
        <v>1</v>
      </c>
    </row>
    <row r="801" spans="1:3" x14ac:dyDescent="0.3">
      <c r="A801">
        <v>0.15</v>
      </c>
      <c r="B801">
        <v>1</v>
      </c>
      <c r="C801">
        <v>1</v>
      </c>
    </row>
    <row r="802" spans="1:3" x14ac:dyDescent="0.3">
      <c r="A802">
        <v>0.15</v>
      </c>
      <c r="B802">
        <v>1</v>
      </c>
      <c r="C802">
        <v>1</v>
      </c>
    </row>
    <row r="803" spans="1:3" x14ac:dyDescent="0.3">
      <c r="A803">
        <v>0.15</v>
      </c>
      <c r="B803">
        <v>1</v>
      </c>
      <c r="C803">
        <v>1</v>
      </c>
    </row>
    <row r="804" spans="1:3" x14ac:dyDescent="0.3">
      <c r="A804">
        <v>0.15</v>
      </c>
      <c r="B804">
        <v>1</v>
      </c>
      <c r="C804">
        <v>1</v>
      </c>
    </row>
    <row r="805" spans="1:3" x14ac:dyDescent="0.3">
      <c r="A805">
        <v>0.15</v>
      </c>
      <c r="B805">
        <v>1</v>
      </c>
      <c r="C805">
        <v>1</v>
      </c>
    </row>
    <row r="806" spans="1:3" x14ac:dyDescent="0.3">
      <c r="A806">
        <v>0.15</v>
      </c>
      <c r="B806">
        <v>1</v>
      </c>
      <c r="C806">
        <v>1</v>
      </c>
    </row>
    <row r="807" spans="1:3" x14ac:dyDescent="0.3">
      <c r="A807">
        <v>0.15</v>
      </c>
      <c r="B807">
        <v>1</v>
      </c>
      <c r="C807">
        <v>1</v>
      </c>
    </row>
    <row r="808" spans="1:3" x14ac:dyDescent="0.3">
      <c r="A808">
        <v>0.15</v>
      </c>
      <c r="B808">
        <v>1</v>
      </c>
      <c r="C808">
        <v>1</v>
      </c>
    </row>
    <row r="809" spans="1:3" x14ac:dyDescent="0.3">
      <c r="A809">
        <v>0.15</v>
      </c>
      <c r="B809">
        <v>1</v>
      </c>
      <c r="C809">
        <v>1</v>
      </c>
    </row>
    <row r="810" spans="1:3" x14ac:dyDescent="0.3">
      <c r="A810">
        <v>0.15</v>
      </c>
      <c r="B810">
        <v>1</v>
      </c>
      <c r="C810">
        <v>1</v>
      </c>
    </row>
    <row r="811" spans="1:3" x14ac:dyDescent="0.3">
      <c r="A811">
        <v>0.15</v>
      </c>
      <c r="B811">
        <v>1</v>
      </c>
      <c r="C811">
        <v>1</v>
      </c>
    </row>
    <row r="812" spans="1:3" x14ac:dyDescent="0.3">
      <c r="A812">
        <v>0.15</v>
      </c>
      <c r="B812">
        <v>1</v>
      </c>
      <c r="C812">
        <v>1</v>
      </c>
    </row>
    <row r="813" spans="1:3" x14ac:dyDescent="0.3">
      <c r="A813">
        <v>0.15</v>
      </c>
      <c r="B813">
        <v>1</v>
      </c>
      <c r="C813">
        <v>1</v>
      </c>
    </row>
    <row r="814" spans="1:3" x14ac:dyDescent="0.3">
      <c r="A814">
        <v>0.15</v>
      </c>
      <c r="B814">
        <v>1</v>
      </c>
      <c r="C814">
        <v>1</v>
      </c>
    </row>
    <row r="815" spans="1:3" x14ac:dyDescent="0.3">
      <c r="A815">
        <v>0.15</v>
      </c>
      <c r="B815">
        <v>1</v>
      </c>
      <c r="C815">
        <v>1</v>
      </c>
    </row>
    <row r="816" spans="1:3" x14ac:dyDescent="0.3">
      <c r="A816">
        <v>0.15</v>
      </c>
      <c r="B816">
        <v>1</v>
      </c>
      <c r="C816">
        <v>1</v>
      </c>
    </row>
    <row r="817" spans="1:3" x14ac:dyDescent="0.3">
      <c r="A817">
        <v>0.15</v>
      </c>
      <c r="B817">
        <v>1</v>
      </c>
      <c r="C817">
        <v>1</v>
      </c>
    </row>
    <row r="818" spans="1:3" x14ac:dyDescent="0.3">
      <c r="A818">
        <v>0.15</v>
      </c>
      <c r="B818">
        <v>1</v>
      </c>
      <c r="C818">
        <v>1</v>
      </c>
    </row>
    <row r="819" spans="1:3" x14ac:dyDescent="0.3">
      <c r="A819">
        <v>0.16</v>
      </c>
      <c r="B819">
        <v>1</v>
      </c>
      <c r="C819">
        <v>1</v>
      </c>
    </row>
    <row r="820" spans="1:3" x14ac:dyDescent="0.3">
      <c r="A820">
        <v>0.16</v>
      </c>
      <c r="B820">
        <v>1</v>
      </c>
      <c r="C820">
        <v>1</v>
      </c>
    </row>
    <row r="821" spans="1:3" x14ac:dyDescent="0.3">
      <c r="A821">
        <v>0.16</v>
      </c>
      <c r="B821">
        <v>1</v>
      </c>
      <c r="C821">
        <v>1</v>
      </c>
    </row>
    <row r="822" spans="1:3" x14ac:dyDescent="0.3">
      <c r="A822">
        <v>0.16</v>
      </c>
      <c r="B822">
        <v>1</v>
      </c>
      <c r="C822">
        <v>1</v>
      </c>
    </row>
    <row r="823" spans="1:3" x14ac:dyDescent="0.3">
      <c r="A823">
        <v>0.16</v>
      </c>
      <c r="B823">
        <v>1</v>
      </c>
      <c r="C823">
        <v>1</v>
      </c>
    </row>
    <row r="824" spans="1:3" x14ac:dyDescent="0.3">
      <c r="A824">
        <v>0.16</v>
      </c>
      <c r="B824">
        <v>1</v>
      </c>
      <c r="C824">
        <v>1</v>
      </c>
    </row>
    <row r="825" spans="1:3" x14ac:dyDescent="0.3">
      <c r="A825">
        <v>0.16</v>
      </c>
      <c r="B825">
        <v>1</v>
      </c>
      <c r="C825">
        <v>1</v>
      </c>
    </row>
    <row r="826" spans="1:3" x14ac:dyDescent="0.3">
      <c r="A826">
        <v>0.16</v>
      </c>
      <c r="B826">
        <v>1</v>
      </c>
      <c r="C826">
        <v>1</v>
      </c>
    </row>
    <row r="827" spans="1:3" x14ac:dyDescent="0.3">
      <c r="A827">
        <v>0.16</v>
      </c>
      <c r="B827">
        <v>1</v>
      </c>
      <c r="C827">
        <v>1</v>
      </c>
    </row>
    <row r="828" spans="1:3" x14ac:dyDescent="0.3">
      <c r="A828">
        <v>0.16</v>
      </c>
      <c r="B828">
        <v>1</v>
      </c>
      <c r="C828">
        <v>1</v>
      </c>
    </row>
    <row r="829" spans="1:3" x14ac:dyDescent="0.3">
      <c r="A829">
        <v>0.16</v>
      </c>
      <c r="B829">
        <v>1</v>
      </c>
      <c r="C829">
        <v>1</v>
      </c>
    </row>
    <row r="830" spans="1:3" x14ac:dyDescent="0.3">
      <c r="A830">
        <v>0.16</v>
      </c>
      <c r="B830">
        <v>1</v>
      </c>
      <c r="C830">
        <v>1</v>
      </c>
    </row>
    <row r="831" spans="1:3" x14ac:dyDescent="0.3">
      <c r="A831">
        <v>0.16</v>
      </c>
      <c r="B831">
        <v>1</v>
      </c>
      <c r="C831">
        <v>1</v>
      </c>
    </row>
    <row r="832" spans="1:3" x14ac:dyDescent="0.3">
      <c r="A832">
        <v>0.16</v>
      </c>
      <c r="B832">
        <v>1</v>
      </c>
      <c r="C832">
        <v>1</v>
      </c>
    </row>
    <row r="833" spans="1:3" x14ac:dyDescent="0.3">
      <c r="A833">
        <v>0.16</v>
      </c>
      <c r="B833">
        <v>1</v>
      </c>
      <c r="C833">
        <v>1</v>
      </c>
    </row>
    <row r="834" spans="1:3" x14ac:dyDescent="0.3">
      <c r="A834">
        <v>0.16</v>
      </c>
      <c r="B834">
        <v>1</v>
      </c>
      <c r="C834">
        <v>1</v>
      </c>
    </row>
    <row r="835" spans="1:3" x14ac:dyDescent="0.3">
      <c r="A835">
        <v>0.16</v>
      </c>
      <c r="B835">
        <v>1</v>
      </c>
      <c r="C835">
        <v>1</v>
      </c>
    </row>
    <row r="836" spans="1:3" x14ac:dyDescent="0.3">
      <c r="A836">
        <v>0.16</v>
      </c>
      <c r="B836">
        <v>1</v>
      </c>
      <c r="C836">
        <v>1</v>
      </c>
    </row>
    <row r="837" spans="1:3" x14ac:dyDescent="0.3">
      <c r="A837">
        <v>0.16</v>
      </c>
      <c r="B837">
        <v>1</v>
      </c>
      <c r="C837">
        <v>1</v>
      </c>
    </row>
    <row r="838" spans="1:3" x14ac:dyDescent="0.3">
      <c r="A838">
        <v>0.16</v>
      </c>
      <c r="B838">
        <v>1</v>
      </c>
      <c r="C838">
        <v>1</v>
      </c>
    </row>
    <row r="839" spans="1:3" x14ac:dyDescent="0.3">
      <c r="A839">
        <v>0.16</v>
      </c>
      <c r="B839">
        <v>1</v>
      </c>
      <c r="C839">
        <v>1</v>
      </c>
    </row>
    <row r="840" spans="1:3" x14ac:dyDescent="0.3">
      <c r="A840">
        <v>0.16</v>
      </c>
      <c r="B840">
        <v>1</v>
      </c>
      <c r="C840">
        <v>1</v>
      </c>
    </row>
    <row r="841" spans="1:3" x14ac:dyDescent="0.3">
      <c r="A841">
        <v>0.16</v>
      </c>
      <c r="B841">
        <v>1</v>
      </c>
      <c r="C841">
        <v>1</v>
      </c>
    </row>
    <row r="842" spans="1:3" x14ac:dyDescent="0.3">
      <c r="A842">
        <v>0.16</v>
      </c>
      <c r="B842">
        <v>1</v>
      </c>
      <c r="C842">
        <v>1</v>
      </c>
    </row>
    <row r="843" spans="1:3" x14ac:dyDescent="0.3">
      <c r="A843">
        <v>0.16</v>
      </c>
      <c r="B843">
        <v>1</v>
      </c>
      <c r="C843">
        <v>1</v>
      </c>
    </row>
    <row r="844" spans="1:3" x14ac:dyDescent="0.3">
      <c r="A844">
        <v>0.16</v>
      </c>
      <c r="B844">
        <v>1</v>
      </c>
      <c r="C844">
        <v>1</v>
      </c>
    </row>
    <row r="845" spans="1:3" x14ac:dyDescent="0.3">
      <c r="A845">
        <v>0.16</v>
      </c>
      <c r="B845">
        <v>1</v>
      </c>
      <c r="C845">
        <v>1</v>
      </c>
    </row>
    <row r="846" spans="1:3" x14ac:dyDescent="0.3">
      <c r="A846">
        <v>0.16</v>
      </c>
      <c r="B846">
        <v>1</v>
      </c>
      <c r="C846">
        <v>1</v>
      </c>
    </row>
    <row r="847" spans="1:3" x14ac:dyDescent="0.3">
      <c r="A847">
        <v>0.16</v>
      </c>
      <c r="B847">
        <v>1</v>
      </c>
      <c r="C847">
        <v>1</v>
      </c>
    </row>
    <row r="848" spans="1:3" x14ac:dyDescent="0.3">
      <c r="A848">
        <v>0.16</v>
      </c>
      <c r="B848">
        <v>1</v>
      </c>
      <c r="C848">
        <v>1</v>
      </c>
    </row>
    <row r="849" spans="1:3" x14ac:dyDescent="0.3">
      <c r="A849">
        <v>0.16</v>
      </c>
      <c r="B849">
        <v>1</v>
      </c>
      <c r="C849">
        <v>1</v>
      </c>
    </row>
    <row r="850" spans="1:3" x14ac:dyDescent="0.3">
      <c r="A850">
        <v>0.16</v>
      </c>
      <c r="B850">
        <v>1</v>
      </c>
      <c r="C850">
        <v>1</v>
      </c>
    </row>
    <row r="851" spans="1:3" x14ac:dyDescent="0.3">
      <c r="A851">
        <v>0.16</v>
      </c>
      <c r="B851">
        <v>1</v>
      </c>
      <c r="C851">
        <v>1</v>
      </c>
    </row>
    <row r="852" spans="1:3" x14ac:dyDescent="0.3">
      <c r="A852">
        <v>0.16</v>
      </c>
      <c r="B852">
        <v>1</v>
      </c>
      <c r="C852">
        <v>1</v>
      </c>
    </row>
    <row r="853" spans="1:3" x14ac:dyDescent="0.3">
      <c r="A853">
        <v>0.16</v>
      </c>
      <c r="B853">
        <v>1</v>
      </c>
      <c r="C853">
        <v>1</v>
      </c>
    </row>
    <row r="854" spans="1:3" x14ac:dyDescent="0.3">
      <c r="A854">
        <v>0.16</v>
      </c>
      <c r="B854">
        <v>1</v>
      </c>
      <c r="C854">
        <v>1</v>
      </c>
    </row>
    <row r="855" spans="1:3" x14ac:dyDescent="0.3">
      <c r="A855">
        <v>0.16</v>
      </c>
      <c r="B855">
        <v>1</v>
      </c>
      <c r="C855">
        <v>1</v>
      </c>
    </row>
    <row r="856" spans="1:3" x14ac:dyDescent="0.3">
      <c r="A856">
        <v>0.16</v>
      </c>
      <c r="B856">
        <v>1</v>
      </c>
      <c r="C856">
        <v>1</v>
      </c>
    </row>
    <row r="857" spans="1:3" x14ac:dyDescent="0.3">
      <c r="A857">
        <v>0.16</v>
      </c>
      <c r="B857">
        <v>1</v>
      </c>
      <c r="C857">
        <v>1</v>
      </c>
    </row>
    <row r="858" spans="1:3" x14ac:dyDescent="0.3">
      <c r="A858">
        <v>0.16</v>
      </c>
      <c r="B858">
        <v>1</v>
      </c>
      <c r="C858">
        <v>1</v>
      </c>
    </row>
    <row r="859" spans="1:3" x14ac:dyDescent="0.3">
      <c r="A859">
        <v>0.16</v>
      </c>
      <c r="B859">
        <v>1</v>
      </c>
      <c r="C859">
        <v>1</v>
      </c>
    </row>
    <row r="860" spans="1:3" x14ac:dyDescent="0.3">
      <c r="A860">
        <v>0.16</v>
      </c>
      <c r="B860">
        <v>1</v>
      </c>
      <c r="C860">
        <v>1</v>
      </c>
    </row>
    <row r="861" spans="1:3" x14ac:dyDescent="0.3">
      <c r="A861">
        <v>0.16</v>
      </c>
      <c r="B861">
        <v>1</v>
      </c>
      <c r="C861">
        <v>1</v>
      </c>
    </row>
    <row r="862" spans="1:3" x14ac:dyDescent="0.3">
      <c r="A862">
        <v>0.16</v>
      </c>
      <c r="B862">
        <v>1</v>
      </c>
      <c r="C862">
        <v>1</v>
      </c>
    </row>
    <row r="863" spans="1:3" x14ac:dyDescent="0.3">
      <c r="A863">
        <v>0.16</v>
      </c>
      <c r="B863">
        <v>1</v>
      </c>
      <c r="C863">
        <v>1</v>
      </c>
    </row>
    <row r="864" spans="1:3" x14ac:dyDescent="0.3">
      <c r="A864">
        <v>0.16</v>
      </c>
      <c r="B864">
        <v>1</v>
      </c>
      <c r="C864">
        <v>1</v>
      </c>
    </row>
    <row r="865" spans="1:3" x14ac:dyDescent="0.3">
      <c r="A865">
        <v>0.16</v>
      </c>
      <c r="B865">
        <v>1</v>
      </c>
      <c r="C865">
        <v>1</v>
      </c>
    </row>
    <row r="866" spans="1:3" x14ac:dyDescent="0.3">
      <c r="A866">
        <v>0.16</v>
      </c>
      <c r="B866">
        <v>1</v>
      </c>
      <c r="C866">
        <v>1</v>
      </c>
    </row>
    <row r="867" spans="1:3" x14ac:dyDescent="0.3">
      <c r="A867">
        <v>0.16</v>
      </c>
      <c r="B867">
        <v>1</v>
      </c>
      <c r="C867">
        <v>1</v>
      </c>
    </row>
    <row r="868" spans="1:3" x14ac:dyDescent="0.3">
      <c r="A868">
        <v>0.17</v>
      </c>
      <c r="B868">
        <v>1</v>
      </c>
      <c r="C868">
        <v>1</v>
      </c>
    </row>
    <row r="869" spans="1:3" x14ac:dyDescent="0.3">
      <c r="A869">
        <v>0.17</v>
      </c>
      <c r="B869">
        <v>1</v>
      </c>
      <c r="C869">
        <v>1</v>
      </c>
    </row>
    <row r="870" spans="1:3" x14ac:dyDescent="0.3">
      <c r="A870">
        <v>0.17</v>
      </c>
      <c r="B870">
        <v>1</v>
      </c>
      <c r="C870">
        <v>1</v>
      </c>
    </row>
    <row r="871" spans="1:3" x14ac:dyDescent="0.3">
      <c r="A871">
        <v>0.17</v>
      </c>
      <c r="B871">
        <v>1</v>
      </c>
      <c r="C871">
        <v>1</v>
      </c>
    </row>
    <row r="872" spans="1:3" x14ac:dyDescent="0.3">
      <c r="A872">
        <v>0.17</v>
      </c>
      <c r="B872">
        <v>1</v>
      </c>
      <c r="C872">
        <v>1</v>
      </c>
    </row>
    <row r="873" spans="1:3" x14ac:dyDescent="0.3">
      <c r="A873">
        <v>0.17</v>
      </c>
      <c r="B873">
        <v>1</v>
      </c>
      <c r="C873">
        <v>1</v>
      </c>
    </row>
    <row r="874" spans="1:3" x14ac:dyDescent="0.3">
      <c r="A874">
        <v>0.17</v>
      </c>
      <c r="B874">
        <v>1</v>
      </c>
      <c r="C874">
        <v>1</v>
      </c>
    </row>
    <row r="875" spans="1:3" x14ac:dyDescent="0.3">
      <c r="A875">
        <v>0.17</v>
      </c>
      <c r="B875">
        <v>1</v>
      </c>
      <c r="C875">
        <v>1</v>
      </c>
    </row>
    <row r="876" spans="1:3" x14ac:dyDescent="0.3">
      <c r="A876">
        <v>0.17</v>
      </c>
      <c r="B876">
        <v>1</v>
      </c>
      <c r="C876">
        <v>1</v>
      </c>
    </row>
    <row r="877" spans="1:3" x14ac:dyDescent="0.3">
      <c r="A877">
        <v>0.17</v>
      </c>
      <c r="B877">
        <v>1</v>
      </c>
      <c r="C877">
        <v>1</v>
      </c>
    </row>
    <row r="878" spans="1:3" x14ac:dyDescent="0.3">
      <c r="A878">
        <v>0.17</v>
      </c>
      <c r="B878">
        <v>1</v>
      </c>
      <c r="C878">
        <v>1</v>
      </c>
    </row>
    <row r="879" spans="1:3" x14ac:dyDescent="0.3">
      <c r="A879">
        <v>0.17</v>
      </c>
      <c r="B879">
        <v>1</v>
      </c>
      <c r="C879">
        <v>1</v>
      </c>
    </row>
    <row r="880" spans="1:3" x14ac:dyDescent="0.3">
      <c r="A880">
        <v>0.17</v>
      </c>
      <c r="B880">
        <v>1</v>
      </c>
      <c r="C880">
        <v>1</v>
      </c>
    </row>
    <row r="881" spans="1:3" x14ac:dyDescent="0.3">
      <c r="A881">
        <v>0.17</v>
      </c>
      <c r="B881">
        <v>1</v>
      </c>
      <c r="C881">
        <v>1</v>
      </c>
    </row>
    <row r="882" spans="1:3" x14ac:dyDescent="0.3">
      <c r="A882">
        <v>0.17</v>
      </c>
      <c r="B882">
        <v>1</v>
      </c>
      <c r="C882">
        <v>1</v>
      </c>
    </row>
    <row r="883" spans="1:3" x14ac:dyDescent="0.3">
      <c r="A883">
        <v>0.17</v>
      </c>
      <c r="B883">
        <v>1</v>
      </c>
      <c r="C883">
        <v>1</v>
      </c>
    </row>
    <row r="884" spans="1:3" x14ac:dyDescent="0.3">
      <c r="A884">
        <v>0.17</v>
      </c>
      <c r="B884">
        <v>1</v>
      </c>
      <c r="C884">
        <v>1</v>
      </c>
    </row>
    <row r="885" spans="1:3" x14ac:dyDescent="0.3">
      <c r="A885">
        <v>0.17</v>
      </c>
      <c r="B885">
        <v>1</v>
      </c>
      <c r="C885">
        <v>1</v>
      </c>
    </row>
    <row r="886" spans="1:3" x14ac:dyDescent="0.3">
      <c r="A886">
        <v>0.17</v>
      </c>
      <c r="B886">
        <v>1</v>
      </c>
      <c r="C886">
        <v>1</v>
      </c>
    </row>
    <row r="887" spans="1:3" x14ac:dyDescent="0.3">
      <c r="A887">
        <v>0.17</v>
      </c>
      <c r="B887">
        <v>1</v>
      </c>
      <c r="C887">
        <v>1</v>
      </c>
    </row>
    <row r="888" spans="1:3" x14ac:dyDescent="0.3">
      <c r="A888">
        <v>0.17</v>
      </c>
      <c r="B888">
        <v>1</v>
      </c>
      <c r="C888">
        <v>1</v>
      </c>
    </row>
    <row r="889" spans="1:3" x14ac:dyDescent="0.3">
      <c r="A889">
        <v>0.17</v>
      </c>
      <c r="B889">
        <v>1</v>
      </c>
      <c r="C889">
        <v>1</v>
      </c>
    </row>
    <row r="890" spans="1:3" x14ac:dyDescent="0.3">
      <c r="A890">
        <v>0.17</v>
      </c>
      <c r="B890">
        <v>1</v>
      </c>
      <c r="C890">
        <v>1</v>
      </c>
    </row>
    <row r="891" spans="1:3" x14ac:dyDescent="0.3">
      <c r="A891">
        <v>0.17</v>
      </c>
      <c r="B891">
        <v>1</v>
      </c>
      <c r="C891">
        <v>1</v>
      </c>
    </row>
    <row r="892" spans="1:3" x14ac:dyDescent="0.3">
      <c r="A892">
        <v>0.17</v>
      </c>
      <c r="B892">
        <v>1</v>
      </c>
      <c r="C892">
        <v>1</v>
      </c>
    </row>
    <row r="893" spans="1:3" x14ac:dyDescent="0.3">
      <c r="A893">
        <v>0.17</v>
      </c>
      <c r="B893">
        <v>1</v>
      </c>
      <c r="C893">
        <v>1</v>
      </c>
    </row>
    <row r="894" spans="1:3" x14ac:dyDescent="0.3">
      <c r="A894">
        <v>0.17</v>
      </c>
      <c r="B894">
        <v>1</v>
      </c>
      <c r="C894">
        <v>1</v>
      </c>
    </row>
    <row r="895" spans="1:3" x14ac:dyDescent="0.3">
      <c r="A895">
        <v>0.17</v>
      </c>
      <c r="B895">
        <v>1</v>
      </c>
      <c r="C895">
        <v>1</v>
      </c>
    </row>
    <row r="896" spans="1:3" x14ac:dyDescent="0.3">
      <c r="A896">
        <v>0.17</v>
      </c>
      <c r="B896">
        <v>1</v>
      </c>
      <c r="C896">
        <v>1</v>
      </c>
    </row>
    <row r="897" spans="1:3" x14ac:dyDescent="0.3">
      <c r="A897">
        <v>0.17</v>
      </c>
      <c r="B897">
        <v>1</v>
      </c>
      <c r="C897">
        <v>1</v>
      </c>
    </row>
    <row r="898" spans="1:3" x14ac:dyDescent="0.3">
      <c r="A898">
        <v>0.17</v>
      </c>
      <c r="B898">
        <v>1</v>
      </c>
      <c r="C898">
        <v>1</v>
      </c>
    </row>
    <row r="899" spans="1:3" x14ac:dyDescent="0.3">
      <c r="A899">
        <v>0.17</v>
      </c>
      <c r="B899">
        <v>1</v>
      </c>
      <c r="C899">
        <v>1</v>
      </c>
    </row>
    <row r="900" spans="1:3" x14ac:dyDescent="0.3">
      <c r="A900">
        <v>0.17</v>
      </c>
      <c r="B900">
        <v>1</v>
      </c>
      <c r="C900">
        <v>1</v>
      </c>
    </row>
    <row r="901" spans="1:3" x14ac:dyDescent="0.3">
      <c r="A901">
        <v>0.17</v>
      </c>
      <c r="B901">
        <v>1</v>
      </c>
      <c r="C901">
        <v>1</v>
      </c>
    </row>
    <row r="902" spans="1:3" x14ac:dyDescent="0.3">
      <c r="A902">
        <v>0.17</v>
      </c>
      <c r="B902">
        <v>1</v>
      </c>
      <c r="C902">
        <v>1</v>
      </c>
    </row>
    <row r="903" spans="1:3" x14ac:dyDescent="0.3">
      <c r="A903">
        <v>0.17</v>
      </c>
      <c r="B903">
        <v>1</v>
      </c>
      <c r="C903">
        <v>1</v>
      </c>
    </row>
    <row r="904" spans="1:3" x14ac:dyDescent="0.3">
      <c r="A904">
        <v>0.17</v>
      </c>
      <c r="B904">
        <v>1</v>
      </c>
      <c r="C904">
        <v>1</v>
      </c>
    </row>
    <row r="905" spans="1:3" x14ac:dyDescent="0.3">
      <c r="A905">
        <v>0.18</v>
      </c>
      <c r="B905">
        <v>1</v>
      </c>
      <c r="C905">
        <v>1</v>
      </c>
    </row>
    <row r="906" spans="1:3" x14ac:dyDescent="0.3">
      <c r="A906">
        <v>0.18</v>
      </c>
      <c r="B906">
        <v>1</v>
      </c>
      <c r="C906">
        <v>1</v>
      </c>
    </row>
    <row r="907" spans="1:3" x14ac:dyDescent="0.3">
      <c r="A907">
        <v>0.18</v>
      </c>
      <c r="B907">
        <v>1</v>
      </c>
      <c r="C907">
        <v>1</v>
      </c>
    </row>
    <row r="908" spans="1:3" x14ac:dyDescent="0.3">
      <c r="A908">
        <v>0.18</v>
      </c>
      <c r="B908">
        <v>1</v>
      </c>
      <c r="C908">
        <v>1</v>
      </c>
    </row>
    <row r="909" spans="1:3" x14ac:dyDescent="0.3">
      <c r="A909">
        <v>0.18</v>
      </c>
      <c r="B909">
        <v>1</v>
      </c>
      <c r="C909">
        <v>1</v>
      </c>
    </row>
    <row r="910" spans="1:3" x14ac:dyDescent="0.3">
      <c r="A910">
        <v>0.18</v>
      </c>
      <c r="B910">
        <v>1</v>
      </c>
      <c r="C910">
        <v>1</v>
      </c>
    </row>
    <row r="911" spans="1:3" x14ac:dyDescent="0.3">
      <c r="A911">
        <v>0.18</v>
      </c>
      <c r="B911">
        <v>1</v>
      </c>
      <c r="C911">
        <v>1</v>
      </c>
    </row>
    <row r="912" spans="1:3" x14ac:dyDescent="0.3">
      <c r="A912">
        <v>0.18</v>
      </c>
      <c r="B912">
        <v>1</v>
      </c>
      <c r="C912">
        <v>1</v>
      </c>
    </row>
    <row r="913" spans="1:3" x14ac:dyDescent="0.3">
      <c r="A913">
        <v>0.18</v>
      </c>
      <c r="B913">
        <v>1</v>
      </c>
      <c r="C913">
        <v>1</v>
      </c>
    </row>
    <row r="914" spans="1:3" x14ac:dyDescent="0.3">
      <c r="A914">
        <v>0.18</v>
      </c>
      <c r="B914">
        <v>1</v>
      </c>
      <c r="C914">
        <v>1</v>
      </c>
    </row>
    <row r="915" spans="1:3" x14ac:dyDescent="0.3">
      <c r="A915">
        <v>0.18</v>
      </c>
      <c r="B915">
        <v>1</v>
      </c>
      <c r="C915">
        <v>1</v>
      </c>
    </row>
    <row r="916" spans="1:3" x14ac:dyDescent="0.3">
      <c r="A916">
        <v>0.18</v>
      </c>
      <c r="B916">
        <v>1</v>
      </c>
      <c r="C916">
        <v>1</v>
      </c>
    </row>
    <row r="917" spans="1:3" x14ac:dyDescent="0.3">
      <c r="A917">
        <v>0.18</v>
      </c>
      <c r="B917">
        <v>1</v>
      </c>
      <c r="C917">
        <v>1</v>
      </c>
    </row>
    <row r="918" spans="1:3" x14ac:dyDescent="0.3">
      <c r="A918">
        <v>0.18</v>
      </c>
      <c r="B918">
        <v>1</v>
      </c>
      <c r="C918">
        <v>1</v>
      </c>
    </row>
    <row r="919" spans="1:3" x14ac:dyDescent="0.3">
      <c r="A919">
        <v>0.18</v>
      </c>
      <c r="B919">
        <v>1</v>
      </c>
      <c r="C919">
        <v>1</v>
      </c>
    </row>
    <row r="920" spans="1:3" x14ac:dyDescent="0.3">
      <c r="A920">
        <v>0.18</v>
      </c>
      <c r="B920">
        <v>1</v>
      </c>
      <c r="C920">
        <v>1</v>
      </c>
    </row>
    <row r="921" spans="1:3" x14ac:dyDescent="0.3">
      <c r="A921">
        <v>0.18</v>
      </c>
      <c r="B921">
        <v>1</v>
      </c>
      <c r="C921">
        <v>1</v>
      </c>
    </row>
    <row r="922" spans="1:3" x14ac:dyDescent="0.3">
      <c r="A922">
        <v>0.18</v>
      </c>
      <c r="B922">
        <v>1</v>
      </c>
      <c r="C922">
        <v>1</v>
      </c>
    </row>
    <row r="923" spans="1:3" x14ac:dyDescent="0.3">
      <c r="A923">
        <v>0.18</v>
      </c>
      <c r="B923">
        <v>1</v>
      </c>
      <c r="C923">
        <v>1</v>
      </c>
    </row>
    <row r="924" spans="1:3" x14ac:dyDescent="0.3">
      <c r="A924">
        <v>0.18</v>
      </c>
      <c r="B924">
        <v>1</v>
      </c>
      <c r="C924">
        <v>1</v>
      </c>
    </row>
    <row r="925" spans="1:3" x14ac:dyDescent="0.3">
      <c r="A925">
        <v>0.18</v>
      </c>
      <c r="B925">
        <v>1</v>
      </c>
      <c r="C925">
        <v>1</v>
      </c>
    </row>
    <row r="926" spans="1:3" x14ac:dyDescent="0.3">
      <c r="A926">
        <v>0.18</v>
      </c>
      <c r="B926">
        <v>1</v>
      </c>
      <c r="C926">
        <v>1</v>
      </c>
    </row>
    <row r="927" spans="1:3" x14ac:dyDescent="0.3">
      <c r="A927">
        <v>0.18</v>
      </c>
      <c r="B927">
        <v>1</v>
      </c>
      <c r="C927">
        <v>1</v>
      </c>
    </row>
    <row r="928" spans="1:3" x14ac:dyDescent="0.3">
      <c r="A928">
        <v>0.18</v>
      </c>
      <c r="B928">
        <v>1</v>
      </c>
      <c r="C928">
        <v>1</v>
      </c>
    </row>
    <row r="929" spans="1:3" x14ac:dyDescent="0.3">
      <c r="A929">
        <v>0.18</v>
      </c>
      <c r="B929">
        <v>1</v>
      </c>
      <c r="C929">
        <v>1</v>
      </c>
    </row>
    <row r="930" spans="1:3" x14ac:dyDescent="0.3">
      <c r="A930">
        <v>0.18</v>
      </c>
      <c r="B930">
        <v>1</v>
      </c>
      <c r="C930">
        <v>1</v>
      </c>
    </row>
    <row r="931" spans="1:3" x14ac:dyDescent="0.3">
      <c r="A931">
        <v>0.18</v>
      </c>
      <c r="B931">
        <v>1</v>
      </c>
      <c r="C931">
        <v>1</v>
      </c>
    </row>
    <row r="932" spans="1:3" x14ac:dyDescent="0.3">
      <c r="A932">
        <v>0.18</v>
      </c>
      <c r="B932">
        <v>1</v>
      </c>
      <c r="C932">
        <v>1</v>
      </c>
    </row>
    <row r="933" spans="1:3" x14ac:dyDescent="0.3">
      <c r="A933">
        <v>0.18</v>
      </c>
      <c r="B933">
        <v>1</v>
      </c>
      <c r="C933">
        <v>1</v>
      </c>
    </row>
    <row r="934" spans="1:3" x14ac:dyDescent="0.3">
      <c r="A934">
        <v>0.18</v>
      </c>
      <c r="B934">
        <v>1</v>
      </c>
      <c r="C934">
        <v>1</v>
      </c>
    </row>
    <row r="935" spans="1:3" x14ac:dyDescent="0.3">
      <c r="A935">
        <v>0.18</v>
      </c>
      <c r="B935">
        <v>1</v>
      </c>
      <c r="C935">
        <v>1</v>
      </c>
    </row>
    <row r="936" spans="1:3" x14ac:dyDescent="0.3">
      <c r="A936">
        <v>0.18</v>
      </c>
      <c r="B936">
        <v>1</v>
      </c>
      <c r="C936">
        <v>1</v>
      </c>
    </row>
    <row r="937" spans="1:3" x14ac:dyDescent="0.3">
      <c r="A937">
        <v>0.18</v>
      </c>
      <c r="B937">
        <v>1</v>
      </c>
      <c r="C937">
        <v>1</v>
      </c>
    </row>
    <row r="938" spans="1:3" x14ac:dyDescent="0.3">
      <c r="A938">
        <v>0.18</v>
      </c>
      <c r="B938">
        <v>1</v>
      </c>
      <c r="C938">
        <v>1</v>
      </c>
    </row>
    <row r="939" spans="1:3" x14ac:dyDescent="0.3">
      <c r="A939">
        <v>0.18</v>
      </c>
      <c r="B939">
        <v>1</v>
      </c>
      <c r="C939">
        <v>1</v>
      </c>
    </row>
    <row r="940" spans="1:3" x14ac:dyDescent="0.3">
      <c r="A940">
        <v>0.18</v>
      </c>
      <c r="B940">
        <v>1</v>
      </c>
      <c r="C940">
        <v>1</v>
      </c>
    </row>
    <row r="941" spans="1:3" x14ac:dyDescent="0.3">
      <c r="A941">
        <v>0.18</v>
      </c>
      <c r="B941">
        <v>1</v>
      </c>
      <c r="C941">
        <v>1</v>
      </c>
    </row>
    <row r="942" spans="1:3" x14ac:dyDescent="0.3">
      <c r="A942">
        <v>0.18</v>
      </c>
      <c r="B942">
        <v>1</v>
      </c>
      <c r="C942">
        <v>1</v>
      </c>
    </row>
    <row r="943" spans="1:3" x14ac:dyDescent="0.3">
      <c r="A943">
        <v>0.18</v>
      </c>
      <c r="B943">
        <v>1</v>
      </c>
      <c r="C943">
        <v>1</v>
      </c>
    </row>
    <row r="944" spans="1:3" x14ac:dyDescent="0.3">
      <c r="A944">
        <v>0.18</v>
      </c>
      <c r="B944">
        <v>1</v>
      </c>
      <c r="C944">
        <v>1</v>
      </c>
    </row>
    <row r="945" spans="1:3" x14ac:dyDescent="0.3">
      <c r="A945">
        <v>0.18</v>
      </c>
      <c r="B945">
        <v>1</v>
      </c>
      <c r="C945">
        <v>1</v>
      </c>
    </row>
    <row r="946" spans="1:3" x14ac:dyDescent="0.3">
      <c r="A946">
        <v>0.18</v>
      </c>
      <c r="B946">
        <v>1</v>
      </c>
      <c r="C946">
        <v>1</v>
      </c>
    </row>
    <row r="947" spans="1:3" x14ac:dyDescent="0.3">
      <c r="A947">
        <v>0.18</v>
      </c>
      <c r="B947">
        <v>1</v>
      </c>
      <c r="C947">
        <v>1</v>
      </c>
    </row>
    <row r="948" spans="1:3" x14ac:dyDescent="0.3">
      <c r="A948">
        <v>0.18</v>
      </c>
      <c r="B948">
        <v>1</v>
      </c>
      <c r="C948">
        <v>1</v>
      </c>
    </row>
    <row r="949" spans="1:3" x14ac:dyDescent="0.3">
      <c r="A949">
        <v>0.19</v>
      </c>
      <c r="B949">
        <v>1</v>
      </c>
      <c r="C949">
        <v>1</v>
      </c>
    </row>
    <row r="950" spans="1:3" x14ac:dyDescent="0.3">
      <c r="A950">
        <v>0.19</v>
      </c>
      <c r="B950">
        <v>1</v>
      </c>
      <c r="C950">
        <v>1</v>
      </c>
    </row>
    <row r="951" spans="1:3" x14ac:dyDescent="0.3">
      <c r="A951">
        <v>0.19</v>
      </c>
      <c r="B951">
        <v>1</v>
      </c>
      <c r="C951">
        <v>1</v>
      </c>
    </row>
    <row r="952" spans="1:3" x14ac:dyDescent="0.3">
      <c r="A952">
        <v>0.19</v>
      </c>
      <c r="B952">
        <v>1</v>
      </c>
      <c r="C952">
        <v>1</v>
      </c>
    </row>
    <row r="953" spans="1:3" x14ac:dyDescent="0.3">
      <c r="A953">
        <v>0.19</v>
      </c>
      <c r="B953">
        <v>1</v>
      </c>
      <c r="C953">
        <v>1</v>
      </c>
    </row>
    <row r="954" spans="1:3" x14ac:dyDescent="0.3">
      <c r="A954">
        <v>0.19</v>
      </c>
      <c r="B954">
        <v>1</v>
      </c>
      <c r="C954">
        <v>1</v>
      </c>
    </row>
    <row r="955" spans="1:3" x14ac:dyDescent="0.3">
      <c r="A955">
        <v>0.19</v>
      </c>
      <c r="B955">
        <v>1</v>
      </c>
      <c r="C955">
        <v>1</v>
      </c>
    </row>
    <row r="956" spans="1:3" x14ac:dyDescent="0.3">
      <c r="A956">
        <v>0.19</v>
      </c>
      <c r="B956">
        <v>1</v>
      </c>
      <c r="C956">
        <v>1</v>
      </c>
    </row>
    <row r="957" spans="1:3" x14ac:dyDescent="0.3">
      <c r="A957">
        <v>0.19</v>
      </c>
      <c r="B957">
        <v>1</v>
      </c>
      <c r="C957">
        <v>1</v>
      </c>
    </row>
    <row r="958" spans="1:3" x14ac:dyDescent="0.3">
      <c r="A958">
        <v>0.19</v>
      </c>
      <c r="B958">
        <v>1</v>
      </c>
      <c r="C958">
        <v>1</v>
      </c>
    </row>
    <row r="959" spans="1:3" x14ac:dyDescent="0.3">
      <c r="A959">
        <v>0.19</v>
      </c>
      <c r="B959">
        <v>1</v>
      </c>
      <c r="C959">
        <v>1</v>
      </c>
    </row>
    <row r="960" spans="1:3" x14ac:dyDescent="0.3">
      <c r="A960">
        <v>0.19</v>
      </c>
      <c r="B960">
        <v>1</v>
      </c>
      <c r="C960">
        <v>1</v>
      </c>
    </row>
    <row r="961" spans="1:3" x14ac:dyDescent="0.3">
      <c r="A961">
        <v>0.19</v>
      </c>
      <c r="B961">
        <v>1</v>
      </c>
      <c r="C961">
        <v>1</v>
      </c>
    </row>
    <row r="962" spans="1:3" x14ac:dyDescent="0.3">
      <c r="A962">
        <v>0.19</v>
      </c>
      <c r="B962">
        <v>1</v>
      </c>
      <c r="C962">
        <v>1</v>
      </c>
    </row>
    <row r="963" spans="1:3" x14ac:dyDescent="0.3">
      <c r="A963">
        <v>0.19</v>
      </c>
      <c r="B963">
        <v>1</v>
      </c>
      <c r="C963">
        <v>1</v>
      </c>
    </row>
    <row r="964" spans="1:3" x14ac:dyDescent="0.3">
      <c r="A964">
        <v>0.19</v>
      </c>
      <c r="B964">
        <v>1</v>
      </c>
      <c r="C964">
        <v>1</v>
      </c>
    </row>
    <row r="965" spans="1:3" x14ac:dyDescent="0.3">
      <c r="A965">
        <v>0.19</v>
      </c>
      <c r="B965">
        <v>1</v>
      </c>
      <c r="C965">
        <v>1</v>
      </c>
    </row>
    <row r="966" spans="1:3" x14ac:dyDescent="0.3">
      <c r="A966">
        <v>0.19</v>
      </c>
      <c r="B966">
        <v>1</v>
      </c>
      <c r="C966">
        <v>1</v>
      </c>
    </row>
    <row r="967" spans="1:3" x14ac:dyDescent="0.3">
      <c r="A967">
        <v>0.19</v>
      </c>
      <c r="B967">
        <v>1</v>
      </c>
      <c r="C967">
        <v>1</v>
      </c>
    </row>
    <row r="968" spans="1:3" x14ac:dyDescent="0.3">
      <c r="A968">
        <v>0.19</v>
      </c>
      <c r="B968">
        <v>1</v>
      </c>
      <c r="C968">
        <v>1</v>
      </c>
    </row>
    <row r="969" spans="1:3" x14ac:dyDescent="0.3">
      <c r="A969">
        <v>0.19</v>
      </c>
      <c r="B969">
        <v>1</v>
      </c>
      <c r="C969">
        <v>1</v>
      </c>
    </row>
    <row r="970" spans="1:3" x14ac:dyDescent="0.3">
      <c r="A970">
        <v>0.19</v>
      </c>
      <c r="B970">
        <v>1</v>
      </c>
      <c r="C970">
        <v>1</v>
      </c>
    </row>
    <row r="971" spans="1:3" x14ac:dyDescent="0.3">
      <c r="A971">
        <v>0.19</v>
      </c>
      <c r="B971">
        <v>1</v>
      </c>
      <c r="C971">
        <v>1</v>
      </c>
    </row>
    <row r="972" spans="1:3" x14ac:dyDescent="0.3">
      <c r="A972">
        <v>0.19</v>
      </c>
      <c r="B972">
        <v>1</v>
      </c>
      <c r="C972">
        <v>1</v>
      </c>
    </row>
    <row r="973" spans="1:3" x14ac:dyDescent="0.3">
      <c r="A973">
        <v>0.19</v>
      </c>
      <c r="B973">
        <v>1</v>
      </c>
      <c r="C973">
        <v>1</v>
      </c>
    </row>
    <row r="974" spans="1:3" x14ac:dyDescent="0.3">
      <c r="A974">
        <v>0.19</v>
      </c>
      <c r="B974">
        <v>1</v>
      </c>
      <c r="C974">
        <v>1</v>
      </c>
    </row>
    <row r="975" spans="1:3" x14ac:dyDescent="0.3">
      <c r="A975">
        <v>0.19</v>
      </c>
      <c r="B975">
        <v>1</v>
      </c>
      <c r="C975">
        <v>1</v>
      </c>
    </row>
    <row r="976" spans="1:3" x14ac:dyDescent="0.3">
      <c r="A976">
        <v>0.19</v>
      </c>
      <c r="B976">
        <v>1</v>
      </c>
      <c r="C976">
        <v>1</v>
      </c>
    </row>
    <row r="977" spans="1:3" x14ac:dyDescent="0.3">
      <c r="A977">
        <v>0.19</v>
      </c>
      <c r="B977">
        <v>1</v>
      </c>
      <c r="C977">
        <v>1</v>
      </c>
    </row>
    <row r="978" spans="1:3" x14ac:dyDescent="0.3">
      <c r="A978">
        <v>0.19</v>
      </c>
      <c r="B978">
        <v>1</v>
      </c>
      <c r="C978">
        <v>1</v>
      </c>
    </row>
    <row r="979" spans="1:3" x14ac:dyDescent="0.3">
      <c r="A979">
        <v>0.19</v>
      </c>
      <c r="B979">
        <v>1</v>
      </c>
      <c r="C979">
        <v>1</v>
      </c>
    </row>
    <row r="980" spans="1:3" x14ac:dyDescent="0.3">
      <c r="A980">
        <v>0.19</v>
      </c>
      <c r="B980">
        <v>1</v>
      </c>
      <c r="C980">
        <v>1</v>
      </c>
    </row>
    <row r="981" spans="1:3" x14ac:dyDescent="0.3">
      <c r="A981">
        <v>0.19</v>
      </c>
      <c r="B981">
        <v>1</v>
      </c>
      <c r="C981">
        <v>1</v>
      </c>
    </row>
    <row r="982" spans="1:3" x14ac:dyDescent="0.3">
      <c r="A982">
        <v>0.19</v>
      </c>
      <c r="B982">
        <v>1</v>
      </c>
      <c r="C982">
        <v>1</v>
      </c>
    </row>
    <row r="983" spans="1:3" x14ac:dyDescent="0.3">
      <c r="A983">
        <v>0.19</v>
      </c>
      <c r="B983">
        <v>1</v>
      </c>
      <c r="C983">
        <v>1</v>
      </c>
    </row>
    <row r="984" spans="1:3" x14ac:dyDescent="0.3">
      <c r="A984">
        <v>0.19</v>
      </c>
      <c r="B984">
        <v>1</v>
      </c>
      <c r="C984">
        <v>1</v>
      </c>
    </row>
    <row r="985" spans="1:3" x14ac:dyDescent="0.3">
      <c r="A985">
        <v>0.19</v>
      </c>
      <c r="B985">
        <v>1</v>
      </c>
      <c r="C985">
        <v>1</v>
      </c>
    </row>
    <row r="986" spans="1:3" x14ac:dyDescent="0.3">
      <c r="A986">
        <v>0.19</v>
      </c>
      <c r="B986">
        <v>1</v>
      </c>
      <c r="C986">
        <v>1</v>
      </c>
    </row>
    <row r="987" spans="1:3" x14ac:dyDescent="0.3">
      <c r="A987">
        <v>0.19</v>
      </c>
      <c r="B987">
        <v>1</v>
      </c>
      <c r="C987">
        <v>1</v>
      </c>
    </row>
    <row r="988" spans="1:3" x14ac:dyDescent="0.3">
      <c r="A988">
        <v>0.19</v>
      </c>
      <c r="B988">
        <v>1</v>
      </c>
      <c r="C988">
        <v>1</v>
      </c>
    </row>
    <row r="989" spans="1:3" x14ac:dyDescent="0.3">
      <c r="A989">
        <v>0.19</v>
      </c>
      <c r="B989">
        <v>1</v>
      </c>
      <c r="C989">
        <v>1</v>
      </c>
    </row>
    <row r="990" spans="1:3" x14ac:dyDescent="0.3">
      <c r="A990">
        <v>0.19</v>
      </c>
      <c r="B990">
        <v>1</v>
      </c>
      <c r="C990">
        <v>1</v>
      </c>
    </row>
    <row r="991" spans="1:3" x14ac:dyDescent="0.3">
      <c r="A991">
        <v>0.19</v>
      </c>
      <c r="B991">
        <v>1</v>
      </c>
      <c r="C991">
        <v>1</v>
      </c>
    </row>
    <row r="992" spans="1:3" x14ac:dyDescent="0.3">
      <c r="A992">
        <v>0.19</v>
      </c>
      <c r="B992">
        <v>1</v>
      </c>
      <c r="C992">
        <v>1</v>
      </c>
    </row>
    <row r="993" spans="1:3" x14ac:dyDescent="0.3">
      <c r="A993">
        <v>0.19</v>
      </c>
      <c r="B993">
        <v>1</v>
      </c>
      <c r="C993">
        <v>1</v>
      </c>
    </row>
    <row r="994" spans="1:3" x14ac:dyDescent="0.3">
      <c r="A994">
        <v>0.19</v>
      </c>
      <c r="B994">
        <v>1</v>
      </c>
      <c r="C994">
        <v>1</v>
      </c>
    </row>
    <row r="995" spans="1:3" x14ac:dyDescent="0.3">
      <c r="A995">
        <v>0.19</v>
      </c>
      <c r="B995">
        <v>1</v>
      </c>
      <c r="C995">
        <v>1</v>
      </c>
    </row>
    <row r="996" spans="1:3" x14ac:dyDescent="0.3">
      <c r="A996">
        <v>0.2</v>
      </c>
      <c r="B996">
        <v>1</v>
      </c>
      <c r="C996">
        <v>1</v>
      </c>
    </row>
    <row r="997" spans="1:3" x14ac:dyDescent="0.3">
      <c r="A997">
        <v>0.2</v>
      </c>
      <c r="B997">
        <v>1</v>
      </c>
      <c r="C997">
        <v>1</v>
      </c>
    </row>
    <row r="998" spans="1:3" x14ac:dyDescent="0.3">
      <c r="A998">
        <v>0.2</v>
      </c>
      <c r="B998">
        <v>1</v>
      </c>
      <c r="C998">
        <v>1</v>
      </c>
    </row>
    <row r="999" spans="1:3" x14ac:dyDescent="0.3">
      <c r="A999">
        <v>0.2</v>
      </c>
      <c r="B999">
        <v>1</v>
      </c>
      <c r="C999">
        <v>1</v>
      </c>
    </row>
    <row r="1000" spans="1:3" x14ac:dyDescent="0.3">
      <c r="A1000">
        <v>0.2</v>
      </c>
      <c r="B1000">
        <v>1</v>
      </c>
      <c r="C1000">
        <v>1</v>
      </c>
    </row>
    <row r="1001" spans="1:3" x14ac:dyDescent="0.3">
      <c r="A1001">
        <v>0.2</v>
      </c>
      <c r="B1001">
        <v>1</v>
      </c>
      <c r="C1001">
        <v>1</v>
      </c>
    </row>
    <row r="1002" spans="1:3" x14ac:dyDescent="0.3">
      <c r="A1002">
        <v>0.2</v>
      </c>
      <c r="B1002">
        <v>1</v>
      </c>
      <c r="C1002">
        <v>1</v>
      </c>
    </row>
    <row r="1003" spans="1:3" x14ac:dyDescent="0.3">
      <c r="A1003">
        <v>0.2</v>
      </c>
      <c r="B1003">
        <v>1</v>
      </c>
      <c r="C1003">
        <v>1</v>
      </c>
    </row>
    <row r="1004" spans="1:3" x14ac:dyDescent="0.3">
      <c r="A1004">
        <v>0.2</v>
      </c>
      <c r="B1004">
        <v>1</v>
      </c>
      <c r="C1004">
        <v>1</v>
      </c>
    </row>
    <row r="1005" spans="1:3" x14ac:dyDescent="0.3">
      <c r="A1005">
        <v>0.2</v>
      </c>
      <c r="B1005">
        <v>1</v>
      </c>
      <c r="C1005">
        <v>1</v>
      </c>
    </row>
    <row r="1006" spans="1:3" x14ac:dyDescent="0.3">
      <c r="A1006">
        <v>0.2</v>
      </c>
      <c r="B1006">
        <v>1</v>
      </c>
      <c r="C1006">
        <v>1</v>
      </c>
    </row>
    <row r="1007" spans="1:3" x14ac:dyDescent="0.3">
      <c r="A1007">
        <v>0.2</v>
      </c>
      <c r="B1007">
        <v>1</v>
      </c>
      <c r="C1007">
        <v>1</v>
      </c>
    </row>
    <row r="1008" spans="1:3" x14ac:dyDescent="0.3">
      <c r="A1008">
        <v>0.2</v>
      </c>
      <c r="B1008">
        <v>1</v>
      </c>
      <c r="C1008">
        <v>1</v>
      </c>
    </row>
    <row r="1009" spans="1:3" x14ac:dyDescent="0.3">
      <c r="A1009">
        <v>0.2</v>
      </c>
      <c r="B1009">
        <v>1</v>
      </c>
      <c r="C1009">
        <v>1</v>
      </c>
    </row>
    <row r="1010" spans="1:3" x14ac:dyDescent="0.3">
      <c r="A1010">
        <v>0.2</v>
      </c>
      <c r="B1010">
        <v>1</v>
      </c>
      <c r="C1010">
        <v>1</v>
      </c>
    </row>
    <row r="1011" spans="1:3" x14ac:dyDescent="0.3">
      <c r="A1011">
        <v>0.2</v>
      </c>
      <c r="B1011">
        <v>1</v>
      </c>
      <c r="C1011">
        <v>1</v>
      </c>
    </row>
    <row r="1012" spans="1:3" x14ac:dyDescent="0.3">
      <c r="A1012">
        <v>0.2</v>
      </c>
      <c r="B1012">
        <v>1</v>
      </c>
      <c r="C1012">
        <v>1</v>
      </c>
    </row>
    <row r="1013" spans="1:3" x14ac:dyDescent="0.3">
      <c r="A1013">
        <v>0.2</v>
      </c>
      <c r="B1013">
        <v>1</v>
      </c>
      <c r="C1013">
        <v>1</v>
      </c>
    </row>
    <row r="1014" spans="1:3" x14ac:dyDescent="0.3">
      <c r="A1014">
        <v>0.2</v>
      </c>
      <c r="B1014">
        <v>1</v>
      </c>
      <c r="C1014">
        <v>1</v>
      </c>
    </row>
    <row r="1015" spans="1:3" x14ac:dyDescent="0.3">
      <c r="A1015">
        <v>0.2</v>
      </c>
      <c r="B1015">
        <v>1</v>
      </c>
      <c r="C1015">
        <v>1</v>
      </c>
    </row>
    <row r="1016" spans="1:3" x14ac:dyDescent="0.3">
      <c r="A1016">
        <v>0.2</v>
      </c>
      <c r="B1016">
        <v>1</v>
      </c>
      <c r="C1016">
        <v>1</v>
      </c>
    </row>
    <row r="1017" spans="1:3" x14ac:dyDescent="0.3">
      <c r="A1017">
        <v>0.2</v>
      </c>
      <c r="B1017">
        <v>1</v>
      </c>
      <c r="C1017">
        <v>1</v>
      </c>
    </row>
    <row r="1018" spans="1:3" x14ac:dyDescent="0.3">
      <c r="A1018">
        <v>0.2</v>
      </c>
      <c r="B1018">
        <v>1</v>
      </c>
      <c r="C1018">
        <v>1</v>
      </c>
    </row>
    <row r="1019" spans="1:3" x14ac:dyDescent="0.3">
      <c r="A1019">
        <v>0.2</v>
      </c>
      <c r="B1019">
        <v>1</v>
      </c>
      <c r="C1019">
        <v>1</v>
      </c>
    </row>
    <row r="1020" spans="1:3" x14ac:dyDescent="0.3">
      <c r="A1020">
        <v>0.2</v>
      </c>
      <c r="B1020">
        <v>1</v>
      </c>
      <c r="C1020">
        <v>1</v>
      </c>
    </row>
    <row r="1021" spans="1:3" x14ac:dyDescent="0.3">
      <c r="A1021">
        <v>0.2</v>
      </c>
      <c r="B1021">
        <v>1</v>
      </c>
      <c r="C1021">
        <v>1</v>
      </c>
    </row>
    <row r="1022" spans="1:3" x14ac:dyDescent="0.3">
      <c r="A1022">
        <v>0.2</v>
      </c>
      <c r="B1022">
        <v>1</v>
      </c>
      <c r="C1022">
        <v>1</v>
      </c>
    </row>
    <row r="1023" spans="1:3" x14ac:dyDescent="0.3">
      <c r="A1023">
        <v>0.2</v>
      </c>
      <c r="B1023">
        <v>1</v>
      </c>
      <c r="C1023">
        <v>1</v>
      </c>
    </row>
    <row r="1024" spans="1:3" x14ac:dyDescent="0.3">
      <c r="A1024">
        <v>0.2</v>
      </c>
      <c r="B1024">
        <v>1</v>
      </c>
      <c r="C1024">
        <v>1</v>
      </c>
    </row>
    <row r="1025" spans="1:3" x14ac:dyDescent="0.3">
      <c r="A1025">
        <v>0.2</v>
      </c>
      <c r="B1025">
        <v>1</v>
      </c>
      <c r="C1025">
        <v>1</v>
      </c>
    </row>
    <row r="1026" spans="1:3" x14ac:dyDescent="0.3">
      <c r="A1026">
        <v>0.2</v>
      </c>
      <c r="B1026">
        <v>1</v>
      </c>
      <c r="C1026">
        <v>1</v>
      </c>
    </row>
    <row r="1027" spans="1:3" x14ac:dyDescent="0.3">
      <c r="A1027">
        <v>0.2</v>
      </c>
      <c r="B1027">
        <v>1</v>
      </c>
      <c r="C1027">
        <v>1</v>
      </c>
    </row>
    <row r="1028" spans="1:3" x14ac:dyDescent="0.3">
      <c r="A1028">
        <v>0.2</v>
      </c>
      <c r="B1028">
        <v>1</v>
      </c>
      <c r="C1028">
        <v>1</v>
      </c>
    </row>
    <row r="1029" spans="1:3" x14ac:dyDescent="0.3">
      <c r="A1029">
        <v>0.2</v>
      </c>
      <c r="B1029">
        <v>1</v>
      </c>
      <c r="C1029">
        <v>1</v>
      </c>
    </row>
    <row r="1030" spans="1:3" x14ac:dyDescent="0.3">
      <c r="A1030">
        <v>0.2</v>
      </c>
      <c r="B1030">
        <v>1</v>
      </c>
      <c r="C1030">
        <v>1</v>
      </c>
    </row>
    <row r="1031" spans="1:3" x14ac:dyDescent="0.3">
      <c r="A1031">
        <v>0.2</v>
      </c>
      <c r="B1031">
        <v>1</v>
      </c>
      <c r="C1031">
        <v>1</v>
      </c>
    </row>
    <row r="1032" spans="1:3" x14ac:dyDescent="0.3">
      <c r="A1032">
        <v>0.2</v>
      </c>
      <c r="B1032">
        <v>1</v>
      </c>
      <c r="C1032">
        <v>1</v>
      </c>
    </row>
    <row r="1033" spans="1:3" x14ac:dyDescent="0.3">
      <c r="A1033">
        <v>0.2</v>
      </c>
      <c r="B1033">
        <v>1</v>
      </c>
      <c r="C1033">
        <v>1</v>
      </c>
    </row>
    <row r="1034" spans="1:3" x14ac:dyDescent="0.3">
      <c r="A1034">
        <v>0.2</v>
      </c>
      <c r="B1034">
        <v>1</v>
      </c>
      <c r="C1034">
        <v>1</v>
      </c>
    </row>
    <row r="1035" spans="1:3" x14ac:dyDescent="0.3">
      <c r="A1035">
        <v>0.2</v>
      </c>
      <c r="B1035">
        <v>1</v>
      </c>
      <c r="C1035">
        <v>1</v>
      </c>
    </row>
    <row r="1036" spans="1:3" x14ac:dyDescent="0.3">
      <c r="A1036">
        <v>0.2</v>
      </c>
      <c r="B1036">
        <v>1</v>
      </c>
      <c r="C1036">
        <v>1</v>
      </c>
    </row>
    <row r="1037" spans="1:3" x14ac:dyDescent="0.3">
      <c r="A1037">
        <v>0.2</v>
      </c>
      <c r="B1037">
        <v>1</v>
      </c>
      <c r="C1037">
        <v>1</v>
      </c>
    </row>
    <row r="1038" spans="1:3" x14ac:dyDescent="0.3">
      <c r="A1038">
        <v>0.2</v>
      </c>
      <c r="B1038">
        <v>1</v>
      </c>
      <c r="C1038">
        <v>1</v>
      </c>
    </row>
    <row r="1039" spans="1:3" x14ac:dyDescent="0.3">
      <c r="A1039">
        <v>0.2</v>
      </c>
      <c r="B1039">
        <v>1</v>
      </c>
      <c r="C1039">
        <v>1</v>
      </c>
    </row>
    <row r="1040" spans="1:3" x14ac:dyDescent="0.3">
      <c r="A1040">
        <v>0.2</v>
      </c>
      <c r="B1040">
        <v>1</v>
      </c>
      <c r="C1040">
        <v>1</v>
      </c>
    </row>
    <row r="1041" spans="1:3" x14ac:dyDescent="0.3">
      <c r="A1041">
        <v>0.21</v>
      </c>
      <c r="B1041">
        <v>1</v>
      </c>
      <c r="C1041">
        <v>1</v>
      </c>
    </row>
    <row r="1042" spans="1:3" x14ac:dyDescent="0.3">
      <c r="A1042">
        <v>0.21</v>
      </c>
      <c r="B1042">
        <v>1</v>
      </c>
      <c r="C1042">
        <v>1</v>
      </c>
    </row>
    <row r="1043" spans="1:3" x14ac:dyDescent="0.3">
      <c r="A1043">
        <v>0.21</v>
      </c>
      <c r="B1043">
        <v>1</v>
      </c>
      <c r="C1043">
        <v>1</v>
      </c>
    </row>
    <row r="1044" spans="1:3" x14ac:dyDescent="0.3">
      <c r="A1044">
        <v>0.21</v>
      </c>
      <c r="B1044">
        <v>1</v>
      </c>
      <c r="C1044">
        <v>1</v>
      </c>
    </row>
    <row r="1045" spans="1:3" x14ac:dyDescent="0.3">
      <c r="A1045">
        <v>0.21</v>
      </c>
      <c r="B1045">
        <v>1</v>
      </c>
      <c r="C1045">
        <v>1</v>
      </c>
    </row>
    <row r="1046" spans="1:3" x14ac:dyDescent="0.3">
      <c r="A1046">
        <v>0.21</v>
      </c>
      <c r="B1046">
        <v>1</v>
      </c>
      <c r="C1046">
        <v>1</v>
      </c>
    </row>
    <row r="1047" spans="1:3" x14ac:dyDescent="0.3">
      <c r="A1047">
        <v>0.21</v>
      </c>
      <c r="B1047">
        <v>1</v>
      </c>
      <c r="C1047">
        <v>1</v>
      </c>
    </row>
    <row r="1048" spans="1:3" x14ac:dyDescent="0.3">
      <c r="A1048">
        <v>0.21</v>
      </c>
      <c r="B1048">
        <v>1</v>
      </c>
      <c r="C1048">
        <v>1</v>
      </c>
    </row>
    <row r="1049" spans="1:3" x14ac:dyDescent="0.3">
      <c r="A1049">
        <v>0.21</v>
      </c>
      <c r="B1049">
        <v>1</v>
      </c>
      <c r="C1049">
        <v>1</v>
      </c>
    </row>
    <row r="1050" spans="1:3" x14ac:dyDescent="0.3">
      <c r="A1050">
        <v>0.21</v>
      </c>
      <c r="B1050">
        <v>1</v>
      </c>
      <c r="C1050">
        <v>1</v>
      </c>
    </row>
    <row r="1051" spans="1:3" x14ac:dyDescent="0.3">
      <c r="A1051">
        <v>0.21</v>
      </c>
      <c r="B1051">
        <v>1</v>
      </c>
      <c r="C1051">
        <v>1</v>
      </c>
    </row>
    <row r="1052" spans="1:3" x14ac:dyDescent="0.3">
      <c r="A1052">
        <v>0.21</v>
      </c>
      <c r="B1052">
        <v>1</v>
      </c>
      <c r="C1052">
        <v>1</v>
      </c>
    </row>
    <row r="1053" spans="1:3" x14ac:dyDescent="0.3">
      <c r="A1053">
        <v>0.21</v>
      </c>
      <c r="B1053">
        <v>1</v>
      </c>
      <c r="C1053">
        <v>1</v>
      </c>
    </row>
    <row r="1054" spans="1:3" x14ac:dyDescent="0.3">
      <c r="A1054">
        <v>0.21</v>
      </c>
      <c r="B1054">
        <v>1</v>
      </c>
      <c r="C1054">
        <v>1</v>
      </c>
    </row>
    <row r="1055" spans="1:3" x14ac:dyDescent="0.3">
      <c r="A1055">
        <v>0.21</v>
      </c>
      <c r="B1055">
        <v>1</v>
      </c>
      <c r="C1055">
        <v>1</v>
      </c>
    </row>
    <row r="1056" spans="1:3" x14ac:dyDescent="0.3">
      <c r="A1056">
        <v>0.21</v>
      </c>
      <c r="B1056">
        <v>1</v>
      </c>
      <c r="C1056">
        <v>1</v>
      </c>
    </row>
    <row r="1057" spans="1:3" x14ac:dyDescent="0.3">
      <c r="A1057">
        <v>0.21</v>
      </c>
      <c r="B1057">
        <v>1</v>
      </c>
      <c r="C1057">
        <v>1</v>
      </c>
    </row>
    <row r="1058" spans="1:3" x14ac:dyDescent="0.3">
      <c r="A1058">
        <v>0.21</v>
      </c>
      <c r="B1058">
        <v>1</v>
      </c>
      <c r="C1058">
        <v>1</v>
      </c>
    </row>
    <row r="1059" spans="1:3" x14ac:dyDescent="0.3">
      <c r="A1059">
        <v>0.21</v>
      </c>
      <c r="B1059">
        <v>1</v>
      </c>
      <c r="C1059">
        <v>1</v>
      </c>
    </row>
    <row r="1060" spans="1:3" x14ac:dyDescent="0.3">
      <c r="A1060">
        <v>0.21</v>
      </c>
      <c r="B1060">
        <v>1</v>
      </c>
      <c r="C1060">
        <v>1</v>
      </c>
    </row>
    <row r="1061" spans="1:3" x14ac:dyDescent="0.3">
      <c r="A1061">
        <v>0.21</v>
      </c>
      <c r="B1061">
        <v>1</v>
      </c>
      <c r="C1061">
        <v>1</v>
      </c>
    </row>
    <row r="1062" spans="1:3" x14ac:dyDescent="0.3">
      <c r="A1062">
        <v>0.21</v>
      </c>
      <c r="B1062">
        <v>1</v>
      </c>
      <c r="C1062">
        <v>1</v>
      </c>
    </row>
    <row r="1063" spans="1:3" x14ac:dyDescent="0.3">
      <c r="A1063">
        <v>0.21</v>
      </c>
      <c r="B1063">
        <v>1</v>
      </c>
      <c r="C1063">
        <v>1</v>
      </c>
    </row>
    <row r="1064" spans="1:3" x14ac:dyDescent="0.3">
      <c r="A1064">
        <v>0.21</v>
      </c>
      <c r="B1064">
        <v>1</v>
      </c>
      <c r="C1064">
        <v>1</v>
      </c>
    </row>
    <row r="1065" spans="1:3" x14ac:dyDescent="0.3">
      <c r="A1065">
        <v>0.21</v>
      </c>
      <c r="B1065">
        <v>1</v>
      </c>
      <c r="C1065">
        <v>1</v>
      </c>
    </row>
    <row r="1066" spans="1:3" x14ac:dyDescent="0.3">
      <c r="A1066">
        <v>0.21</v>
      </c>
      <c r="B1066">
        <v>1</v>
      </c>
      <c r="C1066">
        <v>1</v>
      </c>
    </row>
    <row r="1067" spans="1:3" x14ac:dyDescent="0.3">
      <c r="A1067">
        <v>0.21</v>
      </c>
      <c r="B1067">
        <v>1</v>
      </c>
      <c r="C1067">
        <v>1</v>
      </c>
    </row>
    <row r="1068" spans="1:3" x14ac:dyDescent="0.3">
      <c r="A1068">
        <v>0.21</v>
      </c>
      <c r="B1068">
        <v>1</v>
      </c>
      <c r="C1068">
        <v>1</v>
      </c>
    </row>
    <row r="1069" spans="1:3" x14ac:dyDescent="0.3">
      <c r="A1069">
        <v>0.21</v>
      </c>
      <c r="B1069">
        <v>1</v>
      </c>
      <c r="C1069">
        <v>1</v>
      </c>
    </row>
    <row r="1070" spans="1:3" x14ac:dyDescent="0.3">
      <c r="A1070">
        <v>0.21</v>
      </c>
      <c r="B1070">
        <v>1</v>
      </c>
      <c r="C1070">
        <v>1</v>
      </c>
    </row>
    <row r="1071" spans="1:3" x14ac:dyDescent="0.3">
      <c r="A1071">
        <v>0.22</v>
      </c>
      <c r="B1071">
        <v>1</v>
      </c>
      <c r="C1071">
        <v>1</v>
      </c>
    </row>
    <row r="1072" spans="1:3" x14ac:dyDescent="0.3">
      <c r="A1072">
        <v>0.22</v>
      </c>
      <c r="B1072">
        <v>1</v>
      </c>
      <c r="C1072">
        <v>1</v>
      </c>
    </row>
    <row r="1073" spans="1:3" x14ac:dyDescent="0.3">
      <c r="A1073">
        <v>0.22</v>
      </c>
      <c r="B1073">
        <v>1</v>
      </c>
      <c r="C1073">
        <v>1</v>
      </c>
    </row>
    <row r="1074" spans="1:3" x14ac:dyDescent="0.3">
      <c r="A1074">
        <v>0.22</v>
      </c>
      <c r="B1074">
        <v>1</v>
      </c>
      <c r="C1074">
        <v>1</v>
      </c>
    </row>
    <row r="1075" spans="1:3" x14ac:dyDescent="0.3">
      <c r="A1075">
        <v>0.22</v>
      </c>
      <c r="B1075">
        <v>1</v>
      </c>
      <c r="C1075">
        <v>1</v>
      </c>
    </row>
    <row r="1076" spans="1:3" x14ac:dyDescent="0.3">
      <c r="A1076">
        <v>0.22</v>
      </c>
      <c r="B1076">
        <v>1</v>
      </c>
      <c r="C1076">
        <v>1</v>
      </c>
    </row>
    <row r="1077" spans="1:3" x14ac:dyDescent="0.3">
      <c r="A1077">
        <v>0.22</v>
      </c>
      <c r="B1077">
        <v>1</v>
      </c>
      <c r="C1077">
        <v>1</v>
      </c>
    </row>
    <row r="1078" spans="1:3" x14ac:dyDescent="0.3">
      <c r="A1078">
        <v>0.22</v>
      </c>
      <c r="B1078">
        <v>1</v>
      </c>
      <c r="C1078">
        <v>1</v>
      </c>
    </row>
    <row r="1079" spans="1:3" x14ac:dyDescent="0.3">
      <c r="A1079">
        <v>0.22</v>
      </c>
      <c r="B1079">
        <v>1</v>
      </c>
      <c r="C1079">
        <v>1</v>
      </c>
    </row>
    <row r="1080" spans="1:3" x14ac:dyDescent="0.3">
      <c r="A1080">
        <v>0.22</v>
      </c>
      <c r="B1080">
        <v>1</v>
      </c>
      <c r="C1080">
        <v>1</v>
      </c>
    </row>
    <row r="1081" spans="1:3" x14ac:dyDescent="0.3">
      <c r="A1081">
        <v>0.22</v>
      </c>
      <c r="B1081">
        <v>1</v>
      </c>
      <c r="C1081">
        <v>1</v>
      </c>
    </row>
    <row r="1082" spans="1:3" x14ac:dyDescent="0.3">
      <c r="A1082">
        <v>0.22</v>
      </c>
      <c r="B1082">
        <v>1</v>
      </c>
      <c r="C1082">
        <v>1</v>
      </c>
    </row>
    <row r="1083" spans="1:3" x14ac:dyDescent="0.3">
      <c r="A1083">
        <v>0.22</v>
      </c>
      <c r="B1083">
        <v>1</v>
      </c>
      <c r="C1083">
        <v>1</v>
      </c>
    </row>
    <row r="1084" spans="1:3" x14ac:dyDescent="0.3">
      <c r="A1084">
        <v>0.22</v>
      </c>
      <c r="B1084">
        <v>1</v>
      </c>
      <c r="C1084">
        <v>1</v>
      </c>
    </row>
    <row r="1085" spans="1:3" x14ac:dyDescent="0.3">
      <c r="A1085">
        <v>0.22</v>
      </c>
      <c r="B1085">
        <v>1</v>
      </c>
      <c r="C1085">
        <v>1</v>
      </c>
    </row>
    <row r="1086" spans="1:3" x14ac:dyDescent="0.3">
      <c r="A1086">
        <v>0.22</v>
      </c>
      <c r="B1086">
        <v>1</v>
      </c>
      <c r="C1086">
        <v>1</v>
      </c>
    </row>
    <row r="1087" spans="1:3" x14ac:dyDescent="0.3">
      <c r="A1087">
        <v>0.22</v>
      </c>
      <c r="B1087">
        <v>1</v>
      </c>
      <c r="C1087">
        <v>1</v>
      </c>
    </row>
    <row r="1088" spans="1:3" x14ac:dyDescent="0.3">
      <c r="A1088">
        <v>0.22</v>
      </c>
      <c r="B1088">
        <v>1</v>
      </c>
      <c r="C1088">
        <v>1</v>
      </c>
    </row>
    <row r="1089" spans="1:3" x14ac:dyDescent="0.3">
      <c r="A1089">
        <v>0.22</v>
      </c>
      <c r="B1089">
        <v>1</v>
      </c>
      <c r="C1089">
        <v>1</v>
      </c>
    </row>
    <row r="1090" spans="1:3" x14ac:dyDescent="0.3">
      <c r="A1090">
        <v>0.22</v>
      </c>
      <c r="B1090">
        <v>1</v>
      </c>
      <c r="C1090">
        <v>1</v>
      </c>
    </row>
    <row r="1091" spans="1:3" x14ac:dyDescent="0.3">
      <c r="A1091">
        <v>0.22</v>
      </c>
      <c r="B1091">
        <v>1</v>
      </c>
      <c r="C1091">
        <v>1</v>
      </c>
    </row>
    <row r="1092" spans="1:3" x14ac:dyDescent="0.3">
      <c r="A1092">
        <v>0.22</v>
      </c>
      <c r="B1092">
        <v>1</v>
      </c>
      <c r="C1092">
        <v>1</v>
      </c>
    </row>
    <row r="1093" spans="1:3" x14ac:dyDescent="0.3">
      <c r="A1093">
        <v>0.22</v>
      </c>
      <c r="B1093">
        <v>1</v>
      </c>
      <c r="C1093">
        <v>1</v>
      </c>
    </row>
    <row r="1094" spans="1:3" x14ac:dyDescent="0.3">
      <c r="A1094">
        <v>0.22</v>
      </c>
      <c r="B1094">
        <v>1</v>
      </c>
      <c r="C1094">
        <v>1</v>
      </c>
    </row>
    <row r="1095" spans="1:3" x14ac:dyDescent="0.3">
      <c r="A1095">
        <v>0.22</v>
      </c>
      <c r="B1095">
        <v>1</v>
      </c>
      <c r="C1095">
        <v>1</v>
      </c>
    </row>
    <row r="1096" spans="1:3" x14ac:dyDescent="0.3">
      <c r="A1096">
        <v>0.22</v>
      </c>
      <c r="B1096">
        <v>1</v>
      </c>
      <c r="C1096">
        <v>1</v>
      </c>
    </row>
    <row r="1097" spans="1:3" x14ac:dyDescent="0.3">
      <c r="A1097">
        <v>0.22</v>
      </c>
      <c r="B1097">
        <v>1</v>
      </c>
      <c r="C1097">
        <v>1</v>
      </c>
    </row>
    <row r="1098" spans="1:3" x14ac:dyDescent="0.3">
      <c r="A1098">
        <v>0.22</v>
      </c>
      <c r="B1098">
        <v>1</v>
      </c>
      <c r="C1098">
        <v>1</v>
      </c>
    </row>
    <row r="1099" spans="1:3" x14ac:dyDescent="0.3">
      <c r="A1099">
        <v>0.22</v>
      </c>
      <c r="B1099">
        <v>1</v>
      </c>
      <c r="C1099">
        <v>1</v>
      </c>
    </row>
    <row r="1100" spans="1:3" x14ac:dyDescent="0.3">
      <c r="A1100">
        <v>0.22</v>
      </c>
      <c r="B1100">
        <v>1</v>
      </c>
      <c r="C1100">
        <v>1</v>
      </c>
    </row>
    <row r="1101" spans="1:3" x14ac:dyDescent="0.3">
      <c r="A1101">
        <v>0.23</v>
      </c>
      <c r="B1101">
        <v>1</v>
      </c>
      <c r="C1101">
        <v>1</v>
      </c>
    </row>
    <row r="1102" spans="1:3" x14ac:dyDescent="0.3">
      <c r="A1102">
        <v>0.23</v>
      </c>
      <c r="B1102">
        <v>1</v>
      </c>
      <c r="C1102">
        <v>1</v>
      </c>
    </row>
    <row r="1103" spans="1:3" x14ac:dyDescent="0.3">
      <c r="A1103">
        <v>0.23</v>
      </c>
      <c r="B1103">
        <v>1</v>
      </c>
      <c r="C1103">
        <v>1</v>
      </c>
    </row>
    <row r="1104" spans="1:3" x14ac:dyDescent="0.3">
      <c r="A1104">
        <v>0.23</v>
      </c>
      <c r="B1104">
        <v>1</v>
      </c>
      <c r="C1104">
        <v>1</v>
      </c>
    </row>
    <row r="1105" spans="1:3" x14ac:dyDescent="0.3">
      <c r="A1105">
        <v>0.23</v>
      </c>
      <c r="B1105">
        <v>1</v>
      </c>
      <c r="C1105">
        <v>1</v>
      </c>
    </row>
    <row r="1106" spans="1:3" x14ac:dyDescent="0.3">
      <c r="A1106">
        <v>0.23</v>
      </c>
      <c r="B1106">
        <v>1</v>
      </c>
      <c r="C1106">
        <v>1</v>
      </c>
    </row>
    <row r="1107" spans="1:3" x14ac:dyDescent="0.3">
      <c r="A1107">
        <v>0.23</v>
      </c>
      <c r="B1107">
        <v>1</v>
      </c>
      <c r="C1107">
        <v>1</v>
      </c>
    </row>
    <row r="1108" spans="1:3" x14ac:dyDescent="0.3">
      <c r="A1108">
        <v>0.23</v>
      </c>
      <c r="B1108">
        <v>1</v>
      </c>
      <c r="C1108">
        <v>1</v>
      </c>
    </row>
    <row r="1109" spans="1:3" x14ac:dyDescent="0.3">
      <c r="A1109">
        <v>0.23</v>
      </c>
      <c r="B1109">
        <v>1</v>
      </c>
      <c r="C1109">
        <v>1</v>
      </c>
    </row>
    <row r="1110" spans="1:3" x14ac:dyDescent="0.3">
      <c r="A1110">
        <v>0.23</v>
      </c>
      <c r="B1110">
        <v>1</v>
      </c>
      <c r="C1110">
        <v>1</v>
      </c>
    </row>
    <row r="1111" spans="1:3" x14ac:dyDescent="0.3">
      <c r="A1111">
        <v>0.23</v>
      </c>
      <c r="B1111">
        <v>1</v>
      </c>
      <c r="C1111">
        <v>1</v>
      </c>
    </row>
    <row r="1112" spans="1:3" x14ac:dyDescent="0.3">
      <c r="A1112">
        <v>0.23</v>
      </c>
      <c r="B1112">
        <v>1</v>
      </c>
      <c r="C1112">
        <v>1</v>
      </c>
    </row>
    <row r="1113" spans="1:3" x14ac:dyDescent="0.3">
      <c r="A1113">
        <v>0.23</v>
      </c>
      <c r="B1113">
        <v>1</v>
      </c>
      <c r="C1113">
        <v>1</v>
      </c>
    </row>
    <row r="1114" spans="1:3" x14ac:dyDescent="0.3">
      <c r="A1114">
        <v>0.23</v>
      </c>
      <c r="B1114">
        <v>1</v>
      </c>
      <c r="C1114">
        <v>1</v>
      </c>
    </row>
    <row r="1115" spans="1:3" x14ac:dyDescent="0.3">
      <c r="A1115">
        <v>0.23</v>
      </c>
      <c r="B1115">
        <v>1</v>
      </c>
      <c r="C1115">
        <v>1</v>
      </c>
    </row>
    <row r="1116" spans="1:3" x14ac:dyDescent="0.3">
      <c r="A1116">
        <v>0.23</v>
      </c>
      <c r="B1116">
        <v>1</v>
      </c>
      <c r="C1116">
        <v>1</v>
      </c>
    </row>
    <row r="1117" spans="1:3" x14ac:dyDescent="0.3">
      <c r="A1117">
        <v>0.23</v>
      </c>
      <c r="B1117">
        <v>1</v>
      </c>
      <c r="C1117">
        <v>1</v>
      </c>
    </row>
    <row r="1118" spans="1:3" x14ac:dyDescent="0.3">
      <c r="A1118">
        <v>0.23</v>
      </c>
      <c r="B1118">
        <v>1</v>
      </c>
      <c r="C1118">
        <v>1</v>
      </c>
    </row>
    <row r="1119" spans="1:3" x14ac:dyDescent="0.3">
      <c r="A1119">
        <v>0.23</v>
      </c>
      <c r="B1119">
        <v>1</v>
      </c>
      <c r="C1119">
        <v>1</v>
      </c>
    </row>
    <row r="1120" spans="1:3" x14ac:dyDescent="0.3">
      <c r="A1120">
        <v>0.23</v>
      </c>
      <c r="B1120">
        <v>1</v>
      </c>
      <c r="C1120">
        <v>1</v>
      </c>
    </row>
    <row r="1121" spans="1:3" x14ac:dyDescent="0.3">
      <c r="A1121">
        <v>0.23</v>
      </c>
      <c r="B1121">
        <v>1</v>
      </c>
      <c r="C1121">
        <v>1</v>
      </c>
    </row>
    <row r="1122" spans="1:3" x14ac:dyDescent="0.3">
      <c r="A1122">
        <v>0.23</v>
      </c>
      <c r="B1122">
        <v>1</v>
      </c>
      <c r="C1122">
        <v>1</v>
      </c>
    </row>
    <row r="1123" spans="1:3" x14ac:dyDescent="0.3">
      <c r="A1123">
        <v>0.23</v>
      </c>
      <c r="B1123">
        <v>1</v>
      </c>
      <c r="C1123">
        <v>1</v>
      </c>
    </row>
    <row r="1124" spans="1:3" x14ac:dyDescent="0.3">
      <c r="A1124">
        <v>0.23</v>
      </c>
      <c r="B1124">
        <v>1</v>
      </c>
      <c r="C1124">
        <v>1</v>
      </c>
    </row>
    <row r="1125" spans="1:3" x14ac:dyDescent="0.3">
      <c r="A1125">
        <v>0.23</v>
      </c>
      <c r="B1125">
        <v>1</v>
      </c>
      <c r="C1125">
        <v>1</v>
      </c>
    </row>
    <row r="1126" spans="1:3" x14ac:dyDescent="0.3">
      <c r="A1126">
        <v>0.23</v>
      </c>
      <c r="B1126">
        <v>1</v>
      </c>
      <c r="C1126">
        <v>1</v>
      </c>
    </row>
    <row r="1127" spans="1:3" x14ac:dyDescent="0.3">
      <c r="A1127">
        <v>0.24</v>
      </c>
      <c r="B1127">
        <v>1</v>
      </c>
      <c r="C1127">
        <v>1</v>
      </c>
    </row>
    <row r="1128" spans="1:3" x14ac:dyDescent="0.3">
      <c r="A1128">
        <v>0.24</v>
      </c>
      <c r="B1128">
        <v>1</v>
      </c>
      <c r="C1128">
        <v>1</v>
      </c>
    </row>
    <row r="1129" spans="1:3" x14ac:dyDescent="0.3">
      <c r="A1129">
        <v>0.24</v>
      </c>
      <c r="B1129">
        <v>1</v>
      </c>
      <c r="C1129">
        <v>1</v>
      </c>
    </row>
    <row r="1130" spans="1:3" x14ac:dyDescent="0.3">
      <c r="A1130">
        <v>0.24</v>
      </c>
      <c r="B1130">
        <v>1</v>
      </c>
      <c r="C1130">
        <v>1</v>
      </c>
    </row>
    <row r="1131" spans="1:3" x14ac:dyDescent="0.3">
      <c r="A1131">
        <v>0.24</v>
      </c>
      <c r="B1131">
        <v>1</v>
      </c>
      <c r="C1131">
        <v>1</v>
      </c>
    </row>
    <row r="1132" spans="1:3" x14ac:dyDescent="0.3">
      <c r="A1132">
        <v>0.24</v>
      </c>
      <c r="B1132">
        <v>1</v>
      </c>
      <c r="C1132">
        <v>1</v>
      </c>
    </row>
    <row r="1133" spans="1:3" x14ac:dyDescent="0.3">
      <c r="A1133">
        <v>0.24</v>
      </c>
      <c r="B1133">
        <v>1</v>
      </c>
      <c r="C1133">
        <v>1</v>
      </c>
    </row>
    <row r="1134" spans="1:3" x14ac:dyDescent="0.3">
      <c r="A1134">
        <v>0.24</v>
      </c>
      <c r="B1134">
        <v>1</v>
      </c>
      <c r="C1134">
        <v>1</v>
      </c>
    </row>
    <row r="1135" spans="1:3" x14ac:dyDescent="0.3">
      <c r="A1135">
        <v>0.24</v>
      </c>
      <c r="B1135">
        <v>1</v>
      </c>
      <c r="C1135">
        <v>1</v>
      </c>
    </row>
    <row r="1136" spans="1:3" x14ac:dyDescent="0.3">
      <c r="A1136">
        <v>0.24</v>
      </c>
      <c r="B1136">
        <v>1</v>
      </c>
      <c r="C1136">
        <v>1</v>
      </c>
    </row>
    <row r="1137" spans="1:3" x14ac:dyDescent="0.3">
      <c r="A1137">
        <v>0.24</v>
      </c>
      <c r="B1137">
        <v>1</v>
      </c>
      <c r="C1137">
        <v>1</v>
      </c>
    </row>
    <row r="1138" spans="1:3" x14ac:dyDescent="0.3">
      <c r="A1138">
        <v>0.24</v>
      </c>
      <c r="B1138">
        <v>1</v>
      </c>
      <c r="C1138">
        <v>1</v>
      </c>
    </row>
    <row r="1139" spans="1:3" x14ac:dyDescent="0.3">
      <c r="A1139">
        <v>0.24</v>
      </c>
      <c r="B1139">
        <v>1</v>
      </c>
      <c r="C1139">
        <v>1</v>
      </c>
    </row>
    <row r="1140" spans="1:3" x14ac:dyDescent="0.3">
      <c r="A1140">
        <v>0.24</v>
      </c>
      <c r="B1140">
        <v>1</v>
      </c>
      <c r="C1140">
        <v>1</v>
      </c>
    </row>
    <row r="1141" spans="1:3" x14ac:dyDescent="0.3">
      <c r="A1141">
        <v>0.24</v>
      </c>
      <c r="B1141">
        <v>1</v>
      </c>
      <c r="C1141">
        <v>1</v>
      </c>
    </row>
    <row r="1142" spans="1:3" x14ac:dyDescent="0.3">
      <c r="A1142">
        <v>0.24</v>
      </c>
      <c r="B1142">
        <v>1</v>
      </c>
      <c r="C1142">
        <v>1</v>
      </c>
    </row>
    <row r="1143" spans="1:3" x14ac:dyDescent="0.3">
      <c r="A1143">
        <v>0.24</v>
      </c>
      <c r="B1143">
        <v>1</v>
      </c>
      <c r="C1143">
        <v>1</v>
      </c>
    </row>
    <row r="1144" spans="1:3" x14ac:dyDescent="0.3">
      <c r="A1144">
        <v>0.24</v>
      </c>
      <c r="B1144">
        <v>1</v>
      </c>
      <c r="C1144">
        <v>1</v>
      </c>
    </row>
    <row r="1145" spans="1:3" x14ac:dyDescent="0.3">
      <c r="A1145">
        <v>0.24</v>
      </c>
      <c r="B1145">
        <v>1</v>
      </c>
      <c r="C1145">
        <v>1</v>
      </c>
    </row>
    <row r="1146" spans="1:3" x14ac:dyDescent="0.3">
      <c r="A1146">
        <v>0.24</v>
      </c>
      <c r="B1146">
        <v>1</v>
      </c>
      <c r="C1146">
        <v>1</v>
      </c>
    </row>
    <row r="1147" spans="1:3" x14ac:dyDescent="0.3">
      <c r="A1147">
        <v>0.24</v>
      </c>
      <c r="B1147">
        <v>1</v>
      </c>
      <c r="C1147">
        <v>1</v>
      </c>
    </row>
    <row r="1148" spans="1:3" x14ac:dyDescent="0.3">
      <c r="A1148">
        <v>0.24</v>
      </c>
      <c r="B1148">
        <v>1</v>
      </c>
      <c r="C1148">
        <v>1</v>
      </c>
    </row>
    <row r="1149" spans="1:3" x14ac:dyDescent="0.3">
      <c r="A1149">
        <v>0.24</v>
      </c>
      <c r="B1149">
        <v>1</v>
      </c>
      <c r="C1149">
        <v>1</v>
      </c>
    </row>
    <row r="1150" spans="1:3" x14ac:dyDescent="0.3">
      <c r="A1150">
        <v>0.24</v>
      </c>
      <c r="B1150">
        <v>1</v>
      </c>
      <c r="C1150">
        <v>1</v>
      </c>
    </row>
    <row r="1151" spans="1:3" x14ac:dyDescent="0.3">
      <c r="A1151">
        <v>0.25</v>
      </c>
      <c r="B1151">
        <v>1</v>
      </c>
      <c r="C1151">
        <v>1</v>
      </c>
    </row>
    <row r="1152" spans="1:3" x14ac:dyDescent="0.3">
      <c r="A1152">
        <v>0.25</v>
      </c>
      <c r="B1152">
        <v>1</v>
      </c>
      <c r="C1152">
        <v>1</v>
      </c>
    </row>
    <row r="1153" spans="1:3" x14ac:dyDescent="0.3">
      <c r="A1153">
        <v>0.25</v>
      </c>
      <c r="B1153">
        <v>1</v>
      </c>
      <c r="C1153">
        <v>1</v>
      </c>
    </row>
    <row r="1154" spans="1:3" x14ac:dyDescent="0.3">
      <c r="A1154">
        <v>0.25</v>
      </c>
      <c r="B1154">
        <v>1</v>
      </c>
      <c r="C1154">
        <v>1</v>
      </c>
    </row>
    <row r="1155" spans="1:3" x14ac:dyDescent="0.3">
      <c r="A1155">
        <v>0.25</v>
      </c>
      <c r="B1155">
        <v>1</v>
      </c>
      <c r="C1155">
        <v>1</v>
      </c>
    </row>
    <row r="1156" spans="1:3" x14ac:dyDescent="0.3">
      <c r="A1156">
        <v>0.25</v>
      </c>
      <c r="B1156">
        <v>1</v>
      </c>
      <c r="C1156">
        <v>1</v>
      </c>
    </row>
    <row r="1157" spans="1:3" x14ac:dyDescent="0.3">
      <c r="A1157">
        <v>0.25</v>
      </c>
      <c r="B1157">
        <v>1</v>
      </c>
      <c r="C1157">
        <v>1</v>
      </c>
    </row>
    <row r="1158" spans="1:3" x14ac:dyDescent="0.3">
      <c r="A1158">
        <v>0.25</v>
      </c>
      <c r="B1158">
        <v>1</v>
      </c>
      <c r="C1158">
        <v>1</v>
      </c>
    </row>
    <row r="1159" spans="1:3" x14ac:dyDescent="0.3">
      <c r="A1159">
        <v>0.25</v>
      </c>
      <c r="B1159">
        <v>1</v>
      </c>
      <c r="C1159">
        <v>1</v>
      </c>
    </row>
    <row r="1160" spans="1:3" x14ac:dyDescent="0.3">
      <c r="A1160">
        <v>0.25</v>
      </c>
      <c r="B1160">
        <v>1</v>
      </c>
      <c r="C1160">
        <v>1</v>
      </c>
    </row>
    <row r="1161" spans="1:3" x14ac:dyDescent="0.3">
      <c r="A1161">
        <v>0.25</v>
      </c>
      <c r="B1161">
        <v>1</v>
      </c>
      <c r="C1161">
        <v>1</v>
      </c>
    </row>
    <row r="1162" spans="1:3" x14ac:dyDescent="0.3">
      <c r="A1162">
        <v>0.25</v>
      </c>
      <c r="B1162">
        <v>1</v>
      </c>
      <c r="C1162">
        <v>1</v>
      </c>
    </row>
    <row r="1163" spans="1:3" x14ac:dyDescent="0.3">
      <c r="A1163">
        <v>0.25</v>
      </c>
      <c r="B1163">
        <v>1</v>
      </c>
      <c r="C1163">
        <v>1</v>
      </c>
    </row>
    <row r="1164" spans="1:3" x14ac:dyDescent="0.3">
      <c r="A1164">
        <v>0.25</v>
      </c>
      <c r="B1164">
        <v>1</v>
      </c>
      <c r="C1164">
        <v>1</v>
      </c>
    </row>
    <row r="1165" spans="1:3" x14ac:dyDescent="0.3">
      <c r="A1165">
        <v>0.25</v>
      </c>
      <c r="B1165">
        <v>1</v>
      </c>
      <c r="C1165">
        <v>1</v>
      </c>
    </row>
    <row r="1166" spans="1:3" x14ac:dyDescent="0.3">
      <c r="A1166">
        <v>0.25</v>
      </c>
      <c r="B1166">
        <v>1</v>
      </c>
      <c r="C1166">
        <v>1</v>
      </c>
    </row>
    <row r="1167" spans="1:3" x14ac:dyDescent="0.3">
      <c r="A1167">
        <v>0.25</v>
      </c>
      <c r="B1167">
        <v>1</v>
      </c>
      <c r="C1167">
        <v>1</v>
      </c>
    </row>
    <row r="1168" spans="1:3" x14ac:dyDescent="0.3">
      <c r="A1168">
        <v>0.25</v>
      </c>
      <c r="B1168">
        <v>1</v>
      </c>
      <c r="C1168">
        <v>1</v>
      </c>
    </row>
    <row r="1169" spans="1:3" x14ac:dyDescent="0.3">
      <c r="A1169">
        <v>0.25</v>
      </c>
      <c r="B1169">
        <v>1</v>
      </c>
      <c r="C1169">
        <v>1</v>
      </c>
    </row>
    <row r="1170" spans="1:3" x14ac:dyDescent="0.3">
      <c r="A1170">
        <v>0.25</v>
      </c>
      <c r="B1170">
        <v>1</v>
      </c>
      <c r="C1170">
        <v>1</v>
      </c>
    </row>
    <row r="1171" spans="1:3" x14ac:dyDescent="0.3">
      <c r="A1171">
        <v>0.25</v>
      </c>
      <c r="B1171">
        <v>1</v>
      </c>
      <c r="C1171">
        <v>1</v>
      </c>
    </row>
    <row r="1172" spans="1:3" x14ac:dyDescent="0.3">
      <c r="A1172">
        <v>0.25</v>
      </c>
      <c r="B1172">
        <v>1</v>
      </c>
      <c r="C1172">
        <v>1</v>
      </c>
    </row>
    <row r="1173" spans="1:3" x14ac:dyDescent="0.3">
      <c r="A1173">
        <v>0.25</v>
      </c>
      <c r="B1173">
        <v>1</v>
      </c>
      <c r="C1173">
        <v>1</v>
      </c>
    </row>
    <row r="1174" spans="1:3" x14ac:dyDescent="0.3">
      <c r="A1174">
        <v>0.25</v>
      </c>
      <c r="B1174">
        <v>1</v>
      </c>
      <c r="C1174">
        <v>1</v>
      </c>
    </row>
    <row r="1175" spans="1:3" x14ac:dyDescent="0.3">
      <c r="A1175">
        <v>0.25</v>
      </c>
      <c r="B1175">
        <v>1</v>
      </c>
      <c r="C1175">
        <v>1</v>
      </c>
    </row>
    <row r="1176" spans="1:3" x14ac:dyDescent="0.3">
      <c r="A1176">
        <v>0.25</v>
      </c>
      <c r="B1176">
        <v>1</v>
      </c>
      <c r="C1176">
        <v>1</v>
      </c>
    </row>
    <row r="1177" spans="1:3" x14ac:dyDescent="0.3">
      <c r="A1177">
        <v>0.25</v>
      </c>
      <c r="B1177">
        <v>1</v>
      </c>
      <c r="C1177">
        <v>1</v>
      </c>
    </row>
    <row r="1178" spans="1:3" x14ac:dyDescent="0.3">
      <c r="A1178">
        <v>0.25</v>
      </c>
      <c r="B1178">
        <v>1</v>
      </c>
      <c r="C1178">
        <v>1</v>
      </c>
    </row>
    <row r="1179" spans="1:3" x14ac:dyDescent="0.3">
      <c r="A1179">
        <v>0.25</v>
      </c>
      <c r="B1179">
        <v>1</v>
      </c>
      <c r="C1179">
        <v>1</v>
      </c>
    </row>
    <row r="1180" spans="1:3" x14ac:dyDescent="0.3">
      <c r="A1180">
        <v>0.25</v>
      </c>
      <c r="B1180">
        <v>1</v>
      </c>
      <c r="C1180">
        <v>1</v>
      </c>
    </row>
    <row r="1181" spans="1:3" x14ac:dyDescent="0.3">
      <c r="A1181">
        <v>0.25</v>
      </c>
      <c r="B1181">
        <v>1</v>
      </c>
      <c r="C1181">
        <v>1</v>
      </c>
    </row>
    <row r="1182" spans="1:3" x14ac:dyDescent="0.3">
      <c r="A1182">
        <v>0.26</v>
      </c>
      <c r="B1182">
        <v>1</v>
      </c>
      <c r="C1182">
        <v>1</v>
      </c>
    </row>
    <row r="1183" spans="1:3" x14ac:dyDescent="0.3">
      <c r="A1183">
        <v>0.26</v>
      </c>
      <c r="B1183">
        <v>1</v>
      </c>
      <c r="C1183">
        <v>1</v>
      </c>
    </row>
    <row r="1184" spans="1:3" x14ac:dyDescent="0.3">
      <c r="A1184">
        <v>0.26</v>
      </c>
      <c r="B1184">
        <v>1</v>
      </c>
      <c r="C1184">
        <v>1</v>
      </c>
    </row>
    <row r="1185" spans="1:3" x14ac:dyDescent="0.3">
      <c r="A1185">
        <v>0.26</v>
      </c>
      <c r="B1185">
        <v>1</v>
      </c>
      <c r="C1185">
        <v>1</v>
      </c>
    </row>
    <row r="1186" spans="1:3" x14ac:dyDescent="0.3">
      <c r="A1186">
        <v>0.26</v>
      </c>
      <c r="B1186">
        <v>1</v>
      </c>
      <c r="C1186">
        <v>1</v>
      </c>
    </row>
    <row r="1187" spans="1:3" x14ac:dyDescent="0.3">
      <c r="A1187">
        <v>0.26</v>
      </c>
      <c r="B1187">
        <v>1</v>
      </c>
      <c r="C1187">
        <v>1</v>
      </c>
    </row>
    <row r="1188" spans="1:3" x14ac:dyDescent="0.3">
      <c r="A1188">
        <v>0.26</v>
      </c>
      <c r="B1188">
        <v>1</v>
      </c>
      <c r="C1188">
        <v>1</v>
      </c>
    </row>
    <row r="1189" spans="1:3" x14ac:dyDescent="0.3">
      <c r="A1189">
        <v>0.26</v>
      </c>
      <c r="B1189">
        <v>1</v>
      </c>
      <c r="C1189">
        <v>1</v>
      </c>
    </row>
    <row r="1190" spans="1:3" x14ac:dyDescent="0.3">
      <c r="A1190">
        <v>0.26</v>
      </c>
      <c r="B1190">
        <v>1</v>
      </c>
      <c r="C1190">
        <v>1</v>
      </c>
    </row>
    <row r="1191" spans="1:3" x14ac:dyDescent="0.3">
      <c r="A1191">
        <v>0.26</v>
      </c>
      <c r="B1191">
        <v>1</v>
      </c>
      <c r="C1191">
        <v>1</v>
      </c>
    </row>
    <row r="1192" spans="1:3" x14ac:dyDescent="0.3">
      <c r="A1192">
        <v>0.26</v>
      </c>
      <c r="B1192">
        <v>1</v>
      </c>
      <c r="C1192">
        <v>1</v>
      </c>
    </row>
    <row r="1193" spans="1:3" x14ac:dyDescent="0.3">
      <c r="A1193">
        <v>0.26</v>
      </c>
      <c r="B1193">
        <v>1</v>
      </c>
      <c r="C1193">
        <v>1</v>
      </c>
    </row>
    <row r="1194" spans="1:3" x14ac:dyDescent="0.3">
      <c r="A1194">
        <v>0.26</v>
      </c>
      <c r="B1194">
        <v>1</v>
      </c>
      <c r="C1194">
        <v>1</v>
      </c>
    </row>
    <row r="1195" spans="1:3" x14ac:dyDescent="0.3">
      <c r="A1195">
        <v>0.26</v>
      </c>
      <c r="B1195">
        <v>1</v>
      </c>
      <c r="C1195">
        <v>1</v>
      </c>
    </row>
    <row r="1196" spans="1:3" x14ac:dyDescent="0.3">
      <c r="A1196">
        <v>0.26</v>
      </c>
      <c r="B1196">
        <v>1</v>
      </c>
      <c r="C1196">
        <v>1</v>
      </c>
    </row>
    <row r="1197" spans="1:3" x14ac:dyDescent="0.3">
      <c r="A1197">
        <v>0.26</v>
      </c>
      <c r="B1197">
        <v>1</v>
      </c>
      <c r="C1197">
        <v>1</v>
      </c>
    </row>
    <row r="1198" spans="1:3" x14ac:dyDescent="0.3">
      <c r="A1198">
        <v>0.26</v>
      </c>
      <c r="B1198">
        <v>1</v>
      </c>
      <c r="C1198">
        <v>1</v>
      </c>
    </row>
    <row r="1199" spans="1:3" x14ac:dyDescent="0.3">
      <c r="A1199">
        <v>0.26</v>
      </c>
      <c r="B1199">
        <v>1</v>
      </c>
      <c r="C1199">
        <v>1</v>
      </c>
    </row>
    <row r="1200" spans="1:3" x14ac:dyDescent="0.3">
      <c r="A1200">
        <v>0.26</v>
      </c>
      <c r="B1200">
        <v>1</v>
      </c>
      <c r="C1200">
        <v>1</v>
      </c>
    </row>
    <row r="1201" spans="1:3" x14ac:dyDescent="0.3">
      <c r="A1201">
        <v>0.26</v>
      </c>
      <c r="B1201">
        <v>1</v>
      </c>
      <c r="C1201">
        <v>1</v>
      </c>
    </row>
    <row r="1202" spans="1:3" x14ac:dyDescent="0.3">
      <c r="A1202">
        <v>0.26</v>
      </c>
      <c r="B1202">
        <v>1</v>
      </c>
      <c r="C1202">
        <v>1</v>
      </c>
    </row>
    <row r="1203" spans="1:3" x14ac:dyDescent="0.3">
      <c r="A1203">
        <v>0.26</v>
      </c>
      <c r="B1203">
        <v>1</v>
      </c>
      <c r="C1203">
        <v>1</v>
      </c>
    </row>
    <row r="1204" spans="1:3" x14ac:dyDescent="0.3">
      <c r="A1204">
        <v>0.26</v>
      </c>
      <c r="B1204">
        <v>1</v>
      </c>
      <c r="C1204">
        <v>1</v>
      </c>
    </row>
    <row r="1205" spans="1:3" x14ac:dyDescent="0.3">
      <c r="A1205">
        <v>0.26</v>
      </c>
      <c r="B1205">
        <v>1</v>
      </c>
      <c r="C1205">
        <v>1</v>
      </c>
    </row>
    <row r="1206" spans="1:3" x14ac:dyDescent="0.3">
      <c r="A1206">
        <v>0.27</v>
      </c>
      <c r="B1206">
        <v>1</v>
      </c>
      <c r="C1206">
        <v>1</v>
      </c>
    </row>
    <row r="1207" spans="1:3" x14ac:dyDescent="0.3">
      <c r="A1207">
        <v>0.27</v>
      </c>
      <c r="B1207">
        <v>1</v>
      </c>
      <c r="C1207">
        <v>1</v>
      </c>
    </row>
    <row r="1208" spans="1:3" x14ac:dyDescent="0.3">
      <c r="A1208">
        <v>0.27</v>
      </c>
      <c r="B1208">
        <v>1</v>
      </c>
      <c r="C1208">
        <v>1</v>
      </c>
    </row>
    <row r="1209" spans="1:3" x14ac:dyDescent="0.3">
      <c r="A1209">
        <v>0.27</v>
      </c>
      <c r="B1209">
        <v>1</v>
      </c>
      <c r="C1209">
        <v>1</v>
      </c>
    </row>
    <row r="1210" spans="1:3" x14ac:dyDescent="0.3">
      <c r="A1210">
        <v>0.27</v>
      </c>
      <c r="B1210">
        <v>1</v>
      </c>
      <c r="C1210">
        <v>1</v>
      </c>
    </row>
    <row r="1211" spans="1:3" x14ac:dyDescent="0.3">
      <c r="A1211">
        <v>0.27</v>
      </c>
      <c r="B1211">
        <v>1</v>
      </c>
      <c r="C1211">
        <v>1</v>
      </c>
    </row>
    <row r="1212" spans="1:3" x14ac:dyDescent="0.3">
      <c r="A1212">
        <v>0.27</v>
      </c>
      <c r="B1212">
        <v>1</v>
      </c>
      <c r="C1212">
        <v>1</v>
      </c>
    </row>
    <row r="1213" spans="1:3" x14ac:dyDescent="0.3">
      <c r="A1213">
        <v>0.27</v>
      </c>
      <c r="B1213">
        <v>1</v>
      </c>
      <c r="C1213">
        <v>1</v>
      </c>
    </row>
    <row r="1214" spans="1:3" x14ac:dyDescent="0.3">
      <c r="A1214">
        <v>0.27</v>
      </c>
      <c r="B1214">
        <v>1</v>
      </c>
      <c r="C1214">
        <v>1</v>
      </c>
    </row>
    <row r="1215" spans="1:3" x14ac:dyDescent="0.3">
      <c r="A1215">
        <v>0.27</v>
      </c>
      <c r="B1215">
        <v>1</v>
      </c>
      <c r="C1215">
        <v>1</v>
      </c>
    </row>
    <row r="1216" spans="1:3" x14ac:dyDescent="0.3">
      <c r="A1216">
        <v>0.27</v>
      </c>
      <c r="B1216">
        <v>1</v>
      </c>
      <c r="C1216">
        <v>1</v>
      </c>
    </row>
    <row r="1217" spans="1:3" x14ac:dyDescent="0.3">
      <c r="A1217">
        <v>0.27</v>
      </c>
      <c r="B1217">
        <v>1</v>
      </c>
      <c r="C1217">
        <v>1</v>
      </c>
    </row>
    <row r="1218" spans="1:3" x14ac:dyDescent="0.3">
      <c r="A1218">
        <v>0.27</v>
      </c>
      <c r="B1218">
        <v>1</v>
      </c>
      <c r="C1218">
        <v>1</v>
      </c>
    </row>
    <row r="1219" spans="1:3" x14ac:dyDescent="0.3">
      <c r="A1219">
        <v>0.27</v>
      </c>
      <c r="B1219">
        <v>1</v>
      </c>
      <c r="C1219">
        <v>1</v>
      </c>
    </row>
    <row r="1220" spans="1:3" x14ac:dyDescent="0.3">
      <c r="A1220">
        <v>0.27</v>
      </c>
      <c r="B1220">
        <v>1</v>
      </c>
      <c r="C1220">
        <v>1</v>
      </c>
    </row>
    <row r="1221" spans="1:3" x14ac:dyDescent="0.3">
      <c r="A1221">
        <v>0.27</v>
      </c>
      <c r="B1221">
        <v>1</v>
      </c>
      <c r="C1221">
        <v>1</v>
      </c>
    </row>
    <row r="1222" spans="1:3" x14ac:dyDescent="0.3">
      <c r="A1222">
        <v>0.27</v>
      </c>
      <c r="B1222">
        <v>1</v>
      </c>
      <c r="C1222">
        <v>1</v>
      </c>
    </row>
    <row r="1223" spans="1:3" x14ac:dyDescent="0.3">
      <c r="A1223">
        <v>0.27</v>
      </c>
      <c r="B1223">
        <v>1</v>
      </c>
      <c r="C1223">
        <v>1</v>
      </c>
    </row>
    <row r="1224" spans="1:3" x14ac:dyDescent="0.3">
      <c r="A1224">
        <v>0.28000000000000003</v>
      </c>
      <c r="B1224">
        <v>1</v>
      </c>
      <c r="C1224">
        <v>1</v>
      </c>
    </row>
    <row r="1225" spans="1:3" x14ac:dyDescent="0.3">
      <c r="A1225">
        <v>0.28000000000000003</v>
      </c>
      <c r="B1225">
        <v>1</v>
      </c>
      <c r="C1225">
        <v>1</v>
      </c>
    </row>
    <row r="1226" spans="1:3" x14ac:dyDescent="0.3">
      <c r="A1226">
        <v>0.28000000000000003</v>
      </c>
      <c r="B1226">
        <v>1</v>
      </c>
      <c r="C1226">
        <v>1</v>
      </c>
    </row>
    <row r="1227" spans="1:3" x14ac:dyDescent="0.3">
      <c r="A1227">
        <v>0.28000000000000003</v>
      </c>
      <c r="B1227">
        <v>1</v>
      </c>
      <c r="C1227">
        <v>1</v>
      </c>
    </row>
    <row r="1228" spans="1:3" x14ac:dyDescent="0.3">
      <c r="A1228">
        <v>0.28000000000000003</v>
      </c>
      <c r="B1228">
        <v>1</v>
      </c>
      <c r="C1228">
        <v>1</v>
      </c>
    </row>
    <row r="1229" spans="1:3" x14ac:dyDescent="0.3">
      <c r="A1229">
        <v>0.28000000000000003</v>
      </c>
      <c r="B1229">
        <v>1</v>
      </c>
      <c r="C1229">
        <v>1</v>
      </c>
    </row>
    <row r="1230" spans="1:3" x14ac:dyDescent="0.3">
      <c r="A1230">
        <v>0.28000000000000003</v>
      </c>
      <c r="B1230">
        <v>1</v>
      </c>
      <c r="C1230">
        <v>1</v>
      </c>
    </row>
    <row r="1231" spans="1:3" x14ac:dyDescent="0.3">
      <c r="A1231">
        <v>0.28000000000000003</v>
      </c>
      <c r="B1231">
        <v>1</v>
      </c>
      <c r="C1231">
        <v>1</v>
      </c>
    </row>
    <row r="1232" spans="1:3" x14ac:dyDescent="0.3">
      <c r="A1232">
        <v>0.28000000000000003</v>
      </c>
      <c r="B1232">
        <v>1</v>
      </c>
      <c r="C1232">
        <v>1</v>
      </c>
    </row>
    <row r="1233" spans="1:3" x14ac:dyDescent="0.3">
      <c r="A1233">
        <v>0.28000000000000003</v>
      </c>
      <c r="B1233">
        <v>1</v>
      </c>
      <c r="C1233">
        <v>1</v>
      </c>
    </row>
    <row r="1234" spans="1:3" x14ac:dyDescent="0.3">
      <c r="A1234">
        <v>0.28000000000000003</v>
      </c>
      <c r="B1234">
        <v>1</v>
      </c>
      <c r="C1234">
        <v>1</v>
      </c>
    </row>
    <row r="1235" spans="1:3" x14ac:dyDescent="0.3">
      <c r="A1235">
        <v>0.28000000000000003</v>
      </c>
      <c r="B1235">
        <v>1</v>
      </c>
      <c r="C1235">
        <v>1</v>
      </c>
    </row>
    <row r="1236" spans="1:3" x14ac:dyDescent="0.3">
      <c r="A1236">
        <v>0.28000000000000003</v>
      </c>
      <c r="B1236">
        <v>1</v>
      </c>
      <c r="C1236">
        <v>1</v>
      </c>
    </row>
    <row r="1237" spans="1:3" x14ac:dyDescent="0.3">
      <c r="A1237">
        <v>0.28000000000000003</v>
      </c>
      <c r="B1237">
        <v>1</v>
      </c>
      <c r="C1237">
        <v>1</v>
      </c>
    </row>
    <row r="1238" spans="1:3" x14ac:dyDescent="0.3">
      <c r="A1238">
        <v>0.28000000000000003</v>
      </c>
      <c r="B1238">
        <v>1</v>
      </c>
      <c r="C1238">
        <v>1</v>
      </c>
    </row>
    <row r="1239" spans="1:3" x14ac:dyDescent="0.3">
      <c r="A1239">
        <v>0.28000000000000003</v>
      </c>
      <c r="B1239">
        <v>1</v>
      </c>
      <c r="C1239">
        <v>1</v>
      </c>
    </row>
    <row r="1240" spans="1:3" x14ac:dyDescent="0.3">
      <c r="A1240">
        <v>0.28000000000000003</v>
      </c>
      <c r="B1240">
        <v>1</v>
      </c>
      <c r="C1240">
        <v>1</v>
      </c>
    </row>
    <row r="1241" spans="1:3" x14ac:dyDescent="0.3">
      <c r="A1241">
        <v>0.28000000000000003</v>
      </c>
      <c r="B1241">
        <v>1</v>
      </c>
      <c r="C1241">
        <v>1</v>
      </c>
    </row>
    <row r="1242" spans="1:3" x14ac:dyDescent="0.3">
      <c r="A1242">
        <v>0.28000000000000003</v>
      </c>
      <c r="B1242">
        <v>1</v>
      </c>
      <c r="C1242">
        <v>1</v>
      </c>
    </row>
    <row r="1243" spans="1:3" x14ac:dyDescent="0.3">
      <c r="A1243">
        <v>0.28000000000000003</v>
      </c>
      <c r="B1243">
        <v>1</v>
      </c>
      <c r="C1243">
        <v>1</v>
      </c>
    </row>
    <row r="1244" spans="1:3" x14ac:dyDescent="0.3">
      <c r="A1244">
        <v>0.28000000000000003</v>
      </c>
      <c r="B1244">
        <v>1</v>
      </c>
      <c r="C1244">
        <v>1</v>
      </c>
    </row>
    <row r="1245" spans="1:3" x14ac:dyDescent="0.3">
      <c r="A1245">
        <v>0.28000000000000003</v>
      </c>
      <c r="B1245">
        <v>1</v>
      </c>
      <c r="C1245">
        <v>1</v>
      </c>
    </row>
    <row r="1246" spans="1:3" x14ac:dyDescent="0.3">
      <c r="A1246">
        <v>0.28000000000000003</v>
      </c>
      <c r="B1246">
        <v>1</v>
      </c>
      <c r="C1246">
        <v>1</v>
      </c>
    </row>
    <row r="1247" spans="1:3" x14ac:dyDescent="0.3">
      <c r="A1247">
        <v>0.28000000000000003</v>
      </c>
      <c r="B1247">
        <v>1</v>
      </c>
      <c r="C1247">
        <v>1</v>
      </c>
    </row>
    <row r="1248" spans="1:3" x14ac:dyDescent="0.3">
      <c r="A1248">
        <v>0.28000000000000003</v>
      </c>
      <c r="B1248">
        <v>1</v>
      </c>
      <c r="C1248">
        <v>1</v>
      </c>
    </row>
    <row r="1249" spans="1:3" x14ac:dyDescent="0.3">
      <c r="A1249">
        <v>0.28000000000000003</v>
      </c>
      <c r="B1249">
        <v>1</v>
      </c>
      <c r="C1249">
        <v>1</v>
      </c>
    </row>
    <row r="1250" spans="1:3" x14ac:dyDescent="0.3">
      <c r="A1250">
        <v>0.28000000000000003</v>
      </c>
      <c r="B1250">
        <v>1</v>
      </c>
      <c r="C1250">
        <v>1</v>
      </c>
    </row>
    <row r="1251" spans="1:3" x14ac:dyDescent="0.3">
      <c r="A1251">
        <v>0.28000000000000003</v>
      </c>
      <c r="B1251">
        <v>1</v>
      </c>
      <c r="C1251">
        <v>1</v>
      </c>
    </row>
    <row r="1252" spans="1:3" x14ac:dyDescent="0.3">
      <c r="A1252">
        <v>0.28000000000000003</v>
      </c>
      <c r="B1252">
        <v>1</v>
      </c>
      <c r="C1252">
        <v>1</v>
      </c>
    </row>
    <row r="1253" spans="1:3" x14ac:dyDescent="0.3">
      <c r="A1253">
        <v>0.28999999999999998</v>
      </c>
      <c r="B1253">
        <v>1</v>
      </c>
      <c r="C1253">
        <v>1</v>
      </c>
    </row>
    <row r="1254" spans="1:3" x14ac:dyDescent="0.3">
      <c r="A1254">
        <v>0.28999999999999998</v>
      </c>
      <c r="B1254">
        <v>1</v>
      </c>
      <c r="C1254">
        <v>1</v>
      </c>
    </row>
    <row r="1255" spans="1:3" x14ac:dyDescent="0.3">
      <c r="A1255">
        <v>0.28999999999999998</v>
      </c>
      <c r="B1255">
        <v>1</v>
      </c>
      <c r="C1255">
        <v>1</v>
      </c>
    </row>
    <row r="1256" spans="1:3" x14ac:dyDescent="0.3">
      <c r="A1256">
        <v>0.28999999999999998</v>
      </c>
      <c r="B1256">
        <v>1</v>
      </c>
      <c r="C1256">
        <v>1</v>
      </c>
    </row>
    <row r="1257" spans="1:3" x14ac:dyDescent="0.3">
      <c r="A1257">
        <v>0.28999999999999998</v>
      </c>
      <c r="B1257">
        <v>1</v>
      </c>
      <c r="C1257">
        <v>1</v>
      </c>
    </row>
    <row r="1258" spans="1:3" x14ac:dyDescent="0.3">
      <c r="A1258">
        <v>0.28999999999999998</v>
      </c>
      <c r="B1258">
        <v>1</v>
      </c>
      <c r="C1258">
        <v>1</v>
      </c>
    </row>
    <row r="1259" spans="1:3" x14ac:dyDescent="0.3">
      <c r="A1259">
        <v>0.28999999999999998</v>
      </c>
      <c r="B1259">
        <v>1</v>
      </c>
      <c r="C1259">
        <v>1</v>
      </c>
    </row>
    <row r="1260" spans="1:3" x14ac:dyDescent="0.3">
      <c r="A1260">
        <v>0.28999999999999998</v>
      </c>
      <c r="B1260">
        <v>1</v>
      </c>
      <c r="C1260">
        <v>1</v>
      </c>
    </row>
    <row r="1261" spans="1:3" x14ac:dyDescent="0.3">
      <c r="A1261">
        <v>0.28999999999999998</v>
      </c>
      <c r="B1261">
        <v>1</v>
      </c>
      <c r="C1261">
        <v>1</v>
      </c>
    </row>
    <row r="1262" spans="1:3" x14ac:dyDescent="0.3">
      <c r="A1262">
        <v>0.28999999999999998</v>
      </c>
      <c r="B1262">
        <v>1</v>
      </c>
      <c r="C1262">
        <v>1</v>
      </c>
    </row>
    <row r="1263" spans="1:3" x14ac:dyDescent="0.3">
      <c r="A1263">
        <v>0.28999999999999998</v>
      </c>
      <c r="B1263">
        <v>1</v>
      </c>
      <c r="C1263">
        <v>1</v>
      </c>
    </row>
    <row r="1264" spans="1:3" x14ac:dyDescent="0.3">
      <c r="A1264">
        <v>0.28999999999999998</v>
      </c>
      <c r="B1264">
        <v>1</v>
      </c>
      <c r="C1264">
        <v>1</v>
      </c>
    </row>
    <row r="1265" spans="1:3" x14ac:dyDescent="0.3">
      <c r="A1265">
        <v>0.28999999999999998</v>
      </c>
      <c r="B1265">
        <v>1</v>
      </c>
      <c r="C1265">
        <v>1</v>
      </c>
    </row>
    <row r="1266" spans="1:3" x14ac:dyDescent="0.3">
      <c r="A1266">
        <v>0.28999999999999998</v>
      </c>
      <c r="B1266">
        <v>1</v>
      </c>
      <c r="C1266">
        <v>1</v>
      </c>
    </row>
    <row r="1267" spans="1:3" x14ac:dyDescent="0.3">
      <c r="A1267">
        <v>0.28999999999999998</v>
      </c>
      <c r="B1267">
        <v>1</v>
      </c>
      <c r="C1267">
        <v>1</v>
      </c>
    </row>
    <row r="1268" spans="1:3" x14ac:dyDescent="0.3">
      <c r="A1268">
        <v>0.28999999999999998</v>
      </c>
      <c r="B1268">
        <v>1</v>
      </c>
      <c r="C1268">
        <v>1</v>
      </c>
    </row>
    <row r="1269" spans="1:3" x14ac:dyDescent="0.3">
      <c r="A1269">
        <v>0.28999999999999998</v>
      </c>
      <c r="B1269">
        <v>1</v>
      </c>
      <c r="C1269">
        <v>1</v>
      </c>
    </row>
    <row r="1270" spans="1:3" x14ac:dyDescent="0.3">
      <c r="A1270">
        <v>0.28999999999999998</v>
      </c>
      <c r="B1270">
        <v>1</v>
      </c>
      <c r="C1270">
        <v>1</v>
      </c>
    </row>
    <row r="1271" spans="1:3" x14ac:dyDescent="0.3">
      <c r="A1271">
        <v>0.28999999999999998</v>
      </c>
      <c r="B1271">
        <v>1</v>
      </c>
      <c r="C1271">
        <v>1</v>
      </c>
    </row>
    <row r="1272" spans="1:3" x14ac:dyDescent="0.3">
      <c r="A1272">
        <v>0.28999999999999998</v>
      </c>
      <c r="B1272">
        <v>1</v>
      </c>
      <c r="C1272">
        <v>1</v>
      </c>
    </row>
    <row r="1273" spans="1:3" x14ac:dyDescent="0.3">
      <c r="A1273">
        <v>0.28999999999999998</v>
      </c>
      <c r="B1273">
        <v>1</v>
      </c>
      <c r="C1273">
        <v>1</v>
      </c>
    </row>
    <row r="1274" spans="1:3" x14ac:dyDescent="0.3">
      <c r="A1274">
        <v>0.28999999999999998</v>
      </c>
      <c r="B1274">
        <v>1</v>
      </c>
      <c r="C1274">
        <v>1</v>
      </c>
    </row>
    <row r="1275" spans="1:3" x14ac:dyDescent="0.3">
      <c r="A1275">
        <v>0.28999999999999998</v>
      </c>
      <c r="B1275">
        <v>1</v>
      </c>
      <c r="C1275">
        <v>1</v>
      </c>
    </row>
    <row r="1276" spans="1:3" x14ac:dyDescent="0.3">
      <c r="A1276">
        <v>0.28999999999999998</v>
      </c>
      <c r="B1276">
        <v>1</v>
      </c>
      <c r="C1276">
        <v>1</v>
      </c>
    </row>
    <row r="1277" spans="1:3" x14ac:dyDescent="0.3">
      <c r="A1277">
        <v>0.28999999999999998</v>
      </c>
      <c r="B1277">
        <v>1</v>
      </c>
      <c r="C1277">
        <v>1</v>
      </c>
    </row>
    <row r="1278" spans="1:3" x14ac:dyDescent="0.3">
      <c r="A1278">
        <v>0.28999999999999998</v>
      </c>
      <c r="B1278">
        <v>1</v>
      </c>
      <c r="C1278">
        <v>1</v>
      </c>
    </row>
    <row r="1279" spans="1:3" x14ac:dyDescent="0.3">
      <c r="A1279">
        <v>0.28999999999999998</v>
      </c>
      <c r="B1279">
        <v>1</v>
      </c>
      <c r="C1279">
        <v>1</v>
      </c>
    </row>
    <row r="1280" spans="1:3" x14ac:dyDescent="0.3">
      <c r="A1280">
        <v>0.28999999999999998</v>
      </c>
      <c r="B1280">
        <v>1</v>
      </c>
      <c r="C1280">
        <v>1</v>
      </c>
    </row>
    <row r="1281" spans="1:3" x14ac:dyDescent="0.3">
      <c r="A1281">
        <v>0.28999999999999998</v>
      </c>
      <c r="B1281">
        <v>1</v>
      </c>
      <c r="C1281">
        <v>1</v>
      </c>
    </row>
    <row r="1282" spans="1:3" x14ac:dyDescent="0.3">
      <c r="A1282">
        <v>0.28999999999999998</v>
      </c>
      <c r="B1282">
        <v>1</v>
      </c>
      <c r="C1282">
        <v>1</v>
      </c>
    </row>
    <row r="1283" spans="1:3" x14ac:dyDescent="0.3">
      <c r="A1283">
        <v>0.3</v>
      </c>
      <c r="B1283">
        <v>1</v>
      </c>
      <c r="C1283">
        <v>1</v>
      </c>
    </row>
    <row r="1284" spans="1:3" x14ac:dyDescent="0.3">
      <c r="A1284">
        <v>0.3</v>
      </c>
      <c r="B1284">
        <v>1</v>
      </c>
      <c r="C1284">
        <v>1</v>
      </c>
    </row>
    <row r="1285" spans="1:3" x14ac:dyDescent="0.3">
      <c r="A1285">
        <v>0.3</v>
      </c>
      <c r="B1285">
        <v>1</v>
      </c>
      <c r="C1285">
        <v>1</v>
      </c>
    </row>
    <row r="1286" spans="1:3" x14ac:dyDescent="0.3">
      <c r="A1286">
        <v>0.3</v>
      </c>
      <c r="B1286">
        <v>1</v>
      </c>
      <c r="C1286">
        <v>1</v>
      </c>
    </row>
    <row r="1287" spans="1:3" x14ac:dyDescent="0.3">
      <c r="A1287">
        <v>0.3</v>
      </c>
      <c r="B1287">
        <v>1</v>
      </c>
      <c r="C1287">
        <v>1</v>
      </c>
    </row>
    <row r="1288" spans="1:3" x14ac:dyDescent="0.3">
      <c r="A1288">
        <v>0.3</v>
      </c>
      <c r="B1288">
        <v>1</v>
      </c>
      <c r="C1288">
        <v>1</v>
      </c>
    </row>
    <row r="1289" spans="1:3" x14ac:dyDescent="0.3">
      <c r="A1289">
        <v>0.3</v>
      </c>
      <c r="B1289">
        <v>1</v>
      </c>
      <c r="C1289">
        <v>1</v>
      </c>
    </row>
    <row r="1290" spans="1:3" x14ac:dyDescent="0.3">
      <c r="A1290">
        <v>0.3</v>
      </c>
      <c r="B1290">
        <v>1</v>
      </c>
      <c r="C1290">
        <v>1</v>
      </c>
    </row>
    <row r="1291" spans="1:3" x14ac:dyDescent="0.3">
      <c r="A1291">
        <v>0.3</v>
      </c>
      <c r="B1291">
        <v>1</v>
      </c>
      <c r="C1291">
        <v>1</v>
      </c>
    </row>
    <row r="1292" spans="1:3" x14ac:dyDescent="0.3">
      <c r="A1292">
        <v>0.3</v>
      </c>
      <c r="B1292">
        <v>1</v>
      </c>
      <c r="C1292">
        <v>1</v>
      </c>
    </row>
    <row r="1293" spans="1:3" x14ac:dyDescent="0.3">
      <c r="A1293">
        <v>0.3</v>
      </c>
      <c r="B1293">
        <v>1</v>
      </c>
      <c r="C1293">
        <v>1</v>
      </c>
    </row>
    <row r="1294" spans="1:3" x14ac:dyDescent="0.3">
      <c r="A1294">
        <v>0.3</v>
      </c>
      <c r="B1294">
        <v>1</v>
      </c>
      <c r="C1294">
        <v>1</v>
      </c>
    </row>
    <row r="1295" spans="1:3" x14ac:dyDescent="0.3">
      <c r="A1295">
        <v>0.3</v>
      </c>
      <c r="B1295">
        <v>1</v>
      </c>
      <c r="C1295">
        <v>1</v>
      </c>
    </row>
    <row r="1296" spans="1:3" x14ac:dyDescent="0.3">
      <c r="A1296">
        <v>0.3</v>
      </c>
      <c r="B1296">
        <v>1</v>
      </c>
      <c r="C1296">
        <v>1</v>
      </c>
    </row>
    <row r="1297" spans="1:3" x14ac:dyDescent="0.3">
      <c r="A1297">
        <v>0.3</v>
      </c>
      <c r="B1297">
        <v>1</v>
      </c>
      <c r="C1297">
        <v>1</v>
      </c>
    </row>
    <row r="1298" spans="1:3" x14ac:dyDescent="0.3">
      <c r="A1298">
        <v>0.3</v>
      </c>
      <c r="B1298">
        <v>1</v>
      </c>
      <c r="C1298">
        <v>1</v>
      </c>
    </row>
    <row r="1299" spans="1:3" x14ac:dyDescent="0.3">
      <c r="A1299">
        <v>0.3</v>
      </c>
      <c r="B1299">
        <v>1</v>
      </c>
      <c r="C1299">
        <v>1</v>
      </c>
    </row>
    <row r="1300" spans="1:3" x14ac:dyDescent="0.3">
      <c r="A1300">
        <v>0.3</v>
      </c>
      <c r="B1300">
        <v>1</v>
      </c>
      <c r="C1300">
        <v>1</v>
      </c>
    </row>
    <row r="1301" spans="1:3" x14ac:dyDescent="0.3">
      <c r="A1301">
        <v>0.3</v>
      </c>
      <c r="B1301">
        <v>1</v>
      </c>
      <c r="C1301">
        <v>1</v>
      </c>
    </row>
    <row r="1302" spans="1:3" x14ac:dyDescent="0.3">
      <c r="A1302">
        <v>0.3</v>
      </c>
      <c r="B1302">
        <v>1</v>
      </c>
      <c r="C1302">
        <v>1</v>
      </c>
    </row>
    <row r="1303" spans="1:3" x14ac:dyDescent="0.3">
      <c r="A1303">
        <v>0.3</v>
      </c>
      <c r="B1303">
        <v>1</v>
      </c>
      <c r="C1303">
        <v>1</v>
      </c>
    </row>
    <row r="1304" spans="1:3" x14ac:dyDescent="0.3">
      <c r="A1304">
        <v>0.3</v>
      </c>
      <c r="B1304">
        <v>1</v>
      </c>
      <c r="C1304">
        <v>1</v>
      </c>
    </row>
    <row r="1305" spans="1:3" x14ac:dyDescent="0.3">
      <c r="A1305">
        <v>0.3</v>
      </c>
      <c r="B1305">
        <v>1</v>
      </c>
      <c r="C1305">
        <v>1</v>
      </c>
    </row>
    <row r="1306" spans="1:3" x14ac:dyDescent="0.3">
      <c r="A1306">
        <v>0.3</v>
      </c>
      <c r="B1306">
        <v>1</v>
      </c>
      <c r="C1306">
        <v>1</v>
      </c>
    </row>
    <row r="1307" spans="1:3" x14ac:dyDescent="0.3">
      <c r="A1307">
        <v>0.3</v>
      </c>
      <c r="B1307">
        <v>1</v>
      </c>
      <c r="C1307">
        <v>1</v>
      </c>
    </row>
    <row r="1308" spans="1:3" x14ac:dyDescent="0.3">
      <c r="A1308">
        <v>0.31</v>
      </c>
      <c r="B1308">
        <v>1</v>
      </c>
      <c r="C1308">
        <v>1</v>
      </c>
    </row>
    <row r="1309" spans="1:3" x14ac:dyDescent="0.3">
      <c r="A1309">
        <v>0.31</v>
      </c>
      <c r="B1309">
        <v>1</v>
      </c>
      <c r="C1309">
        <v>1</v>
      </c>
    </row>
    <row r="1310" spans="1:3" x14ac:dyDescent="0.3">
      <c r="A1310">
        <v>0.31</v>
      </c>
      <c r="B1310">
        <v>1</v>
      </c>
      <c r="C1310">
        <v>1</v>
      </c>
    </row>
    <row r="1311" spans="1:3" x14ac:dyDescent="0.3">
      <c r="A1311">
        <v>0.31</v>
      </c>
      <c r="B1311">
        <v>1</v>
      </c>
      <c r="C1311">
        <v>1</v>
      </c>
    </row>
    <row r="1312" spans="1:3" x14ac:dyDescent="0.3">
      <c r="A1312">
        <v>0.31</v>
      </c>
      <c r="B1312">
        <v>1</v>
      </c>
      <c r="C1312">
        <v>1</v>
      </c>
    </row>
    <row r="1313" spans="1:3" x14ac:dyDescent="0.3">
      <c r="A1313">
        <v>0.31</v>
      </c>
      <c r="B1313">
        <v>1</v>
      </c>
      <c r="C1313">
        <v>1</v>
      </c>
    </row>
    <row r="1314" spans="1:3" x14ac:dyDescent="0.3">
      <c r="A1314">
        <v>0.31</v>
      </c>
      <c r="B1314">
        <v>1</v>
      </c>
      <c r="C1314">
        <v>1</v>
      </c>
    </row>
    <row r="1315" spans="1:3" x14ac:dyDescent="0.3">
      <c r="A1315">
        <v>0.31</v>
      </c>
      <c r="B1315">
        <v>1</v>
      </c>
      <c r="C1315">
        <v>1</v>
      </c>
    </row>
    <row r="1316" spans="1:3" x14ac:dyDescent="0.3">
      <c r="A1316">
        <v>0.31</v>
      </c>
      <c r="B1316">
        <v>1</v>
      </c>
      <c r="C1316">
        <v>1</v>
      </c>
    </row>
    <row r="1317" spans="1:3" x14ac:dyDescent="0.3">
      <c r="A1317">
        <v>0.31</v>
      </c>
      <c r="B1317">
        <v>1</v>
      </c>
      <c r="C1317">
        <v>1</v>
      </c>
    </row>
    <row r="1318" spans="1:3" x14ac:dyDescent="0.3">
      <c r="A1318">
        <v>0.31</v>
      </c>
      <c r="B1318">
        <v>1</v>
      </c>
      <c r="C1318">
        <v>1</v>
      </c>
    </row>
    <row r="1319" spans="1:3" x14ac:dyDescent="0.3">
      <c r="A1319">
        <v>0.31</v>
      </c>
      <c r="B1319">
        <v>1</v>
      </c>
      <c r="C1319">
        <v>1</v>
      </c>
    </row>
    <row r="1320" spans="1:3" x14ac:dyDescent="0.3">
      <c r="A1320">
        <v>0.31</v>
      </c>
      <c r="B1320">
        <v>1</v>
      </c>
      <c r="C1320">
        <v>1</v>
      </c>
    </row>
    <row r="1321" spans="1:3" x14ac:dyDescent="0.3">
      <c r="A1321">
        <v>0.31</v>
      </c>
      <c r="B1321">
        <v>1</v>
      </c>
      <c r="C1321">
        <v>1</v>
      </c>
    </row>
    <row r="1322" spans="1:3" x14ac:dyDescent="0.3">
      <c r="A1322">
        <v>0.31</v>
      </c>
      <c r="B1322">
        <v>1</v>
      </c>
      <c r="C1322">
        <v>1</v>
      </c>
    </row>
    <row r="1323" spans="1:3" x14ac:dyDescent="0.3">
      <c r="A1323">
        <v>0.31</v>
      </c>
      <c r="B1323">
        <v>1</v>
      </c>
      <c r="C1323">
        <v>1</v>
      </c>
    </row>
    <row r="1324" spans="1:3" x14ac:dyDescent="0.3">
      <c r="A1324">
        <v>0.31</v>
      </c>
      <c r="B1324">
        <v>1</v>
      </c>
      <c r="C1324">
        <v>1</v>
      </c>
    </row>
    <row r="1325" spans="1:3" x14ac:dyDescent="0.3">
      <c r="A1325">
        <v>0.31</v>
      </c>
      <c r="B1325">
        <v>1</v>
      </c>
      <c r="C1325">
        <v>1</v>
      </c>
    </row>
    <row r="1326" spans="1:3" x14ac:dyDescent="0.3">
      <c r="A1326">
        <v>0.31</v>
      </c>
      <c r="B1326">
        <v>1</v>
      </c>
      <c r="C1326">
        <v>1</v>
      </c>
    </row>
    <row r="1327" spans="1:3" x14ac:dyDescent="0.3">
      <c r="A1327">
        <v>0.31</v>
      </c>
      <c r="B1327">
        <v>1</v>
      </c>
      <c r="C1327">
        <v>1</v>
      </c>
    </row>
    <row r="1328" spans="1:3" x14ac:dyDescent="0.3">
      <c r="A1328">
        <v>0.31</v>
      </c>
      <c r="B1328">
        <v>1</v>
      </c>
      <c r="C1328">
        <v>1</v>
      </c>
    </row>
    <row r="1329" spans="1:3" x14ac:dyDescent="0.3">
      <c r="A1329">
        <v>0.31</v>
      </c>
      <c r="B1329">
        <v>1</v>
      </c>
      <c r="C1329">
        <v>1</v>
      </c>
    </row>
    <row r="1330" spans="1:3" x14ac:dyDescent="0.3">
      <c r="A1330">
        <v>0.31</v>
      </c>
      <c r="B1330">
        <v>1</v>
      </c>
      <c r="C1330">
        <v>1</v>
      </c>
    </row>
    <row r="1331" spans="1:3" x14ac:dyDescent="0.3">
      <c r="A1331">
        <v>0.31</v>
      </c>
      <c r="B1331">
        <v>1</v>
      </c>
      <c r="C1331">
        <v>1</v>
      </c>
    </row>
    <row r="1332" spans="1:3" x14ac:dyDescent="0.3">
      <c r="A1332">
        <v>0.31</v>
      </c>
      <c r="B1332">
        <v>1</v>
      </c>
      <c r="C1332">
        <v>1</v>
      </c>
    </row>
    <row r="1333" spans="1:3" x14ac:dyDescent="0.3">
      <c r="A1333">
        <v>0.32</v>
      </c>
      <c r="B1333">
        <v>1</v>
      </c>
      <c r="C1333">
        <v>1</v>
      </c>
    </row>
    <row r="1334" spans="1:3" x14ac:dyDescent="0.3">
      <c r="A1334">
        <v>0.32</v>
      </c>
      <c r="B1334">
        <v>1</v>
      </c>
      <c r="C1334">
        <v>1</v>
      </c>
    </row>
    <row r="1335" spans="1:3" x14ac:dyDescent="0.3">
      <c r="A1335">
        <v>0.32</v>
      </c>
      <c r="B1335">
        <v>1</v>
      </c>
      <c r="C1335">
        <v>1</v>
      </c>
    </row>
    <row r="1336" spans="1:3" x14ac:dyDescent="0.3">
      <c r="A1336">
        <v>0.32</v>
      </c>
      <c r="B1336">
        <v>1</v>
      </c>
      <c r="C1336">
        <v>1</v>
      </c>
    </row>
    <row r="1337" spans="1:3" x14ac:dyDescent="0.3">
      <c r="A1337">
        <v>0.32</v>
      </c>
      <c r="B1337">
        <v>1</v>
      </c>
      <c r="C1337">
        <v>1</v>
      </c>
    </row>
    <row r="1338" spans="1:3" x14ac:dyDescent="0.3">
      <c r="A1338">
        <v>0.32</v>
      </c>
      <c r="B1338">
        <v>1</v>
      </c>
      <c r="C1338">
        <v>1</v>
      </c>
    </row>
    <row r="1339" spans="1:3" x14ac:dyDescent="0.3">
      <c r="A1339">
        <v>0.32</v>
      </c>
      <c r="B1339">
        <v>1</v>
      </c>
      <c r="C1339">
        <v>1</v>
      </c>
    </row>
    <row r="1340" spans="1:3" x14ac:dyDescent="0.3">
      <c r="A1340">
        <v>0.32</v>
      </c>
      <c r="B1340">
        <v>1</v>
      </c>
      <c r="C1340">
        <v>1</v>
      </c>
    </row>
    <row r="1341" spans="1:3" x14ac:dyDescent="0.3">
      <c r="A1341">
        <v>0.32</v>
      </c>
      <c r="B1341">
        <v>1</v>
      </c>
      <c r="C1341">
        <v>1</v>
      </c>
    </row>
    <row r="1342" spans="1:3" x14ac:dyDescent="0.3">
      <c r="A1342">
        <v>0.32</v>
      </c>
      <c r="B1342">
        <v>1</v>
      </c>
      <c r="C1342">
        <v>1</v>
      </c>
    </row>
    <row r="1343" spans="1:3" x14ac:dyDescent="0.3">
      <c r="A1343">
        <v>0.32</v>
      </c>
      <c r="B1343">
        <v>1</v>
      </c>
      <c r="C1343">
        <v>1</v>
      </c>
    </row>
    <row r="1344" spans="1:3" x14ac:dyDescent="0.3">
      <c r="A1344">
        <v>0.32</v>
      </c>
      <c r="B1344">
        <v>1</v>
      </c>
      <c r="C1344">
        <v>1</v>
      </c>
    </row>
    <row r="1345" spans="1:3" x14ac:dyDescent="0.3">
      <c r="A1345">
        <v>0.32</v>
      </c>
      <c r="B1345">
        <v>1</v>
      </c>
      <c r="C1345">
        <v>1</v>
      </c>
    </row>
    <row r="1346" spans="1:3" x14ac:dyDescent="0.3">
      <c r="A1346">
        <v>0.32</v>
      </c>
      <c r="B1346">
        <v>1</v>
      </c>
      <c r="C1346">
        <v>1</v>
      </c>
    </row>
    <row r="1347" spans="1:3" x14ac:dyDescent="0.3">
      <c r="A1347">
        <v>0.32</v>
      </c>
      <c r="B1347">
        <v>1</v>
      </c>
      <c r="C1347">
        <v>1</v>
      </c>
    </row>
    <row r="1348" spans="1:3" x14ac:dyDescent="0.3">
      <c r="A1348">
        <v>0.32</v>
      </c>
      <c r="B1348">
        <v>1</v>
      </c>
      <c r="C1348">
        <v>1</v>
      </c>
    </row>
    <row r="1349" spans="1:3" x14ac:dyDescent="0.3">
      <c r="A1349">
        <v>0.32</v>
      </c>
      <c r="B1349">
        <v>1</v>
      </c>
      <c r="C1349">
        <v>1</v>
      </c>
    </row>
    <row r="1350" spans="1:3" x14ac:dyDescent="0.3">
      <c r="A1350">
        <v>0.33</v>
      </c>
      <c r="B1350">
        <v>1</v>
      </c>
      <c r="C1350">
        <v>1</v>
      </c>
    </row>
    <row r="1351" spans="1:3" x14ac:dyDescent="0.3">
      <c r="A1351">
        <v>0.33</v>
      </c>
      <c r="B1351">
        <v>1</v>
      </c>
      <c r="C1351">
        <v>1</v>
      </c>
    </row>
    <row r="1352" spans="1:3" x14ac:dyDescent="0.3">
      <c r="A1352">
        <v>0.33</v>
      </c>
      <c r="B1352">
        <v>1</v>
      </c>
      <c r="C1352">
        <v>1</v>
      </c>
    </row>
    <row r="1353" spans="1:3" x14ac:dyDescent="0.3">
      <c r="A1353">
        <v>0.33</v>
      </c>
      <c r="B1353">
        <v>1</v>
      </c>
      <c r="C1353">
        <v>1</v>
      </c>
    </row>
    <row r="1354" spans="1:3" x14ac:dyDescent="0.3">
      <c r="A1354">
        <v>0.33</v>
      </c>
      <c r="B1354">
        <v>1</v>
      </c>
      <c r="C1354">
        <v>1</v>
      </c>
    </row>
    <row r="1355" spans="1:3" x14ac:dyDescent="0.3">
      <c r="A1355">
        <v>0.33</v>
      </c>
      <c r="B1355">
        <v>1</v>
      </c>
      <c r="C1355">
        <v>1</v>
      </c>
    </row>
    <row r="1356" spans="1:3" x14ac:dyDescent="0.3">
      <c r="A1356">
        <v>0.33</v>
      </c>
      <c r="B1356">
        <v>1</v>
      </c>
      <c r="C1356">
        <v>1</v>
      </c>
    </row>
    <row r="1357" spans="1:3" x14ac:dyDescent="0.3">
      <c r="A1357">
        <v>0.33</v>
      </c>
      <c r="B1357">
        <v>1</v>
      </c>
      <c r="C1357">
        <v>1</v>
      </c>
    </row>
    <row r="1358" spans="1:3" x14ac:dyDescent="0.3">
      <c r="A1358">
        <v>0.33</v>
      </c>
      <c r="B1358">
        <v>1</v>
      </c>
      <c r="C1358">
        <v>1</v>
      </c>
    </row>
    <row r="1359" spans="1:3" x14ac:dyDescent="0.3">
      <c r="A1359">
        <v>0.33</v>
      </c>
      <c r="B1359">
        <v>1</v>
      </c>
      <c r="C1359">
        <v>1</v>
      </c>
    </row>
    <row r="1360" spans="1:3" x14ac:dyDescent="0.3">
      <c r="A1360">
        <v>0.33</v>
      </c>
      <c r="B1360">
        <v>1</v>
      </c>
      <c r="C1360">
        <v>1</v>
      </c>
    </row>
    <row r="1361" spans="1:3" x14ac:dyDescent="0.3">
      <c r="A1361">
        <v>0.33</v>
      </c>
      <c r="B1361">
        <v>1</v>
      </c>
      <c r="C1361">
        <v>1</v>
      </c>
    </row>
    <row r="1362" spans="1:3" x14ac:dyDescent="0.3">
      <c r="A1362">
        <v>0.34</v>
      </c>
      <c r="B1362">
        <v>1</v>
      </c>
      <c r="C1362">
        <v>1</v>
      </c>
    </row>
    <row r="1363" spans="1:3" x14ac:dyDescent="0.3">
      <c r="A1363">
        <v>0.34</v>
      </c>
      <c r="B1363">
        <v>1</v>
      </c>
      <c r="C1363">
        <v>1</v>
      </c>
    </row>
    <row r="1364" spans="1:3" x14ac:dyDescent="0.3">
      <c r="A1364">
        <v>0.34</v>
      </c>
      <c r="B1364">
        <v>1</v>
      </c>
      <c r="C1364">
        <v>1</v>
      </c>
    </row>
    <row r="1365" spans="1:3" x14ac:dyDescent="0.3">
      <c r="A1365">
        <v>0.34</v>
      </c>
      <c r="B1365">
        <v>1</v>
      </c>
      <c r="C1365">
        <v>1</v>
      </c>
    </row>
    <row r="1366" spans="1:3" x14ac:dyDescent="0.3">
      <c r="A1366">
        <v>0.34</v>
      </c>
      <c r="B1366">
        <v>1</v>
      </c>
      <c r="C1366">
        <v>1</v>
      </c>
    </row>
    <row r="1367" spans="1:3" x14ac:dyDescent="0.3">
      <c r="A1367">
        <v>0.34</v>
      </c>
      <c r="B1367">
        <v>1</v>
      </c>
      <c r="C1367">
        <v>1</v>
      </c>
    </row>
    <row r="1368" spans="1:3" x14ac:dyDescent="0.3">
      <c r="A1368">
        <v>0.34</v>
      </c>
      <c r="B1368">
        <v>1</v>
      </c>
      <c r="C1368">
        <v>1</v>
      </c>
    </row>
    <row r="1369" spans="1:3" x14ac:dyDescent="0.3">
      <c r="A1369">
        <v>0.34</v>
      </c>
      <c r="B1369">
        <v>1</v>
      </c>
      <c r="C1369">
        <v>1</v>
      </c>
    </row>
    <row r="1370" spans="1:3" x14ac:dyDescent="0.3">
      <c r="A1370">
        <v>0.34</v>
      </c>
      <c r="B1370">
        <v>1</v>
      </c>
      <c r="C1370">
        <v>1</v>
      </c>
    </row>
    <row r="1371" spans="1:3" x14ac:dyDescent="0.3">
      <c r="A1371">
        <v>0.34</v>
      </c>
      <c r="B1371">
        <v>1</v>
      </c>
      <c r="C1371">
        <v>1</v>
      </c>
    </row>
    <row r="1372" spans="1:3" x14ac:dyDescent="0.3">
      <c r="A1372">
        <v>0.34</v>
      </c>
      <c r="B1372">
        <v>1</v>
      </c>
      <c r="C1372">
        <v>1</v>
      </c>
    </row>
    <row r="1373" spans="1:3" x14ac:dyDescent="0.3">
      <c r="A1373">
        <v>0.34</v>
      </c>
      <c r="B1373">
        <v>1</v>
      </c>
      <c r="C1373">
        <v>1</v>
      </c>
    </row>
    <row r="1374" spans="1:3" x14ac:dyDescent="0.3">
      <c r="A1374">
        <v>0.34</v>
      </c>
      <c r="B1374">
        <v>1</v>
      </c>
      <c r="C1374">
        <v>1</v>
      </c>
    </row>
    <row r="1375" spans="1:3" x14ac:dyDescent="0.3">
      <c r="A1375">
        <v>0.34</v>
      </c>
      <c r="B1375">
        <v>1</v>
      </c>
      <c r="C1375">
        <v>1</v>
      </c>
    </row>
    <row r="1376" spans="1:3" x14ac:dyDescent="0.3">
      <c r="A1376">
        <v>0.34</v>
      </c>
      <c r="B1376">
        <v>1</v>
      </c>
      <c r="C1376">
        <v>1</v>
      </c>
    </row>
    <row r="1377" spans="1:3" x14ac:dyDescent="0.3">
      <c r="A1377">
        <v>0.35</v>
      </c>
      <c r="B1377">
        <v>1</v>
      </c>
      <c r="C1377">
        <v>1</v>
      </c>
    </row>
    <row r="1378" spans="1:3" x14ac:dyDescent="0.3">
      <c r="A1378">
        <v>0.35</v>
      </c>
      <c r="B1378">
        <v>1</v>
      </c>
      <c r="C1378">
        <v>1</v>
      </c>
    </row>
    <row r="1379" spans="1:3" x14ac:dyDescent="0.3">
      <c r="A1379">
        <v>0.35</v>
      </c>
      <c r="B1379">
        <v>1</v>
      </c>
      <c r="C1379">
        <v>1</v>
      </c>
    </row>
    <row r="1380" spans="1:3" x14ac:dyDescent="0.3">
      <c r="A1380">
        <v>0.35</v>
      </c>
      <c r="B1380">
        <v>1</v>
      </c>
      <c r="C1380">
        <v>1</v>
      </c>
    </row>
    <row r="1381" spans="1:3" x14ac:dyDescent="0.3">
      <c r="A1381">
        <v>0.35</v>
      </c>
      <c r="B1381">
        <v>1</v>
      </c>
      <c r="C1381">
        <v>1</v>
      </c>
    </row>
    <row r="1382" spans="1:3" x14ac:dyDescent="0.3">
      <c r="A1382">
        <v>0.35</v>
      </c>
      <c r="B1382">
        <v>1</v>
      </c>
      <c r="C1382">
        <v>1</v>
      </c>
    </row>
    <row r="1383" spans="1:3" x14ac:dyDescent="0.3">
      <c r="A1383">
        <v>0.35</v>
      </c>
      <c r="B1383">
        <v>1</v>
      </c>
      <c r="C1383">
        <v>1</v>
      </c>
    </row>
    <row r="1384" spans="1:3" x14ac:dyDescent="0.3">
      <c r="A1384">
        <v>0.35</v>
      </c>
      <c r="B1384">
        <v>1</v>
      </c>
      <c r="C1384">
        <v>1</v>
      </c>
    </row>
    <row r="1385" spans="1:3" x14ac:dyDescent="0.3">
      <c r="A1385">
        <v>0.35</v>
      </c>
      <c r="B1385">
        <v>1</v>
      </c>
      <c r="C1385">
        <v>1</v>
      </c>
    </row>
    <row r="1386" spans="1:3" x14ac:dyDescent="0.3">
      <c r="A1386">
        <v>0.35</v>
      </c>
      <c r="B1386">
        <v>1</v>
      </c>
      <c r="C1386">
        <v>1</v>
      </c>
    </row>
    <row r="1387" spans="1:3" x14ac:dyDescent="0.3">
      <c r="A1387">
        <v>0.35</v>
      </c>
      <c r="B1387">
        <v>1</v>
      </c>
      <c r="C1387">
        <v>1</v>
      </c>
    </row>
    <row r="1388" spans="1:3" x14ac:dyDescent="0.3">
      <c r="A1388">
        <v>0.35</v>
      </c>
      <c r="B1388">
        <v>1</v>
      </c>
      <c r="C1388">
        <v>1</v>
      </c>
    </row>
    <row r="1389" spans="1:3" x14ac:dyDescent="0.3">
      <c r="A1389">
        <v>0.35</v>
      </c>
      <c r="B1389">
        <v>1</v>
      </c>
      <c r="C1389">
        <v>1</v>
      </c>
    </row>
    <row r="1390" spans="1:3" x14ac:dyDescent="0.3">
      <c r="A1390">
        <v>0.36</v>
      </c>
      <c r="B1390">
        <v>1</v>
      </c>
      <c r="C1390">
        <v>1</v>
      </c>
    </row>
    <row r="1391" spans="1:3" x14ac:dyDescent="0.3">
      <c r="A1391">
        <v>0.36</v>
      </c>
      <c r="B1391">
        <v>1</v>
      </c>
      <c r="C1391">
        <v>1</v>
      </c>
    </row>
    <row r="1392" spans="1:3" x14ac:dyDescent="0.3">
      <c r="A1392">
        <v>0.36</v>
      </c>
      <c r="B1392">
        <v>1</v>
      </c>
      <c r="C1392">
        <v>1</v>
      </c>
    </row>
    <row r="1393" spans="1:3" x14ac:dyDescent="0.3">
      <c r="A1393">
        <v>0.36</v>
      </c>
      <c r="B1393">
        <v>1</v>
      </c>
      <c r="C1393">
        <v>1</v>
      </c>
    </row>
    <row r="1394" spans="1:3" x14ac:dyDescent="0.3">
      <c r="A1394">
        <v>0.36</v>
      </c>
      <c r="B1394">
        <v>1</v>
      </c>
      <c r="C1394">
        <v>1</v>
      </c>
    </row>
    <row r="1395" spans="1:3" x14ac:dyDescent="0.3">
      <c r="A1395">
        <v>0.36</v>
      </c>
      <c r="B1395">
        <v>1</v>
      </c>
      <c r="C1395">
        <v>1</v>
      </c>
    </row>
    <row r="1396" spans="1:3" x14ac:dyDescent="0.3">
      <c r="A1396">
        <v>0.36</v>
      </c>
      <c r="B1396">
        <v>1</v>
      </c>
      <c r="C1396">
        <v>1</v>
      </c>
    </row>
    <row r="1397" spans="1:3" x14ac:dyDescent="0.3">
      <c r="A1397">
        <v>0.36</v>
      </c>
      <c r="B1397">
        <v>1</v>
      </c>
      <c r="C1397">
        <v>1</v>
      </c>
    </row>
    <row r="1398" spans="1:3" x14ac:dyDescent="0.3">
      <c r="A1398">
        <v>0.36</v>
      </c>
      <c r="B1398">
        <v>1</v>
      </c>
      <c r="C1398">
        <v>1</v>
      </c>
    </row>
    <row r="1399" spans="1:3" x14ac:dyDescent="0.3">
      <c r="A1399">
        <v>0.36</v>
      </c>
      <c r="B1399">
        <v>1</v>
      </c>
      <c r="C1399">
        <v>1</v>
      </c>
    </row>
    <row r="1400" spans="1:3" x14ac:dyDescent="0.3">
      <c r="A1400">
        <v>0.36</v>
      </c>
      <c r="B1400">
        <v>1</v>
      </c>
      <c r="C1400">
        <v>1</v>
      </c>
    </row>
    <row r="1401" spans="1:3" x14ac:dyDescent="0.3">
      <c r="A1401">
        <v>0.36</v>
      </c>
      <c r="B1401">
        <v>1</v>
      </c>
      <c r="C1401">
        <v>1</v>
      </c>
    </row>
    <row r="1402" spans="1:3" x14ac:dyDescent="0.3">
      <c r="A1402">
        <v>0.36</v>
      </c>
      <c r="B1402">
        <v>1</v>
      </c>
      <c r="C1402">
        <v>1</v>
      </c>
    </row>
    <row r="1403" spans="1:3" x14ac:dyDescent="0.3">
      <c r="A1403">
        <v>0.36</v>
      </c>
      <c r="B1403">
        <v>1</v>
      </c>
      <c r="C1403">
        <v>1</v>
      </c>
    </row>
    <row r="1404" spans="1:3" x14ac:dyDescent="0.3">
      <c r="A1404">
        <v>0.36</v>
      </c>
      <c r="B1404">
        <v>1</v>
      </c>
      <c r="C1404">
        <v>1</v>
      </c>
    </row>
    <row r="1405" spans="1:3" x14ac:dyDescent="0.3">
      <c r="A1405">
        <v>0.36</v>
      </c>
      <c r="B1405">
        <v>1</v>
      </c>
      <c r="C1405">
        <v>1</v>
      </c>
    </row>
    <row r="1406" spans="1:3" x14ac:dyDescent="0.3">
      <c r="A1406">
        <v>0.36</v>
      </c>
      <c r="B1406">
        <v>1</v>
      </c>
      <c r="C1406">
        <v>1</v>
      </c>
    </row>
    <row r="1407" spans="1:3" x14ac:dyDescent="0.3">
      <c r="A1407">
        <v>0.37</v>
      </c>
      <c r="B1407">
        <v>1</v>
      </c>
      <c r="C1407">
        <v>1</v>
      </c>
    </row>
    <row r="1408" spans="1:3" x14ac:dyDescent="0.3">
      <c r="A1408">
        <v>0.37</v>
      </c>
      <c r="B1408">
        <v>1</v>
      </c>
      <c r="C1408">
        <v>1</v>
      </c>
    </row>
    <row r="1409" spans="1:3" x14ac:dyDescent="0.3">
      <c r="A1409">
        <v>0.37</v>
      </c>
      <c r="B1409">
        <v>1</v>
      </c>
      <c r="C1409">
        <v>1</v>
      </c>
    </row>
    <row r="1410" spans="1:3" x14ac:dyDescent="0.3">
      <c r="A1410">
        <v>0.37</v>
      </c>
      <c r="B1410">
        <v>1</v>
      </c>
      <c r="C1410">
        <v>1</v>
      </c>
    </row>
    <row r="1411" spans="1:3" x14ac:dyDescent="0.3">
      <c r="A1411">
        <v>0.37</v>
      </c>
      <c r="B1411">
        <v>1</v>
      </c>
      <c r="C1411">
        <v>1</v>
      </c>
    </row>
    <row r="1412" spans="1:3" x14ac:dyDescent="0.3">
      <c r="A1412">
        <v>0.37</v>
      </c>
      <c r="B1412">
        <v>1</v>
      </c>
      <c r="C1412">
        <v>1</v>
      </c>
    </row>
    <row r="1413" spans="1:3" x14ac:dyDescent="0.3">
      <c r="A1413">
        <v>0.37</v>
      </c>
      <c r="B1413">
        <v>1</v>
      </c>
      <c r="C1413">
        <v>1</v>
      </c>
    </row>
    <row r="1414" spans="1:3" x14ac:dyDescent="0.3">
      <c r="A1414">
        <v>0.37</v>
      </c>
      <c r="B1414">
        <v>1</v>
      </c>
      <c r="C1414">
        <v>1</v>
      </c>
    </row>
    <row r="1415" spans="1:3" x14ac:dyDescent="0.3">
      <c r="A1415">
        <v>0.37</v>
      </c>
      <c r="B1415">
        <v>1</v>
      </c>
      <c r="C1415">
        <v>1</v>
      </c>
    </row>
    <row r="1416" spans="1:3" x14ac:dyDescent="0.3">
      <c r="A1416">
        <v>0.37</v>
      </c>
      <c r="B1416">
        <v>1</v>
      </c>
      <c r="C1416">
        <v>1</v>
      </c>
    </row>
    <row r="1417" spans="1:3" x14ac:dyDescent="0.3">
      <c r="A1417">
        <v>0.38</v>
      </c>
      <c r="B1417">
        <v>1</v>
      </c>
      <c r="C1417">
        <v>1</v>
      </c>
    </row>
    <row r="1418" spans="1:3" x14ac:dyDescent="0.3">
      <c r="A1418">
        <v>0.38</v>
      </c>
      <c r="B1418">
        <v>1</v>
      </c>
      <c r="C1418">
        <v>1</v>
      </c>
    </row>
    <row r="1419" spans="1:3" x14ac:dyDescent="0.3">
      <c r="A1419">
        <v>0.38</v>
      </c>
      <c r="B1419">
        <v>1</v>
      </c>
      <c r="C1419">
        <v>1</v>
      </c>
    </row>
    <row r="1420" spans="1:3" x14ac:dyDescent="0.3">
      <c r="A1420">
        <v>0.38</v>
      </c>
      <c r="B1420">
        <v>1</v>
      </c>
      <c r="C1420">
        <v>1</v>
      </c>
    </row>
    <row r="1421" spans="1:3" x14ac:dyDescent="0.3">
      <c r="A1421">
        <v>0.38</v>
      </c>
      <c r="B1421">
        <v>1</v>
      </c>
      <c r="C1421">
        <v>1</v>
      </c>
    </row>
    <row r="1422" spans="1:3" x14ac:dyDescent="0.3">
      <c r="A1422">
        <v>0.38</v>
      </c>
      <c r="B1422">
        <v>1</v>
      </c>
      <c r="C1422">
        <v>1</v>
      </c>
    </row>
    <row r="1423" spans="1:3" x14ac:dyDescent="0.3">
      <c r="A1423">
        <v>0.38</v>
      </c>
      <c r="B1423">
        <v>1</v>
      </c>
      <c r="C1423">
        <v>1</v>
      </c>
    </row>
    <row r="1424" spans="1:3" x14ac:dyDescent="0.3">
      <c r="A1424">
        <v>0.38</v>
      </c>
      <c r="B1424">
        <v>1</v>
      </c>
      <c r="C1424">
        <v>1</v>
      </c>
    </row>
    <row r="1425" spans="1:3" x14ac:dyDescent="0.3">
      <c r="A1425">
        <v>0.38</v>
      </c>
      <c r="B1425">
        <v>1</v>
      </c>
      <c r="C1425">
        <v>1</v>
      </c>
    </row>
    <row r="1426" spans="1:3" x14ac:dyDescent="0.3">
      <c r="A1426">
        <v>0.38</v>
      </c>
      <c r="B1426">
        <v>1</v>
      </c>
      <c r="C1426">
        <v>1</v>
      </c>
    </row>
    <row r="1427" spans="1:3" x14ac:dyDescent="0.3">
      <c r="A1427">
        <v>0.38</v>
      </c>
      <c r="B1427">
        <v>1</v>
      </c>
      <c r="C1427">
        <v>1</v>
      </c>
    </row>
    <row r="1428" spans="1:3" x14ac:dyDescent="0.3">
      <c r="A1428">
        <v>0.38</v>
      </c>
      <c r="B1428">
        <v>1</v>
      </c>
      <c r="C1428">
        <v>1</v>
      </c>
    </row>
    <row r="1429" spans="1:3" x14ac:dyDescent="0.3">
      <c r="A1429">
        <v>0.38</v>
      </c>
      <c r="B1429">
        <v>1</v>
      </c>
      <c r="C1429">
        <v>1</v>
      </c>
    </row>
    <row r="1430" spans="1:3" x14ac:dyDescent="0.3">
      <c r="A1430">
        <v>0.38</v>
      </c>
      <c r="B1430">
        <v>1</v>
      </c>
      <c r="C1430">
        <v>1</v>
      </c>
    </row>
    <row r="1431" spans="1:3" x14ac:dyDescent="0.3">
      <c r="A1431">
        <v>0.39</v>
      </c>
      <c r="B1431">
        <v>1</v>
      </c>
      <c r="C1431">
        <v>1</v>
      </c>
    </row>
    <row r="1432" spans="1:3" x14ac:dyDescent="0.3">
      <c r="A1432">
        <v>0.39</v>
      </c>
      <c r="B1432">
        <v>1</v>
      </c>
      <c r="C1432">
        <v>1</v>
      </c>
    </row>
    <row r="1433" spans="1:3" x14ac:dyDescent="0.3">
      <c r="A1433">
        <v>0.39</v>
      </c>
      <c r="B1433">
        <v>1</v>
      </c>
      <c r="C1433">
        <v>1</v>
      </c>
    </row>
    <row r="1434" spans="1:3" x14ac:dyDescent="0.3">
      <c r="A1434">
        <v>0.39</v>
      </c>
      <c r="B1434">
        <v>1</v>
      </c>
      <c r="C1434">
        <v>1</v>
      </c>
    </row>
    <row r="1435" spans="1:3" x14ac:dyDescent="0.3">
      <c r="A1435">
        <v>0.4</v>
      </c>
      <c r="B1435">
        <v>1</v>
      </c>
      <c r="C1435">
        <v>1</v>
      </c>
    </row>
    <row r="1436" spans="1:3" x14ac:dyDescent="0.3">
      <c r="A1436">
        <v>0.4</v>
      </c>
      <c r="B1436">
        <v>1</v>
      </c>
      <c r="C1436">
        <v>1</v>
      </c>
    </row>
    <row r="1437" spans="1:3" x14ac:dyDescent="0.3">
      <c r="A1437">
        <v>0.4</v>
      </c>
      <c r="B1437">
        <v>1</v>
      </c>
      <c r="C1437">
        <v>1</v>
      </c>
    </row>
    <row r="1438" spans="1:3" x14ac:dyDescent="0.3">
      <c r="A1438">
        <v>0.4</v>
      </c>
      <c r="B1438">
        <v>1</v>
      </c>
      <c r="C1438">
        <v>1</v>
      </c>
    </row>
    <row r="1439" spans="1:3" x14ac:dyDescent="0.3">
      <c r="A1439">
        <v>0.4</v>
      </c>
      <c r="B1439">
        <v>1</v>
      </c>
      <c r="C1439">
        <v>1</v>
      </c>
    </row>
    <row r="1440" spans="1:3" x14ac:dyDescent="0.3">
      <c r="A1440">
        <v>0.4</v>
      </c>
      <c r="B1440">
        <v>1</v>
      </c>
      <c r="C1440">
        <v>1</v>
      </c>
    </row>
    <row r="1441" spans="1:3" x14ac:dyDescent="0.3">
      <c r="A1441">
        <v>0.4</v>
      </c>
      <c r="B1441">
        <v>1</v>
      </c>
      <c r="C1441">
        <v>1</v>
      </c>
    </row>
    <row r="1442" spans="1:3" x14ac:dyDescent="0.3">
      <c r="A1442">
        <v>0.4</v>
      </c>
      <c r="B1442">
        <v>1</v>
      </c>
      <c r="C1442">
        <v>1</v>
      </c>
    </row>
    <row r="1443" spans="1:3" x14ac:dyDescent="0.3">
      <c r="A1443">
        <v>0.4</v>
      </c>
      <c r="B1443">
        <v>1</v>
      </c>
      <c r="C1443">
        <v>1</v>
      </c>
    </row>
    <row r="1444" spans="1:3" x14ac:dyDescent="0.3">
      <c r="A1444">
        <v>0.4</v>
      </c>
      <c r="B1444">
        <v>1</v>
      </c>
      <c r="C1444">
        <v>1</v>
      </c>
    </row>
    <row r="1445" spans="1:3" x14ac:dyDescent="0.3">
      <c r="A1445">
        <v>0.4</v>
      </c>
      <c r="B1445">
        <v>1</v>
      </c>
      <c r="C1445">
        <v>1</v>
      </c>
    </row>
    <row r="1446" spans="1:3" x14ac:dyDescent="0.3">
      <c r="A1446">
        <v>0.4</v>
      </c>
      <c r="B1446">
        <v>1</v>
      </c>
      <c r="C1446">
        <v>1</v>
      </c>
    </row>
    <row r="1447" spans="1:3" x14ac:dyDescent="0.3">
      <c r="A1447">
        <v>0.4</v>
      </c>
      <c r="B1447">
        <v>1</v>
      </c>
      <c r="C1447">
        <v>1</v>
      </c>
    </row>
    <row r="1448" spans="1:3" x14ac:dyDescent="0.3">
      <c r="A1448">
        <v>0.4</v>
      </c>
      <c r="B1448">
        <v>1</v>
      </c>
      <c r="C1448">
        <v>1</v>
      </c>
    </row>
    <row r="1449" spans="1:3" x14ac:dyDescent="0.3">
      <c r="A1449">
        <v>0.4</v>
      </c>
      <c r="B1449">
        <v>1</v>
      </c>
      <c r="C1449">
        <v>1</v>
      </c>
    </row>
    <row r="1450" spans="1:3" x14ac:dyDescent="0.3">
      <c r="A1450">
        <v>0.41</v>
      </c>
      <c r="B1450">
        <v>1</v>
      </c>
      <c r="C1450">
        <v>1</v>
      </c>
    </row>
    <row r="1451" spans="1:3" x14ac:dyDescent="0.3">
      <c r="A1451">
        <v>0.41</v>
      </c>
      <c r="B1451">
        <v>1</v>
      </c>
      <c r="C1451">
        <v>1</v>
      </c>
    </row>
    <row r="1452" spans="1:3" x14ac:dyDescent="0.3">
      <c r="A1452">
        <v>0.41</v>
      </c>
      <c r="B1452">
        <v>1</v>
      </c>
      <c r="C1452">
        <v>1</v>
      </c>
    </row>
    <row r="1453" spans="1:3" x14ac:dyDescent="0.3">
      <c r="A1453">
        <v>0.41</v>
      </c>
      <c r="B1453">
        <v>1</v>
      </c>
      <c r="C1453">
        <v>1</v>
      </c>
    </row>
    <row r="1454" spans="1:3" x14ac:dyDescent="0.3">
      <c r="A1454">
        <v>0.41</v>
      </c>
      <c r="B1454">
        <v>1</v>
      </c>
      <c r="C1454">
        <v>1</v>
      </c>
    </row>
    <row r="1455" spans="1:3" x14ac:dyDescent="0.3">
      <c r="A1455">
        <v>0.41</v>
      </c>
      <c r="B1455">
        <v>1</v>
      </c>
      <c r="C1455">
        <v>1</v>
      </c>
    </row>
    <row r="1456" spans="1:3" x14ac:dyDescent="0.3">
      <c r="A1456">
        <v>0.41</v>
      </c>
      <c r="B1456">
        <v>1</v>
      </c>
      <c r="C1456">
        <v>1</v>
      </c>
    </row>
    <row r="1457" spans="1:3" x14ac:dyDescent="0.3">
      <c r="A1457">
        <v>0.41</v>
      </c>
      <c r="B1457">
        <v>1</v>
      </c>
      <c r="C1457">
        <v>1</v>
      </c>
    </row>
    <row r="1458" spans="1:3" x14ac:dyDescent="0.3">
      <c r="A1458">
        <v>0.41</v>
      </c>
      <c r="B1458">
        <v>1</v>
      </c>
      <c r="C1458">
        <v>1</v>
      </c>
    </row>
    <row r="1459" spans="1:3" x14ac:dyDescent="0.3">
      <c r="A1459">
        <v>0.41</v>
      </c>
      <c r="B1459">
        <v>1</v>
      </c>
      <c r="C1459">
        <v>1</v>
      </c>
    </row>
    <row r="1460" spans="1:3" x14ac:dyDescent="0.3">
      <c r="A1460">
        <v>0.41</v>
      </c>
      <c r="B1460">
        <v>1</v>
      </c>
      <c r="C1460">
        <v>1</v>
      </c>
    </row>
    <row r="1461" spans="1:3" x14ac:dyDescent="0.3">
      <c r="A1461">
        <v>0.41</v>
      </c>
      <c r="B1461">
        <v>1</v>
      </c>
      <c r="C1461">
        <v>1</v>
      </c>
    </row>
    <row r="1462" spans="1:3" x14ac:dyDescent="0.3">
      <c r="A1462">
        <v>0.41</v>
      </c>
      <c r="B1462">
        <v>1</v>
      </c>
      <c r="C1462">
        <v>1</v>
      </c>
    </row>
    <row r="1463" spans="1:3" x14ac:dyDescent="0.3">
      <c r="A1463">
        <v>0.41</v>
      </c>
      <c r="B1463">
        <v>1</v>
      </c>
      <c r="C1463">
        <v>1</v>
      </c>
    </row>
    <row r="1464" spans="1:3" x14ac:dyDescent="0.3">
      <c r="A1464">
        <v>0.41</v>
      </c>
      <c r="B1464">
        <v>1</v>
      </c>
      <c r="C1464">
        <v>1</v>
      </c>
    </row>
    <row r="1465" spans="1:3" x14ac:dyDescent="0.3">
      <c r="A1465">
        <v>0.41</v>
      </c>
      <c r="B1465">
        <v>1</v>
      </c>
      <c r="C1465">
        <v>1</v>
      </c>
    </row>
    <row r="1466" spans="1:3" x14ac:dyDescent="0.3">
      <c r="A1466">
        <v>0.42</v>
      </c>
      <c r="B1466">
        <v>1</v>
      </c>
      <c r="C1466">
        <v>1</v>
      </c>
    </row>
    <row r="1467" spans="1:3" x14ac:dyDescent="0.3">
      <c r="A1467">
        <v>0.42</v>
      </c>
      <c r="B1467">
        <v>1</v>
      </c>
      <c r="C1467">
        <v>1</v>
      </c>
    </row>
    <row r="1468" spans="1:3" x14ac:dyDescent="0.3">
      <c r="A1468">
        <v>0.42</v>
      </c>
      <c r="B1468">
        <v>1</v>
      </c>
      <c r="C1468">
        <v>1</v>
      </c>
    </row>
    <row r="1469" spans="1:3" x14ac:dyDescent="0.3">
      <c r="A1469">
        <v>0.42</v>
      </c>
      <c r="B1469">
        <v>1</v>
      </c>
      <c r="C1469">
        <v>1</v>
      </c>
    </row>
    <row r="1470" spans="1:3" x14ac:dyDescent="0.3">
      <c r="A1470">
        <v>0.42</v>
      </c>
      <c r="B1470">
        <v>1</v>
      </c>
      <c r="C1470">
        <v>1</v>
      </c>
    </row>
    <row r="1471" spans="1:3" x14ac:dyDescent="0.3">
      <c r="A1471">
        <v>0.42</v>
      </c>
      <c r="B1471">
        <v>1</v>
      </c>
      <c r="C1471">
        <v>1</v>
      </c>
    </row>
    <row r="1472" spans="1:3" x14ac:dyDescent="0.3">
      <c r="A1472">
        <v>0.42</v>
      </c>
      <c r="B1472">
        <v>1</v>
      </c>
      <c r="C1472">
        <v>1</v>
      </c>
    </row>
    <row r="1473" spans="1:3" x14ac:dyDescent="0.3">
      <c r="A1473">
        <v>0.42</v>
      </c>
      <c r="B1473">
        <v>1</v>
      </c>
      <c r="C1473">
        <v>1</v>
      </c>
    </row>
    <row r="1474" spans="1:3" x14ac:dyDescent="0.3">
      <c r="A1474">
        <v>0.42</v>
      </c>
      <c r="B1474">
        <v>1</v>
      </c>
      <c r="C1474">
        <v>1</v>
      </c>
    </row>
    <row r="1475" spans="1:3" x14ac:dyDescent="0.3">
      <c r="A1475">
        <v>0.43</v>
      </c>
      <c r="B1475">
        <v>1</v>
      </c>
      <c r="C1475">
        <v>1</v>
      </c>
    </row>
    <row r="1476" spans="1:3" x14ac:dyDescent="0.3">
      <c r="A1476">
        <v>0.43</v>
      </c>
      <c r="B1476">
        <v>1</v>
      </c>
      <c r="C1476">
        <v>1</v>
      </c>
    </row>
    <row r="1477" spans="1:3" x14ac:dyDescent="0.3">
      <c r="A1477">
        <v>0.43</v>
      </c>
      <c r="B1477">
        <v>1</v>
      </c>
      <c r="C1477">
        <v>1</v>
      </c>
    </row>
    <row r="1478" spans="1:3" x14ac:dyDescent="0.3">
      <c r="A1478">
        <v>0.43</v>
      </c>
      <c r="B1478">
        <v>1</v>
      </c>
      <c r="C1478">
        <v>1</v>
      </c>
    </row>
    <row r="1479" spans="1:3" x14ac:dyDescent="0.3">
      <c r="A1479">
        <v>0.43</v>
      </c>
      <c r="B1479">
        <v>1</v>
      </c>
      <c r="C1479">
        <v>1</v>
      </c>
    </row>
    <row r="1480" spans="1:3" x14ac:dyDescent="0.3">
      <c r="A1480">
        <v>0.43</v>
      </c>
      <c r="B1480">
        <v>1</v>
      </c>
      <c r="C1480">
        <v>1</v>
      </c>
    </row>
    <row r="1481" spans="1:3" x14ac:dyDescent="0.3">
      <c r="A1481">
        <v>0.43</v>
      </c>
      <c r="B1481">
        <v>1</v>
      </c>
      <c r="C1481">
        <v>1</v>
      </c>
    </row>
    <row r="1482" spans="1:3" x14ac:dyDescent="0.3">
      <c r="A1482">
        <v>0.43</v>
      </c>
      <c r="B1482">
        <v>1</v>
      </c>
      <c r="C1482">
        <v>1</v>
      </c>
    </row>
    <row r="1483" spans="1:3" x14ac:dyDescent="0.3">
      <c r="A1483">
        <v>0.43</v>
      </c>
      <c r="B1483">
        <v>1</v>
      </c>
      <c r="C1483">
        <v>1</v>
      </c>
    </row>
    <row r="1484" spans="1:3" x14ac:dyDescent="0.3">
      <c r="A1484">
        <v>0.43</v>
      </c>
      <c r="B1484">
        <v>1</v>
      </c>
      <c r="C1484">
        <v>1</v>
      </c>
    </row>
    <row r="1485" spans="1:3" x14ac:dyDescent="0.3">
      <c r="A1485">
        <v>0.43</v>
      </c>
      <c r="B1485">
        <v>1</v>
      </c>
      <c r="C1485">
        <v>1</v>
      </c>
    </row>
    <row r="1486" spans="1:3" x14ac:dyDescent="0.3">
      <c r="A1486">
        <v>0.43</v>
      </c>
      <c r="B1486">
        <v>1</v>
      </c>
      <c r="C1486">
        <v>1</v>
      </c>
    </row>
    <row r="1487" spans="1:3" x14ac:dyDescent="0.3">
      <c r="A1487">
        <v>0.43</v>
      </c>
      <c r="B1487">
        <v>1</v>
      </c>
      <c r="C1487">
        <v>1</v>
      </c>
    </row>
    <row r="1488" spans="1:3" x14ac:dyDescent="0.3">
      <c r="A1488">
        <v>0.43</v>
      </c>
      <c r="B1488">
        <v>1</v>
      </c>
      <c r="C1488">
        <v>1</v>
      </c>
    </row>
    <row r="1489" spans="1:3" x14ac:dyDescent="0.3">
      <c r="A1489">
        <v>0.44</v>
      </c>
      <c r="B1489">
        <v>1</v>
      </c>
      <c r="C1489">
        <v>1</v>
      </c>
    </row>
    <row r="1490" spans="1:3" x14ac:dyDescent="0.3">
      <c r="A1490">
        <v>0.44</v>
      </c>
      <c r="B1490">
        <v>1</v>
      </c>
      <c r="C1490">
        <v>1</v>
      </c>
    </row>
    <row r="1491" spans="1:3" x14ac:dyDescent="0.3">
      <c r="A1491">
        <v>0.44</v>
      </c>
      <c r="B1491">
        <v>1</v>
      </c>
      <c r="C1491">
        <v>1</v>
      </c>
    </row>
    <row r="1492" spans="1:3" x14ac:dyDescent="0.3">
      <c r="A1492">
        <v>0.44</v>
      </c>
      <c r="B1492">
        <v>1</v>
      </c>
      <c r="C1492">
        <v>1</v>
      </c>
    </row>
    <row r="1493" spans="1:3" x14ac:dyDescent="0.3">
      <c r="A1493">
        <v>0.44</v>
      </c>
      <c r="B1493">
        <v>1</v>
      </c>
      <c r="C1493">
        <v>1</v>
      </c>
    </row>
    <row r="1494" spans="1:3" x14ac:dyDescent="0.3">
      <c r="A1494">
        <v>0.44</v>
      </c>
      <c r="B1494">
        <v>1</v>
      </c>
      <c r="C1494">
        <v>1</v>
      </c>
    </row>
    <row r="1495" spans="1:3" x14ac:dyDescent="0.3">
      <c r="A1495">
        <v>0.44</v>
      </c>
      <c r="B1495">
        <v>1</v>
      </c>
      <c r="C1495">
        <v>1</v>
      </c>
    </row>
    <row r="1496" spans="1:3" x14ac:dyDescent="0.3">
      <c r="A1496">
        <v>0.44</v>
      </c>
      <c r="B1496">
        <v>1</v>
      </c>
      <c r="C1496">
        <v>1</v>
      </c>
    </row>
    <row r="1497" spans="1:3" x14ac:dyDescent="0.3">
      <c r="A1497">
        <v>0.44</v>
      </c>
      <c r="B1497">
        <v>1</v>
      </c>
      <c r="C1497">
        <v>1</v>
      </c>
    </row>
    <row r="1498" spans="1:3" x14ac:dyDescent="0.3">
      <c r="A1498">
        <v>0.44</v>
      </c>
      <c r="B1498">
        <v>1</v>
      </c>
      <c r="C1498">
        <v>1</v>
      </c>
    </row>
    <row r="1499" spans="1:3" x14ac:dyDescent="0.3">
      <c r="A1499">
        <v>0.44</v>
      </c>
      <c r="B1499">
        <v>1</v>
      </c>
      <c r="C1499">
        <v>1</v>
      </c>
    </row>
    <row r="1500" spans="1:3" x14ac:dyDescent="0.3">
      <c r="A1500">
        <v>0.44</v>
      </c>
      <c r="B1500">
        <v>1</v>
      </c>
      <c r="C1500">
        <v>1</v>
      </c>
    </row>
    <row r="1501" spans="1:3" x14ac:dyDescent="0.3">
      <c r="A1501">
        <v>0.44</v>
      </c>
      <c r="B1501">
        <v>1</v>
      </c>
      <c r="C1501">
        <v>1</v>
      </c>
    </row>
    <row r="1502" spans="1:3" x14ac:dyDescent="0.3">
      <c r="A1502">
        <v>0.45</v>
      </c>
      <c r="B1502">
        <v>1</v>
      </c>
      <c r="C1502">
        <v>1</v>
      </c>
    </row>
    <row r="1503" spans="1:3" x14ac:dyDescent="0.3">
      <c r="A1503">
        <v>0.45</v>
      </c>
      <c r="B1503">
        <v>1</v>
      </c>
      <c r="C1503">
        <v>1</v>
      </c>
    </row>
    <row r="1504" spans="1:3" x14ac:dyDescent="0.3">
      <c r="A1504">
        <v>0.45</v>
      </c>
      <c r="B1504">
        <v>1</v>
      </c>
      <c r="C1504">
        <v>1</v>
      </c>
    </row>
    <row r="1505" spans="1:3" x14ac:dyDescent="0.3">
      <c r="A1505">
        <v>0.45</v>
      </c>
      <c r="B1505">
        <v>1</v>
      </c>
      <c r="C1505">
        <v>1</v>
      </c>
    </row>
    <row r="1506" spans="1:3" x14ac:dyDescent="0.3">
      <c r="A1506">
        <v>0.45</v>
      </c>
      <c r="B1506">
        <v>1</v>
      </c>
      <c r="C1506">
        <v>1</v>
      </c>
    </row>
    <row r="1507" spans="1:3" x14ac:dyDescent="0.3">
      <c r="A1507">
        <v>0.45</v>
      </c>
      <c r="B1507">
        <v>1</v>
      </c>
      <c r="C1507">
        <v>1</v>
      </c>
    </row>
    <row r="1508" spans="1:3" x14ac:dyDescent="0.3">
      <c r="A1508">
        <v>0.45</v>
      </c>
      <c r="B1508">
        <v>1</v>
      </c>
      <c r="C1508">
        <v>1</v>
      </c>
    </row>
    <row r="1509" spans="1:3" x14ac:dyDescent="0.3">
      <c r="A1509">
        <v>0.45</v>
      </c>
      <c r="B1509">
        <v>1</v>
      </c>
      <c r="C1509">
        <v>1</v>
      </c>
    </row>
    <row r="1510" spans="1:3" x14ac:dyDescent="0.3">
      <c r="A1510">
        <v>0.45</v>
      </c>
      <c r="B1510">
        <v>1</v>
      </c>
      <c r="C1510">
        <v>1</v>
      </c>
    </row>
    <row r="1511" spans="1:3" x14ac:dyDescent="0.3">
      <c r="A1511">
        <v>0.45</v>
      </c>
      <c r="B1511">
        <v>1</v>
      </c>
      <c r="C1511">
        <v>1</v>
      </c>
    </row>
    <row r="1512" spans="1:3" x14ac:dyDescent="0.3">
      <c r="A1512">
        <v>0.46</v>
      </c>
      <c r="B1512">
        <v>1</v>
      </c>
      <c r="C1512">
        <v>1</v>
      </c>
    </row>
    <row r="1513" spans="1:3" x14ac:dyDescent="0.3">
      <c r="A1513">
        <v>0.46</v>
      </c>
      <c r="B1513">
        <v>1</v>
      </c>
      <c r="C1513">
        <v>1</v>
      </c>
    </row>
    <row r="1514" spans="1:3" x14ac:dyDescent="0.3">
      <c r="A1514">
        <v>0.46</v>
      </c>
      <c r="B1514">
        <v>1</v>
      </c>
      <c r="C1514">
        <v>1</v>
      </c>
    </row>
    <row r="1515" spans="1:3" x14ac:dyDescent="0.3">
      <c r="A1515">
        <v>0.46</v>
      </c>
      <c r="B1515">
        <v>1</v>
      </c>
      <c r="C1515">
        <v>1</v>
      </c>
    </row>
    <row r="1516" spans="1:3" x14ac:dyDescent="0.3">
      <c r="A1516">
        <v>0.46</v>
      </c>
      <c r="B1516">
        <v>1</v>
      </c>
      <c r="C1516">
        <v>1</v>
      </c>
    </row>
    <row r="1517" spans="1:3" x14ac:dyDescent="0.3">
      <c r="A1517">
        <v>0.46</v>
      </c>
      <c r="B1517">
        <v>1</v>
      </c>
      <c r="C1517">
        <v>1</v>
      </c>
    </row>
    <row r="1518" spans="1:3" x14ac:dyDescent="0.3">
      <c r="A1518">
        <v>0.46</v>
      </c>
      <c r="B1518">
        <v>1</v>
      </c>
      <c r="C1518">
        <v>1</v>
      </c>
    </row>
    <row r="1519" spans="1:3" x14ac:dyDescent="0.3">
      <c r="A1519">
        <v>0.47</v>
      </c>
      <c r="B1519">
        <v>1</v>
      </c>
      <c r="C1519">
        <v>1</v>
      </c>
    </row>
    <row r="1520" spans="1:3" x14ac:dyDescent="0.3">
      <c r="A1520">
        <v>0.47</v>
      </c>
      <c r="B1520">
        <v>1</v>
      </c>
      <c r="C1520">
        <v>1</v>
      </c>
    </row>
    <row r="1521" spans="1:3" x14ac:dyDescent="0.3">
      <c r="A1521">
        <v>0.47</v>
      </c>
      <c r="B1521">
        <v>1</v>
      </c>
      <c r="C1521">
        <v>1</v>
      </c>
    </row>
    <row r="1522" spans="1:3" x14ac:dyDescent="0.3">
      <c r="A1522">
        <v>0.47</v>
      </c>
      <c r="B1522">
        <v>1</v>
      </c>
      <c r="C1522">
        <v>1</v>
      </c>
    </row>
    <row r="1523" spans="1:3" x14ac:dyDescent="0.3">
      <c r="A1523">
        <v>0.47</v>
      </c>
      <c r="B1523">
        <v>1</v>
      </c>
      <c r="C1523">
        <v>1</v>
      </c>
    </row>
    <row r="1524" spans="1:3" x14ac:dyDescent="0.3">
      <c r="A1524">
        <v>0.47</v>
      </c>
      <c r="B1524">
        <v>1</v>
      </c>
      <c r="C1524">
        <v>1</v>
      </c>
    </row>
    <row r="1525" spans="1:3" x14ac:dyDescent="0.3">
      <c r="A1525">
        <v>0.47</v>
      </c>
      <c r="B1525">
        <v>1</v>
      </c>
      <c r="C1525">
        <v>1</v>
      </c>
    </row>
    <row r="1526" spans="1:3" x14ac:dyDescent="0.3">
      <c r="A1526">
        <v>0.47</v>
      </c>
      <c r="B1526">
        <v>1</v>
      </c>
      <c r="C1526">
        <v>1</v>
      </c>
    </row>
    <row r="1527" spans="1:3" x14ac:dyDescent="0.3">
      <c r="A1527">
        <v>0.48</v>
      </c>
      <c r="B1527">
        <v>1</v>
      </c>
      <c r="C1527">
        <v>1</v>
      </c>
    </row>
    <row r="1528" spans="1:3" x14ac:dyDescent="0.3">
      <c r="A1528">
        <v>0.48</v>
      </c>
      <c r="B1528">
        <v>1</v>
      </c>
      <c r="C1528">
        <v>1</v>
      </c>
    </row>
    <row r="1529" spans="1:3" x14ac:dyDescent="0.3">
      <c r="A1529">
        <v>0.48</v>
      </c>
      <c r="B1529">
        <v>1</v>
      </c>
      <c r="C1529">
        <v>1</v>
      </c>
    </row>
    <row r="1530" spans="1:3" x14ac:dyDescent="0.3">
      <c r="A1530">
        <v>0.48</v>
      </c>
      <c r="B1530">
        <v>1</v>
      </c>
      <c r="C1530">
        <v>1</v>
      </c>
    </row>
    <row r="1531" spans="1:3" x14ac:dyDescent="0.3">
      <c r="A1531">
        <v>0.48</v>
      </c>
      <c r="B1531">
        <v>1</v>
      </c>
      <c r="C1531">
        <v>1</v>
      </c>
    </row>
    <row r="1532" spans="1:3" x14ac:dyDescent="0.3">
      <c r="A1532">
        <v>0.48</v>
      </c>
      <c r="B1532">
        <v>1</v>
      </c>
      <c r="C1532">
        <v>1</v>
      </c>
    </row>
    <row r="1533" spans="1:3" x14ac:dyDescent="0.3">
      <c r="A1533">
        <v>0.48</v>
      </c>
      <c r="B1533">
        <v>1</v>
      </c>
      <c r="C1533">
        <v>1</v>
      </c>
    </row>
    <row r="1534" spans="1:3" x14ac:dyDescent="0.3">
      <c r="A1534">
        <v>0.48</v>
      </c>
      <c r="B1534">
        <v>1</v>
      </c>
      <c r="C1534">
        <v>1</v>
      </c>
    </row>
    <row r="1535" spans="1:3" x14ac:dyDescent="0.3">
      <c r="A1535">
        <v>0.48</v>
      </c>
      <c r="B1535">
        <v>1</v>
      </c>
      <c r="C1535">
        <v>1</v>
      </c>
    </row>
    <row r="1536" spans="1:3" x14ac:dyDescent="0.3">
      <c r="A1536">
        <v>0.48</v>
      </c>
      <c r="B1536">
        <v>1</v>
      </c>
      <c r="C1536">
        <v>1</v>
      </c>
    </row>
    <row r="1537" spans="1:3" x14ac:dyDescent="0.3">
      <c r="A1537">
        <v>0.49</v>
      </c>
      <c r="B1537">
        <v>1</v>
      </c>
      <c r="C1537">
        <v>1</v>
      </c>
    </row>
    <row r="1538" spans="1:3" x14ac:dyDescent="0.3">
      <c r="A1538">
        <v>0.49</v>
      </c>
      <c r="B1538">
        <v>1</v>
      </c>
      <c r="C1538">
        <v>1</v>
      </c>
    </row>
    <row r="1539" spans="1:3" x14ac:dyDescent="0.3">
      <c r="A1539">
        <v>0.49</v>
      </c>
      <c r="B1539">
        <v>1</v>
      </c>
      <c r="C1539">
        <v>1</v>
      </c>
    </row>
    <row r="1540" spans="1:3" x14ac:dyDescent="0.3">
      <c r="A1540">
        <v>0.49</v>
      </c>
      <c r="B1540">
        <v>1</v>
      </c>
      <c r="C1540">
        <v>1</v>
      </c>
    </row>
    <row r="1541" spans="1:3" x14ac:dyDescent="0.3">
      <c r="A1541">
        <v>0.49</v>
      </c>
      <c r="B1541">
        <v>1</v>
      </c>
      <c r="C1541">
        <v>1</v>
      </c>
    </row>
    <row r="1542" spans="1:3" x14ac:dyDescent="0.3">
      <c r="A1542">
        <v>0.49</v>
      </c>
      <c r="B1542">
        <v>1</v>
      </c>
      <c r="C1542">
        <v>1</v>
      </c>
    </row>
    <row r="1543" spans="1:3" x14ac:dyDescent="0.3">
      <c r="A1543">
        <v>0.49</v>
      </c>
      <c r="B1543">
        <v>1</v>
      </c>
      <c r="C1543">
        <v>1</v>
      </c>
    </row>
    <row r="1544" spans="1:3" x14ac:dyDescent="0.3">
      <c r="A1544">
        <v>0.49</v>
      </c>
      <c r="B1544">
        <v>1</v>
      </c>
      <c r="C1544">
        <v>1</v>
      </c>
    </row>
    <row r="1545" spans="1:3" x14ac:dyDescent="0.3">
      <c r="A1545">
        <v>0.49</v>
      </c>
      <c r="B1545">
        <v>1</v>
      </c>
      <c r="C1545">
        <v>1</v>
      </c>
    </row>
    <row r="1546" spans="1:3" x14ac:dyDescent="0.3">
      <c r="A1546">
        <v>0.49</v>
      </c>
      <c r="B1546">
        <v>1</v>
      </c>
      <c r="C1546">
        <v>1</v>
      </c>
    </row>
    <row r="1547" spans="1:3" x14ac:dyDescent="0.3">
      <c r="A1547">
        <v>0.49</v>
      </c>
      <c r="B1547">
        <v>1</v>
      </c>
      <c r="C1547">
        <v>1</v>
      </c>
    </row>
    <row r="1548" spans="1:3" x14ac:dyDescent="0.3">
      <c r="A1548">
        <v>0.49</v>
      </c>
      <c r="B1548">
        <v>1</v>
      </c>
      <c r="C1548">
        <v>1</v>
      </c>
    </row>
    <row r="1549" spans="1:3" x14ac:dyDescent="0.3">
      <c r="A1549">
        <v>0.49</v>
      </c>
      <c r="B1549">
        <v>1</v>
      </c>
      <c r="C1549">
        <v>1</v>
      </c>
    </row>
    <row r="1550" spans="1:3" x14ac:dyDescent="0.3">
      <c r="A1550">
        <v>0.5</v>
      </c>
      <c r="B1550">
        <v>1</v>
      </c>
      <c r="C1550">
        <v>1</v>
      </c>
    </row>
    <row r="1551" spans="1:3" x14ac:dyDescent="0.3">
      <c r="A1551">
        <v>0.5</v>
      </c>
      <c r="B1551">
        <v>1</v>
      </c>
      <c r="C1551">
        <v>1</v>
      </c>
    </row>
    <row r="1552" spans="1:3" x14ac:dyDescent="0.3">
      <c r="A1552">
        <v>0.5</v>
      </c>
      <c r="B1552">
        <v>1</v>
      </c>
      <c r="C1552">
        <v>1</v>
      </c>
    </row>
    <row r="1553" spans="1:3" x14ac:dyDescent="0.3">
      <c r="A1553">
        <v>0.5</v>
      </c>
      <c r="B1553">
        <v>1</v>
      </c>
      <c r="C1553">
        <v>1</v>
      </c>
    </row>
    <row r="1554" spans="1:3" x14ac:dyDescent="0.3">
      <c r="A1554">
        <v>0.5</v>
      </c>
      <c r="B1554">
        <v>1</v>
      </c>
      <c r="C1554">
        <v>1</v>
      </c>
    </row>
    <row r="1555" spans="1:3" x14ac:dyDescent="0.3">
      <c r="A1555">
        <v>0.5</v>
      </c>
      <c r="B1555">
        <v>1</v>
      </c>
      <c r="C1555">
        <v>1</v>
      </c>
    </row>
    <row r="1556" spans="1:3" x14ac:dyDescent="0.3">
      <c r="A1556">
        <v>0.5</v>
      </c>
      <c r="B1556">
        <v>1</v>
      </c>
      <c r="C1556">
        <v>1</v>
      </c>
    </row>
    <row r="1557" spans="1:3" x14ac:dyDescent="0.3">
      <c r="A1557">
        <v>0.5</v>
      </c>
      <c r="B1557">
        <v>1</v>
      </c>
      <c r="C1557">
        <v>1</v>
      </c>
    </row>
    <row r="1558" spans="1:3" x14ac:dyDescent="0.3">
      <c r="A1558">
        <v>0.5</v>
      </c>
      <c r="B1558">
        <v>1</v>
      </c>
      <c r="C1558">
        <v>1</v>
      </c>
    </row>
    <row r="1559" spans="1:3" x14ac:dyDescent="0.3">
      <c r="A1559">
        <v>0.5</v>
      </c>
      <c r="B1559">
        <v>1</v>
      </c>
      <c r="C1559">
        <v>1</v>
      </c>
    </row>
    <row r="1560" spans="1:3" x14ac:dyDescent="0.3">
      <c r="A1560">
        <v>0.5</v>
      </c>
      <c r="B1560">
        <v>1</v>
      </c>
      <c r="C1560">
        <v>1</v>
      </c>
    </row>
    <row r="1561" spans="1:3" x14ac:dyDescent="0.3">
      <c r="A1561">
        <v>0.5</v>
      </c>
      <c r="B1561">
        <v>1</v>
      </c>
      <c r="C1561">
        <v>1</v>
      </c>
    </row>
    <row r="1562" spans="1:3" x14ac:dyDescent="0.3">
      <c r="A1562">
        <v>0.5</v>
      </c>
      <c r="B1562">
        <v>1</v>
      </c>
      <c r="C1562">
        <v>1</v>
      </c>
    </row>
    <row r="1563" spans="1:3" x14ac:dyDescent="0.3">
      <c r="A1563">
        <v>0.5</v>
      </c>
      <c r="B1563">
        <v>1</v>
      </c>
      <c r="C1563">
        <v>1</v>
      </c>
    </row>
    <row r="1564" spans="1:3" x14ac:dyDescent="0.3">
      <c r="A1564">
        <v>0.5</v>
      </c>
      <c r="B1564">
        <v>1</v>
      </c>
      <c r="C1564">
        <v>1</v>
      </c>
    </row>
    <row r="1565" spans="1:3" x14ac:dyDescent="0.3">
      <c r="A1565">
        <v>0.5</v>
      </c>
      <c r="B1565">
        <v>1</v>
      </c>
      <c r="C1565">
        <v>1</v>
      </c>
    </row>
    <row r="1566" spans="1:3" x14ac:dyDescent="0.3">
      <c r="A1566">
        <v>0.51</v>
      </c>
      <c r="B1566">
        <v>1</v>
      </c>
      <c r="C1566">
        <v>1</v>
      </c>
    </row>
    <row r="1567" spans="1:3" x14ac:dyDescent="0.3">
      <c r="A1567">
        <v>0.51</v>
      </c>
      <c r="B1567">
        <v>1</v>
      </c>
      <c r="C1567">
        <v>1</v>
      </c>
    </row>
    <row r="1568" spans="1:3" x14ac:dyDescent="0.3">
      <c r="A1568">
        <v>0.51</v>
      </c>
      <c r="B1568">
        <v>1</v>
      </c>
      <c r="C1568">
        <v>1</v>
      </c>
    </row>
    <row r="1569" spans="1:3" x14ac:dyDescent="0.3">
      <c r="A1569">
        <v>0.51</v>
      </c>
      <c r="B1569">
        <v>1</v>
      </c>
      <c r="C1569">
        <v>1</v>
      </c>
    </row>
    <row r="1570" spans="1:3" x14ac:dyDescent="0.3">
      <c r="A1570">
        <v>0.51</v>
      </c>
      <c r="B1570">
        <v>1</v>
      </c>
      <c r="C1570">
        <v>1</v>
      </c>
    </row>
    <row r="1571" spans="1:3" x14ac:dyDescent="0.3">
      <c r="A1571">
        <v>0.51</v>
      </c>
      <c r="B1571">
        <v>1</v>
      </c>
      <c r="C1571">
        <v>1</v>
      </c>
    </row>
    <row r="1572" spans="1:3" x14ac:dyDescent="0.3">
      <c r="A1572">
        <v>0.51</v>
      </c>
      <c r="B1572">
        <v>1</v>
      </c>
      <c r="C1572">
        <v>1</v>
      </c>
    </row>
    <row r="1573" spans="1:3" x14ac:dyDescent="0.3">
      <c r="A1573">
        <v>0.52</v>
      </c>
      <c r="B1573">
        <v>1</v>
      </c>
      <c r="C1573">
        <v>1</v>
      </c>
    </row>
    <row r="1574" spans="1:3" x14ac:dyDescent="0.3">
      <c r="A1574">
        <v>0.52</v>
      </c>
      <c r="B1574">
        <v>1</v>
      </c>
      <c r="C1574">
        <v>1</v>
      </c>
    </row>
    <row r="1575" spans="1:3" x14ac:dyDescent="0.3">
      <c r="A1575">
        <v>0.52</v>
      </c>
      <c r="B1575">
        <v>1</v>
      </c>
      <c r="C1575">
        <v>1</v>
      </c>
    </row>
    <row r="1576" spans="1:3" x14ac:dyDescent="0.3">
      <c r="A1576">
        <v>0.52</v>
      </c>
      <c r="B1576">
        <v>1</v>
      </c>
      <c r="C1576">
        <v>1</v>
      </c>
    </row>
    <row r="1577" spans="1:3" x14ac:dyDescent="0.3">
      <c r="A1577">
        <v>0.52</v>
      </c>
      <c r="B1577">
        <v>1</v>
      </c>
      <c r="C1577">
        <v>1</v>
      </c>
    </row>
    <row r="1578" spans="1:3" x14ac:dyDescent="0.3">
      <c r="A1578">
        <v>0.53</v>
      </c>
      <c r="B1578">
        <v>1</v>
      </c>
      <c r="C1578">
        <v>1</v>
      </c>
    </row>
    <row r="1579" spans="1:3" x14ac:dyDescent="0.3">
      <c r="A1579">
        <v>0.53</v>
      </c>
      <c r="B1579">
        <v>1</v>
      </c>
      <c r="C1579">
        <v>1</v>
      </c>
    </row>
    <row r="1580" spans="1:3" x14ac:dyDescent="0.3">
      <c r="A1580">
        <v>0.53</v>
      </c>
      <c r="B1580">
        <v>1</v>
      </c>
      <c r="C1580">
        <v>1</v>
      </c>
    </row>
    <row r="1581" spans="1:3" x14ac:dyDescent="0.3">
      <c r="A1581">
        <v>0.53</v>
      </c>
      <c r="B1581">
        <v>1</v>
      </c>
      <c r="C1581">
        <v>1</v>
      </c>
    </row>
    <row r="1582" spans="1:3" x14ac:dyDescent="0.3">
      <c r="A1582">
        <v>0.53</v>
      </c>
      <c r="B1582">
        <v>1</v>
      </c>
      <c r="C1582">
        <v>1</v>
      </c>
    </row>
    <row r="1583" spans="1:3" x14ac:dyDescent="0.3">
      <c r="A1583">
        <v>0.53</v>
      </c>
      <c r="B1583">
        <v>1</v>
      </c>
      <c r="C1583">
        <v>1</v>
      </c>
    </row>
    <row r="1584" spans="1:3" x14ac:dyDescent="0.3">
      <c r="A1584">
        <v>0.54</v>
      </c>
      <c r="B1584">
        <v>1</v>
      </c>
      <c r="C1584">
        <v>1</v>
      </c>
    </row>
    <row r="1585" spans="1:3" x14ac:dyDescent="0.3">
      <c r="A1585">
        <v>0.54</v>
      </c>
      <c r="B1585">
        <v>1</v>
      </c>
      <c r="C1585">
        <v>1</v>
      </c>
    </row>
    <row r="1586" spans="1:3" x14ac:dyDescent="0.3">
      <c r="A1586">
        <v>0.54</v>
      </c>
      <c r="B1586">
        <v>1</v>
      </c>
      <c r="C1586">
        <v>1</v>
      </c>
    </row>
    <row r="1587" spans="1:3" x14ac:dyDescent="0.3">
      <c r="A1587">
        <v>0.54</v>
      </c>
      <c r="B1587">
        <v>1</v>
      </c>
      <c r="C1587">
        <v>1</v>
      </c>
    </row>
    <row r="1588" spans="1:3" x14ac:dyDescent="0.3">
      <c r="A1588">
        <v>0.54</v>
      </c>
      <c r="B1588">
        <v>1</v>
      </c>
      <c r="C1588">
        <v>1</v>
      </c>
    </row>
    <row r="1589" spans="1:3" x14ac:dyDescent="0.3">
      <c r="A1589">
        <v>0.54</v>
      </c>
      <c r="B1589">
        <v>1</v>
      </c>
      <c r="C1589">
        <v>1</v>
      </c>
    </row>
    <row r="1590" spans="1:3" x14ac:dyDescent="0.3">
      <c r="A1590">
        <v>0.54</v>
      </c>
      <c r="B1590">
        <v>1</v>
      </c>
      <c r="C1590">
        <v>1</v>
      </c>
    </row>
    <row r="1591" spans="1:3" x14ac:dyDescent="0.3">
      <c r="A1591">
        <v>0.54</v>
      </c>
      <c r="B1591">
        <v>1</v>
      </c>
      <c r="C1591">
        <v>1</v>
      </c>
    </row>
    <row r="1592" spans="1:3" x14ac:dyDescent="0.3">
      <c r="A1592">
        <v>0.54</v>
      </c>
      <c r="B1592">
        <v>1</v>
      </c>
      <c r="C1592">
        <v>1</v>
      </c>
    </row>
    <row r="1593" spans="1:3" x14ac:dyDescent="0.3">
      <c r="A1593">
        <v>0.54</v>
      </c>
      <c r="B1593">
        <v>1</v>
      </c>
      <c r="C1593">
        <v>1</v>
      </c>
    </row>
    <row r="1594" spans="1:3" x14ac:dyDescent="0.3">
      <c r="A1594">
        <v>0.55000000000000004</v>
      </c>
      <c r="B1594">
        <v>1</v>
      </c>
      <c r="C1594">
        <v>1</v>
      </c>
    </row>
    <row r="1595" spans="1:3" x14ac:dyDescent="0.3">
      <c r="A1595">
        <v>0.55000000000000004</v>
      </c>
      <c r="B1595">
        <v>1</v>
      </c>
      <c r="C1595">
        <v>1</v>
      </c>
    </row>
    <row r="1596" spans="1:3" x14ac:dyDescent="0.3">
      <c r="A1596">
        <v>0.55000000000000004</v>
      </c>
      <c r="B1596">
        <v>1</v>
      </c>
      <c r="C1596">
        <v>1</v>
      </c>
    </row>
    <row r="1597" spans="1:3" x14ac:dyDescent="0.3">
      <c r="A1597">
        <v>0.55000000000000004</v>
      </c>
      <c r="B1597">
        <v>1</v>
      </c>
      <c r="C1597">
        <v>1</v>
      </c>
    </row>
    <row r="1598" spans="1:3" x14ac:dyDescent="0.3">
      <c r="A1598">
        <v>0.55000000000000004</v>
      </c>
      <c r="B1598">
        <v>1</v>
      </c>
      <c r="C1598">
        <v>1</v>
      </c>
    </row>
    <row r="1599" spans="1:3" x14ac:dyDescent="0.3">
      <c r="A1599">
        <v>0.56000000000000005</v>
      </c>
      <c r="B1599">
        <v>1</v>
      </c>
      <c r="C1599">
        <v>1</v>
      </c>
    </row>
    <row r="1600" spans="1:3" x14ac:dyDescent="0.3">
      <c r="A1600">
        <v>0.56000000000000005</v>
      </c>
      <c r="B1600">
        <v>1</v>
      </c>
      <c r="C1600">
        <v>1</v>
      </c>
    </row>
    <row r="1601" spans="1:3" x14ac:dyDescent="0.3">
      <c r="A1601">
        <v>0.56000000000000005</v>
      </c>
      <c r="B1601">
        <v>1</v>
      </c>
      <c r="C1601">
        <v>1</v>
      </c>
    </row>
    <row r="1602" spans="1:3" x14ac:dyDescent="0.3">
      <c r="A1602">
        <v>0.56000000000000005</v>
      </c>
      <c r="B1602">
        <v>1</v>
      </c>
      <c r="C1602">
        <v>1</v>
      </c>
    </row>
    <row r="1603" spans="1:3" x14ac:dyDescent="0.3">
      <c r="A1603">
        <v>0.56999999999999995</v>
      </c>
      <c r="B1603">
        <v>1</v>
      </c>
      <c r="C1603">
        <v>1</v>
      </c>
    </row>
    <row r="1604" spans="1:3" x14ac:dyDescent="0.3">
      <c r="A1604">
        <v>0.56999999999999995</v>
      </c>
      <c r="B1604">
        <v>1</v>
      </c>
      <c r="C1604">
        <v>1</v>
      </c>
    </row>
    <row r="1605" spans="1:3" x14ac:dyDescent="0.3">
      <c r="A1605">
        <v>0.56999999999999995</v>
      </c>
      <c r="B1605">
        <v>1</v>
      </c>
      <c r="C1605">
        <v>1</v>
      </c>
    </row>
    <row r="1606" spans="1:3" x14ac:dyDescent="0.3">
      <c r="A1606">
        <v>0.56999999999999995</v>
      </c>
      <c r="B1606">
        <v>1</v>
      </c>
      <c r="C1606">
        <v>1</v>
      </c>
    </row>
    <row r="1607" spans="1:3" x14ac:dyDescent="0.3">
      <c r="A1607">
        <v>0.56999999999999995</v>
      </c>
      <c r="B1607">
        <v>1</v>
      </c>
      <c r="C1607">
        <v>1</v>
      </c>
    </row>
    <row r="1608" spans="1:3" x14ac:dyDescent="0.3">
      <c r="A1608">
        <v>0.56999999999999995</v>
      </c>
      <c r="B1608">
        <v>1</v>
      </c>
      <c r="C1608">
        <v>1</v>
      </c>
    </row>
    <row r="1609" spans="1:3" x14ac:dyDescent="0.3">
      <c r="A1609">
        <v>0.56999999999999995</v>
      </c>
      <c r="B1609">
        <v>1</v>
      </c>
      <c r="C1609">
        <v>1</v>
      </c>
    </row>
    <row r="1610" spans="1:3" x14ac:dyDescent="0.3">
      <c r="A1610">
        <v>0.57999999999999996</v>
      </c>
      <c r="B1610">
        <v>1</v>
      </c>
      <c r="C1610">
        <v>1</v>
      </c>
    </row>
    <row r="1611" spans="1:3" x14ac:dyDescent="0.3">
      <c r="A1611">
        <v>0.57999999999999996</v>
      </c>
      <c r="B1611">
        <v>1</v>
      </c>
      <c r="C1611">
        <v>1</v>
      </c>
    </row>
    <row r="1612" spans="1:3" x14ac:dyDescent="0.3">
      <c r="A1612">
        <v>0.57999999999999996</v>
      </c>
      <c r="B1612">
        <v>1</v>
      </c>
      <c r="C1612">
        <v>1</v>
      </c>
    </row>
    <row r="1613" spans="1:3" x14ac:dyDescent="0.3">
      <c r="A1613">
        <v>0.57999999999999996</v>
      </c>
      <c r="B1613">
        <v>1</v>
      </c>
      <c r="C1613">
        <v>1</v>
      </c>
    </row>
    <row r="1614" spans="1:3" x14ac:dyDescent="0.3">
      <c r="A1614">
        <v>0.57999999999999996</v>
      </c>
      <c r="B1614">
        <v>1</v>
      </c>
      <c r="C1614">
        <v>1</v>
      </c>
    </row>
    <row r="1615" spans="1:3" x14ac:dyDescent="0.3">
      <c r="A1615">
        <v>0.57999999999999996</v>
      </c>
      <c r="B1615">
        <v>1</v>
      </c>
      <c r="C1615">
        <v>1</v>
      </c>
    </row>
    <row r="1616" spans="1:3" x14ac:dyDescent="0.3">
      <c r="A1616">
        <v>0.59</v>
      </c>
      <c r="B1616">
        <v>1</v>
      </c>
      <c r="C1616">
        <v>1</v>
      </c>
    </row>
    <row r="1617" spans="1:3" x14ac:dyDescent="0.3">
      <c r="A1617">
        <v>0.59</v>
      </c>
      <c r="B1617">
        <v>1</v>
      </c>
      <c r="C1617">
        <v>1</v>
      </c>
    </row>
    <row r="1618" spans="1:3" x14ac:dyDescent="0.3">
      <c r="A1618">
        <v>0.59</v>
      </c>
      <c r="B1618">
        <v>1</v>
      </c>
      <c r="C1618">
        <v>1</v>
      </c>
    </row>
    <row r="1619" spans="1:3" x14ac:dyDescent="0.3">
      <c r="A1619">
        <v>0.59</v>
      </c>
      <c r="B1619">
        <v>1</v>
      </c>
      <c r="C1619">
        <v>1</v>
      </c>
    </row>
    <row r="1620" spans="1:3" x14ac:dyDescent="0.3">
      <c r="A1620">
        <v>0.59</v>
      </c>
      <c r="B1620">
        <v>1</v>
      </c>
      <c r="C1620">
        <v>1</v>
      </c>
    </row>
    <row r="1621" spans="1:3" x14ac:dyDescent="0.3">
      <c r="A1621">
        <v>0.6</v>
      </c>
      <c r="B1621">
        <v>1</v>
      </c>
      <c r="C1621">
        <v>1</v>
      </c>
    </row>
    <row r="1622" spans="1:3" x14ac:dyDescent="0.3">
      <c r="A1622">
        <v>0.6</v>
      </c>
      <c r="B1622">
        <v>1</v>
      </c>
      <c r="C1622">
        <v>1</v>
      </c>
    </row>
    <row r="1623" spans="1:3" x14ac:dyDescent="0.3">
      <c r="A1623">
        <v>0.6</v>
      </c>
      <c r="B1623">
        <v>1</v>
      </c>
      <c r="C1623">
        <v>1</v>
      </c>
    </row>
    <row r="1624" spans="1:3" x14ac:dyDescent="0.3">
      <c r="A1624">
        <v>0.6</v>
      </c>
      <c r="B1624">
        <v>1</v>
      </c>
      <c r="C1624">
        <v>1</v>
      </c>
    </row>
    <row r="1625" spans="1:3" x14ac:dyDescent="0.3">
      <c r="A1625">
        <v>0.6</v>
      </c>
      <c r="B1625">
        <v>1</v>
      </c>
      <c r="C1625">
        <v>1</v>
      </c>
    </row>
    <row r="1626" spans="1:3" x14ac:dyDescent="0.3">
      <c r="A1626">
        <v>0.6</v>
      </c>
      <c r="B1626">
        <v>1</v>
      </c>
      <c r="C1626">
        <v>1</v>
      </c>
    </row>
    <row r="1627" spans="1:3" x14ac:dyDescent="0.3">
      <c r="A1627">
        <v>0.61</v>
      </c>
      <c r="B1627">
        <v>1</v>
      </c>
      <c r="C1627">
        <v>1</v>
      </c>
    </row>
    <row r="1628" spans="1:3" x14ac:dyDescent="0.3">
      <c r="A1628">
        <v>0.61</v>
      </c>
      <c r="B1628">
        <v>1</v>
      </c>
      <c r="C1628">
        <v>1</v>
      </c>
    </row>
    <row r="1629" spans="1:3" x14ac:dyDescent="0.3">
      <c r="A1629">
        <v>0.61</v>
      </c>
      <c r="B1629">
        <v>1</v>
      </c>
      <c r="C1629">
        <v>1</v>
      </c>
    </row>
    <row r="1630" spans="1:3" x14ac:dyDescent="0.3">
      <c r="A1630">
        <v>0.61</v>
      </c>
      <c r="B1630">
        <v>1</v>
      </c>
      <c r="C1630">
        <v>1</v>
      </c>
    </row>
    <row r="1631" spans="1:3" x14ac:dyDescent="0.3">
      <c r="A1631">
        <v>0.61</v>
      </c>
      <c r="B1631">
        <v>1</v>
      </c>
      <c r="C1631">
        <v>1</v>
      </c>
    </row>
    <row r="1632" spans="1:3" x14ac:dyDescent="0.3">
      <c r="A1632">
        <v>0.61</v>
      </c>
      <c r="B1632">
        <v>1</v>
      </c>
      <c r="C1632">
        <v>1</v>
      </c>
    </row>
    <row r="1633" spans="1:3" x14ac:dyDescent="0.3">
      <c r="A1633">
        <v>0.61</v>
      </c>
      <c r="B1633">
        <v>1</v>
      </c>
      <c r="C1633">
        <v>1</v>
      </c>
    </row>
    <row r="1634" spans="1:3" x14ac:dyDescent="0.3">
      <c r="A1634">
        <v>0.61</v>
      </c>
      <c r="B1634">
        <v>1</v>
      </c>
      <c r="C1634">
        <v>1</v>
      </c>
    </row>
    <row r="1635" spans="1:3" x14ac:dyDescent="0.3">
      <c r="A1635">
        <v>0.62</v>
      </c>
      <c r="B1635">
        <v>1</v>
      </c>
      <c r="C1635">
        <v>1</v>
      </c>
    </row>
    <row r="1636" spans="1:3" x14ac:dyDescent="0.3">
      <c r="A1636">
        <v>0.62</v>
      </c>
      <c r="B1636">
        <v>1</v>
      </c>
      <c r="C1636">
        <v>1</v>
      </c>
    </row>
    <row r="1637" spans="1:3" x14ac:dyDescent="0.3">
      <c r="A1637">
        <v>0.62</v>
      </c>
      <c r="B1637">
        <v>1</v>
      </c>
      <c r="C1637">
        <v>1</v>
      </c>
    </row>
    <row r="1638" spans="1:3" x14ac:dyDescent="0.3">
      <c r="A1638">
        <v>0.62</v>
      </c>
      <c r="B1638">
        <v>1</v>
      </c>
      <c r="C1638">
        <v>1</v>
      </c>
    </row>
    <row r="1639" spans="1:3" x14ac:dyDescent="0.3">
      <c r="A1639">
        <v>0.62</v>
      </c>
      <c r="B1639">
        <v>1</v>
      </c>
      <c r="C1639">
        <v>1</v>
      </c>
    </row>
    <row r="1640" spans="1:3" x14ac:dyDescent="0.3">
      <c r="A1640">
        <v>0.62</v>
      </c>
      <c r="B1640">
        <v>1</v>
      </c>
      <c r="C1640">
        <v>1</v>
      </c>
    </row>
    <row r="1641" spans="1:3" x14ac:dyDescent="0.3">
      <c r="A1641">
        <v>0.62</v>
      </c>
      <c r="B1641">
        <v>1</v>
      </c>
      <c r="C1641">
        <v>1</v>
      </c>
    </row>
    <row r="1642" spans="1:3" x14ac:dyDescent="0.3">
      <c r="A1642">
        <v>0.62</v>
      </c>
      <c r="B1642">
        <v>1</v>
      </c>
      <c r="C1642">
        <v>1</v>
      </c>
    </row>
    <row r="1643" spans="1:3" x14ac:dyDescent="0.3">
      <c r="A1643">
        <v>0.62</v>
      </c>
      <c r="B1643">
        <v>1</v>
      </c>
      <c r="C1643">
        <v>1</v>
      </c>
    </row>
    <row r="1644" spans="1:3" x14ac:dyDescent="0.3">
      <c r="A1644">
        <v>0.63</v>
      </c>
      <c r="B1644">
        <v>1</v>
      </c>
      <c r="C1644">
        <v>1</v>
      </c>
    </row>
    <row r="1645" spans="1:3" x14ac:dyDescent="0.3">
      <c r="A1645">
        <v>0.63</v>
      </c>
      <c r="B1645">
        <v>1</v>
      </c>
      <c r="C1645">
        <v>1</v>
      </c>
    </row>
    <row r="1646" spans="1:3" x14ac:dyDescent="0.3">
      <c r="A1646">
        <v>0.63</v>
      </c>
      <c r="B1646">
        <v>1</v>
      </c>
      <c r="C1646">
        <v>1</v>
      </c>
    </row>
    <row r="1647" spans="1:3" x14ac:dyDescent="0.3">
      <c r="A1647">
        <v>0.63</v>
      </c>
      <c r="B1647">
        <v>1</v>
      </c>
      <c r="C1647">
        <v>1</v>
      </c>
    </row>
    <row r="1648" spans="1:3" x14ac:dyDescent="0.3">
      <c r="A1648">
        <v>0.63</v>
      </c>
      <c r="B1648">
        <v>1</v>
      </c>
      <c r="C1648">
        <v>1</v>
      </c>
    </row>
    <row r="1649" spans="1:3" x14ac:dyDescent="0.3">
      <c r="A1649">
        <v>0.64</v>
      </c>
      <c r="B1649">
        <v>1</v>
      </c>
      <c r="C1649">
        <v>1</v>
      </c>
    </row>
    <row r="1650" spans="1:3" x14ac:dyDescent="0.3">
      <c r="A1650">
        <v>0.64</v>
      </c>
      <c r="B1650">
        <v>1</v>
      </c>
      <c r="C1650">
        <v>1</v>
      </c>
    </row>
    <row r="1651" spans="1:3" x14ac:dyDescent="0.3">
      <c r="A1651">
        <v>0.64</v>
      </c>
      <c r="B1651">
        <v>1</v>
      </c>
      <c r="C1651">
        <v>1</v>
      </c>
    </row>
    <row r="1652" spans="1:3" x14ac:dyDescent="0.3">
      <c r="A1652">
        <v>0.64</v>
      </c>
      <c r="B1652">
        <v>1</v>
      </c>
      <c r="C1652">
        <v>1</v>
      </c>
    </row>
    <row r="1653" spans="1:3" x14ac:dyDescent="0.3">
      <c r="A1653">
        <v>0.64</v>
      </c>
      <c r="B1653">
        <v>1</v>
      </c>
      <c r="C1653">
        <v>1</v>
      </c>
    </row>
    <row r="1654" spans="1:3" x14ac:dyDescent="0.3">
      <c r="A1654">
        <v>0.64</v>
      </c>
      <c r="B1654">
        <v>1</v>
      </c>
      <c r="C1654">
        <v>1</v>
      </c>
    </row>
    <row r="1655" spans="1:3" x14ac:dyDescent="0.3">
      <c r="A1655">
        <v>0.64</v>
      </c>
      <c r="B1655">
        <v>1</v>
      </c>
      <c r="C1655">
        <v>1</v>
      </c>
    </row>
    <row r="1656" spans="1:3" x14ac:dyDescent="0.3">
      <c r="A1656">
        <v>0.64</v>
      </c>
      <c r="B1656">
        <v>1</v>
      </c>
      <c r="C1656">
        <v>1</v>
      </c>
    </row>
    <row r="1657" spans="1:3" x14ac:dyDescent="0.3">
      <c r="A1657">
        <v>0.65</v>
      </c>
      <c r="B1657">
        <v>1</v>
      </c>
      <c r="C1657">
        <v>1</v>
      </c>
    </row>
    <row r="1658" spans="1:3" x14ac:dyDescent="0.3">
      <c r="A1658">
        <v>0.65</v>
      </c>
      <c r="B1658">
        <v>1</v>
      </c>
      <c r="C1658">
        <v>1</v>
      </c>
    </row>
    <row r="1659" spans="1:3" x14ac:dyDescent="0.3">
      <c r="A1659">
        <v>0.65</v>
      </c>
      <c r="B1659">
        <v>1</v>
      </c>
      <c r="C1659">
        <v>1</v>
      </c>
    </row>
    <row r="1660" spans="1:3" x14ac:dyDescent="0.3">
      <c r="A1660">
        <v>0.65</v>
      </c>
      <c r="B1660">
        <v>1</v>
      </c>
      <c r="C1660">
        <v>1</v>
      </c>
    </row>
    <row r="1661" spans="1:3" x14ac:dyDescent="0.3">
      <c r="A1661">
        <v>0.66</v>
      </c>
      <c r="B1661">
        <v>1</v>
      </c>
      <c r="C1661">
        <v>1</v>
      </c>
    </row>
    <row r="1662" spans="1:3" x14ac:dyDescent="0.3">
      <c r="A1662">
        <v>0.66</v>
      </c>
      <c r="B1662">
        <v>1</v>
      </c>
      <c r="C1662">
        <v>1</v>
      </c>
    </row>
    <row r="1663" spans="1:3" x14ac:dyDescent="0.3">
      <c r="A1663">
        <v>0.66</v>
      </c>
      <c r="B1663">
        <v>1</v>
      </c>
      <c r="C1663">
        <v>1</v>
      </c>
    </row>
    <row r="1664" spans="1:3" x14ac:dyDescent="0.3">
      <c r="A1664">
        <v>0.66</v>
      </c>
      <c r="B1664">
        <v>1</v>
      </c>
      <c r="C1664">
        <v>1</v>
      </c>
    </row>
    <row r="1665" spans="1:3" x14ac:dyDescent="0.3">
      <c r="A1665">
        <v>0.66</v>
      </c>
      <c r="B1665">
        <v>1</v>
      </c>
      <c r="C1665">
        <v>1</v>
      </c>
    </row>
    <row r="1666" spans="1:3" x14ac:dyDescent="0.3">
      <c r="A1666">
        <v>0.66</v>
      </c>
      <c r="B1666">
        <v>1</v>
      </c>
      <c r="C1666">
        <v>1</v>
      </c>
    </row>
    <row r="1667" spans="1:3" x14ac:dyDescent="0.3">
      <c r="A1667">
        <v>0.66</v>
      </c>
      <c r="B1667">
        <v>1</v>
      </c>
      <c r="C1667">
        <v>1</v>
      </c>
    </row>
    <row r="1668" spans="1:3" x14ac:dyDescent="0.3">
      <c r="A1668">
        <v>0.66</v>
      </c>
      <c r="B1668">
        <v>1</v>
      </c>
      <c r="C1668">
        <v>1</v>
      </c>
    </row>
    <row r="1669" spans="1:3" x14ac:dyDescent="0.3">
      <c r="A1669">
        <v>0.66</v>
      </c>
      <c r="B1669">
        <v>1</v>
      </c>
      <c r="C1669">
        <v>1</v>
      </c>
    </row>
    <row r="1670" spans="1:3" x14ac:dyDescent="0.3">
      <c r="A1670">
        <v>0.67</v>
      </c>
      <c r="B1670">
        <v>1</v>
      </c>
      <c r="C1670">
        <v>1</v>
      </c>
    </row>
    <row r="1671" spans="1:3" x14ac:dyDescent="0.3">
      <c r="A1671">
        <v>0.67</v>
      </c>
      <c r="B1671">
        <v>1</v>
      </c>
      <c r="C1671">
        <v>1</v>
      </c>
    </row>
    <row r="1672" spans="1:3" x14ac:dyDescent="0.3">
      <c r="A1672">
        <v>0.68</v>
      </c>
      <c r="B1672">
        <v>1</v>
      </c>
      <c r="C1672">
        <v>1</v>
      </c>
    </row>
    <row r="1673" spans="1:3" x14ac:dyDescent="0.3">
      <c r="A1673">
        <v>0.68</v>
      </c>
      <c r="B1673">
        <v>1</v>
      </c>
      <c r="C1673">
        <v>1</v>
      </c>
    </row>
    <row r="1674" spans="1:3" x14ac:dyDescent="0.3">
      <c r="A1674">
        <v>0.68</v>
      </c>
      <c r="B1674">
        <v>1</v>
      </c>
      <c r="C1674">
        <v>1</v>
      </c>
    </row>
    <row r="1675" spans="1:3" x14ac:dyDescent="0.3">
      <c r="A1675">
        <v>0.68</v>
      </c>
      <c r="B1675">
        <v>1</v>
      </c>
      <c r="C1675">
        <v>1</v>
      </c>
    </row>
    <row r="1676" spans="1:3" x14ac:dyDescent="0.3">
      <c r="A1676">
        <v>0.69</v>
      </c>
      <c r="B1676">
        <v>1</v>
      </c>
      <c r="C1676">
        <v>1</v>
      </c>
    </row>
    <row r="1677" spans="1:3" x14ac:dyDescent="0.3">
      <c r="A1677">
        <v>0.69</v>
      </c>
      <c r="B1677">
        <v>1</v>
      </c>
      <c r="C1677">
        <v>1</v>
      </c>
    </row>
    <row r="1678" spans="1:3" x14ac:dyDescent="0.3">
      <c r="A1678">
        <v>0.7</v>
      </c>
      <c r="B1678">
        <v>1</v>
      </c>
      <c r="C1678">
        <v>1</v>
      </c>
    </row>
    <row r="1679" spans="1:3" x14ac:dyDescent="0.3">
      <c r="A1679">
        <v>0.7</v>
      </c>
      <c r="B1679">
        <v>1</v>
      </c>
      <c r="C1679">
        <v>1</v>
      </c>
    </row>
    <row r="1680" spans="1:3" x14ac:dyDescent="0.3">
      <c r="A1680">
        <v>0.7</v>
      </c>
      <c r="B1680">
        <v>1</v>
      </c>
      <c r="C1680">
        <v>1</v>
      </c>
    </row>
    <row r="1681" spans="1:3" x14ac:dyDescent="0.3">
      <c r="A1681">
        <v>0.7</v>
      </c>
      <c r="B1681">
        <v>1</v>
      </c>
      <c r="C1681">
        <v>1</v>
      </c>
    </row>
    <row r="1682" spans="1:3" x14ac:dyDescent="0.3">
      <c r="A1682">
        <v>0.7</v>
      </c>
      <c r="B1682">
        <v>1</v>
      </c>
      <c r="C1682">
        <v>1</v>
      </c>
    </row>
    <row r="1683" spans="1:3" x14ac:dyDescent="0.3">
      <c r="A1683">
        <v>0.71</v>
      </c>
      <c r="B1683">
        <v>1</v>
      </c>
      <c r="C1683">
        <v>1</v>
      </c>
    </row>
    <row r="1684" spans="1:3" x14ac:dyDescent="0.3">
      <c r="A1684">
        <v>0.71</v>
      </c>
      <c r="B1684">
        <v>1</v>
      </c>
      <c r="C1684">
        <v>1</v>
      </c>
    </row>
    <row r="1685" spans="1:3" x14ac:dyDescent="0.3">
      <c r="A1685">
        <v>0.71</v>
      </c>
      <c r="B1685">
        <v>1</v>
      </c>
      <c r="C1685">
        <v>1</v>
      </c>
    </row>
    <row r="1686" spans="1:3" x14ac:dyDescent="0.3">
      <c r="A1686">
        <v>0.72</v>
      </c>
      <c r="B1686">
        <v>1</v>
      </c>
      <c r="C1686">
        <v>1</v>
      </c>
    </row>
    <row r="1687" spans="1:3" x14ac:dyDescent="0.3">
      <c r="A1687">
        <v>0.72</v>
      </c>
      <c r="B1687">
        <v>1</v>
      </c>
      <c r="C1687">
        <v>1</v>
      </c>
    </row>
    <row r="1688" spans="1:3" x14ac:dyDescent="0.3">
      <c r="A1688">
        <v>0.72</v>
      </c>
      <c r="B1688">
        <v>1</v>
      </c>
      <c r="C1688">
        <v>1</v>
      </c>
    </row>
    <row r="1689" spans="1:3" x14ac:dyDescent="0.3">
      <c r="A1689">
        <v>0.72</v>
      </c>
      <c r="B1689">
        <v>1</v>
      </c>
      <c r="C1689">
        <v>1</v>
      </c>
    </row>
    <row r="1690" spans="1:3" x14ac:dyDescent="0.3">
      <c r="A1690">
        <v>0.72</v>
      </c>
      <c r="B1690">
        <v>1</v>
      </c>
      <c r="C1690">
        <v>1</v>
      </c>
    </row>
    <row r="1691" spans="1:3" x14ac:dyDescent="0.3">
      <c r="A1691">
        <v>0.72</v>
      </c>
      <c r="B1691">
        <v>1</v>
      </c>
      <c r="C1691">
        <v>1</v>
      </c>
    </row>
    <row r="1692" spans="1:3" x14ac:dyDescent="0.3">
      <c r="A1692">
        <v>0.72</v>
      </c>
      <c r="B1692">
        <v>1</v>
      </c>
      <c r="C1692">
        <v>1</v>
      </c>
    </row>
    <row r="1693" spans="1:3" x14ac:dyDescent="0.3">
      <c r="A1693">
        <v>0.73</v>
      </c>
      <c r="B1693">
        <v>1</v>
      </c>
      <c r="C1693">
        <v>1</v>
      </c>
    </row>
    <row r="1694" spans="1:3" x14ac:dyDescent="0.3">
      <c r="A1694">
        <v>0.73</v>
      </c>
      <c r="B1694">
        <v>1</v>
      </c>
      <c r="C1694">
        <v>1</v>
      </c>
    </row>
    <row r="1695" spans="1:3" x14ac:dyDescent="0.3">
      <c r="A1695">
        <v>0.74</v>
      </c>
      <c r="B1695">
        <v>1</v>
      </c>
      <c r="C1695">
        <v>1</v>
      </c>
    </row>
    <row r="1696" spans="1:3" x14ac:dyDescent="0.3">
      <c r="A1696">
        <v>0.74</v>
      </c>
      <c r="B1696">
        <v>1</v>
      </c>
      <c r="C1696">
        <v>1</v>
      </c>
    </row>
    <row r="1697" spans="1:3" x14ac:dyDescent="0.3">
      <c r="A1697">
        <v>0.74</v>
      </c>
      <c r="B1697">
        <v>1</v>
      </c>
      <c r="C1697">
        <v>1</v>
      </c>
    </row>
    <row r="1698" spans="1:3" x14ac:dyDescent="0.3">
      <c r="A1698">
        <v>0.74</v>
      </c>
      <c r="B1698">
        <v>1</v>
      </c>
      <c r="C1698">
        <v>1</v>
      </c>
    </row>
    <row r="1699" spans="1:3" x14ac:dyDescent="0.3">
      <c r="A1699">
        <v>0.75</v>
      </c>
      <c r="B1699">
        <v>1</v>
      </c>
      <c r="C1699">
        <v>1</v>
      </c>
    </row>
    <row r="1700" spans="1:3" x14ac:dyDescent="0.3">
      <c r="A1700">
        <v>0.75</v>
      </c>
      <c r="B1700">
        <v>1</v>
      </c>
      <c r="C1700">
        <v>1</v>
      </c>
    </row>
    <row r="1701" spans="1:3" x14ac:dyDescent="0.3">
      <c r="A1701">
        <v>0.75</v>
      </c>
      <c r="B1701">
        <v>1</v>
      </c>
      <c r="C1701">
        <v>1</v>
      </c>
    </row>
    <row r="1702" spans="1:3" x14ac:dyDescent="0.3">
      <c r="A1702">
        <v>0.75</v>
      </c>
      <c r="B1702">
        <v>1</v>
      </c>
      <c r="C1702">
        <v>1</v>
      </c>
    </row>
    <row r="1703" spans="1:3" x14ac:dyDescent="0.3">
      <c r="A1703">
        <v>0.76</v>
      </c>
      <c r="B1703">
        <v>1</v>
      </c>
      <c r="C1703">
        <v>1</v>
      </c>
    </row>
    <row r="1704" spans="1:3" x14ac:dyDescent="0.3">
      <c r="A1704">
        <v>0.76</v>
      </c>
      <c r="B1704">
        <v>1</v>
      </c>
      <c r="C1704">
        <v>1</v>
      </c>
    </row>
    <row r="1705" spans="1:3" x14ac:dyDescent="0.3">
      <c r="A1705">
        <v>0.76</v>
      </c>
      <c r="B1705">
        <v>1</v>
      </c>
      <c r="C1705">
        <v>1</v>
      </c>
    </row>
    <row r="1706" spans="1:3" x14ac:dyDescent="0.3">
      <c r="A1706">
        <v>0.77</v>
      </c>
      <c r="B1706">
        <v>1</v>
      </c>
      <c r="C1706">
        <v>1</v>
      </c>
    </row>
    <row r="1707" spans="1:3" x14ac:dyDescent="0.3">
      <c r="A1707">
        <v>0.77</v>
      </c>
      <c r="B1707">
        <v>1</v>
      </c>
      <c r="C1707">
        <v>1</v>
      </c>
    </row>
    <row r="1708" spans="1:3" x14ac:dyDescent="0.3">
      <c r="A1708">
        <v>0.78</v>
      </c>
      <c r="B1708">
        <v>1</v>
      </c>
      <c r="C1708">
        <v>1</v>
      </c>
    </row>
    <row r="1709" spans="1:3" x14ac:dyDescent="0.3">
      <c r="A1709">
        <v>0.78</v>
      </c>
      <c r="B1709">
        <v>1</v>
      </c>
      <c r="C1709">
        <v>1</v>
      </c>
    </row>
    <row r="1710" spans="1:3" x14ac:dyDescent="0.3">
      <c r="A1710">
        <v>0.79</v>
      </c>
      <c r="B1710">
        <v>1</v>
      </c>
      <c r="C1710">
        <v>1</v>
      </c>
    </row>
    <row r="1711" spans="1:3" x14ac:dyDescent="0.3">
      <c r="A1711">
        <v>0.79</v>
      </c>
      <c r="B1711">
        <v>1</v>
      </c>
      <c r="C1711">
        <v>1</v>
      </c>
    </row>
    <row r="1712" spans="1:3" x14ac:dyDescent="0.3">
      <c r="A1712">
        <v>0.79</v>
      </c>
      <c r="B1712">
        <v>1</v>
      </c>
      <c r="C1712">
        <v>1</v>
      </c>
    </row>
    <row r="1713" spans="1:3" x14ac:dyDescent="0.3">
      <c r="A1713">
        <v>0.79</v>
      </c>
      <c r="B1713">
        <v>1</v>
      </c>
      <c r="C1713">
        <v>1</v>
      </c>
    </row>
    <row r="1714" spans="1:3" x14ac:dyDescent="0.3">
      <c r="A1714">
        <v>0.79</v>
      </c>
      <c r="B1714">
        <v>1</v>
      </c>
      <c r="C1714">
        <v>1</v>
      </c>
    </row>
    <row r="1715" spans="1:3" x14ac:dyDescent="0.3">
      <c r="A1715">
        <v>0.79</v>
      </c>
      <c r="B1715">
        <v>1</v>
      </c>
      <c r="C1715">
        <v>1</v>
      </c>
    </row>
    <row r="1716" spans="1:3" x14ac:dyDescent="0.3">
      <c r="A1716">
        <v>0.79</v>
      </c>
      <c r="B1716">
        <v>1</v>
      </c>
      <c r="C1716">
        <v>1</v>
      </c>
    </row>
    <row r="1717" spans="1:3" x14ac:dyDescent="0.3">
      <c r="A1717">
        <v>0.8</v>
      </c>
      <c r="B1717">
        <v>1</v>
      </c>
      <c r="C1717">
        <v>1</v>
      </c>
    </row>
    <row r="1718" spans="1:3" x14ac:dyDescent="0.3">
      <c r="A1718">
        <v>0.8</v>
      </c>
      <c r="B1718">
        <v>1</v>
      </c>
      <c r="C1718">
        <v>1</v>
      </c>
    </row>
    <row r="1719" spans="1:3" x14ac:dyDescent="0.3">
      <c r="A1719">
        <v>0.8</v>
      </c>
      <c r="B1719">
        <v>1</v>
      </c>
      <c r="C1719">
        <v>1</v>
      </c>
    </row>
    <row r="1720" spans="1:3" x14ac:dyDescent="0.3">
      <c r="A1720">
        <v>0.81</v>
      </c>
      <c r="B1720">
        <v>1</v>
      </c>
      <c r="C1720">
        <v>1</v>
      </c>
    </row>
    <row r="1721" spans="1:3" x14ac:dyDescent="0.3">
      <c r="A1721">
        <v>0.82</v>
      </c>
      <c r="B1721">
        <v>1</v>
      </c>
      <c r="C1721">
        <v>1</v>
      </c>
    </row>
    <row r="1722" spans="1:3" x14ac:dyDescent="0.3">
      <c r="A1722">
        <v>0.82</v>
      </c>
      <c r="B1722">
        <v>1</v>
      </c>
      <c r="C1722">
        <v>1</v>
      </c>
    </row>
    <row r="1723" spans="1:3" x14ac:dyDescent="0.3">
      <c r="A1723">
        <v>0.83</v>
      </c>
      <c r="B1723">
        <v>1</v>
      </c>
      <c r="C1723">
        <v>1</v>
      </c>
    </row>
    <row r="1724" spans="1:3" x14ac:dyDescent="0.3">
      <c r="A1724">
        <v>0.83</v>
      </c>
      <c r="B1724">
        <v>1</v>
      </c>
      <c r="C1724">
        <v>1</v>
      </c>
    </row>
    <row r="1725" spans="1:3" x14ac:dyDescent="0.3">
      <c r="A1725">
        <v>0.84</v>
      </c>
      <c r="B1725">
        <v>1</v>
      </c>
      <c r="C1725">
        <v>1</v>
      </c>
    </row>
    <row r="1726" spans="1:3" x14ac:dyDescent="0.3">
      <c r="A1726">
        <v>0.84</v>
      </c>
      <c r="B1726">
        <v>1</v>
      </c>
      <c r="C1726">
        <v>1</v>
      </c>
    </row>
    <row r="1727" spans="1:3" x14ac:dyDescent="0.3">
      <c r="A1727">
        <v>0.84</v>
      </c>
      <c r="B1727">
        <v>1</v>
      </c>
      <c r="C1727">
        <v>1</v>
      </c>
    </row>
    <row r="1728" spans="1:3" x14ac:dyDescent="0.3">
      <c r="A1728">
        <v>0.84</v>
      </c>
      <c r="B1728">
        <v>1</v>
      </c>
      <c r="C1728">
        <v>1</v>
      </c>
    </row>
    <row r="1729" spans="1:3" x14ac:dyDescent="0.3">
      <c r="A1729">
        <v>0.84</v>
      </c>
      <c r="B1729">
        <v>1</v>
      </c>
      <c r="C1729">
        <v>1</v>
      </c>
    </row>
    <row r="1730" spans="1:3" x14ac:dyDescent="0.3">
      <c r="A1730">
        <v>0.84</v>
      </c>
      <c r="B1730">
        <v>1</v>
      </c>
      <c r="C1730">
        <v>1</v>
      </c>
    </row>
    <row r="1731" spans="1:3" x14ac:dyDescent="0.3">
      <c r="A1731">
        <v>0.84</v>
      </c>
      <c r="B1731">
        <v>1</v>
      </c>
      <c r="C1731">
        <v>1</v>
      </c>
    </row>
    <row r="1732" spans="1:3" x14ac:dyDescent="0.3">
      <c r="A1732">
        <v>0.85</v>
      </c>
      <c r="B1732">
        <v>1</v>
      </c>
      <c r="C1732">
        <v>1</v>
      </c>
    </row>
    <row r="1733" spans="1:3" x14ac:dyDescent="0.3">
      <c r="A1733">
        <v>0.85</v>
      </c>
      <c r="B1733">
        <v>1</v>
      </c>
      <c r="C1733">
        <v>1</v>
      </c>
    </row>
    <row r="1734" spans="1:3" x14ac:dyDescent="0.3">
      <c r="A1734">
        <v>0.85</v>
      </c>
      <c r="B1734">
        <v>1</v>
      </c>
      <c r="C1734">
        <v>1</v>
      </c>
    </row>
    <row r="1735" spans="1:3" x14ac:dyDescent="0.3">
      <c r="A1735">
        <v>0.86</v>
      </c>
      <c r="B1735">
        <v>1</v>
      </c>
      <c r="C1735">
        <v>1</v>
      </c>
    </row>
    <row r="1736" spans="1:3" x14ac:dyDescent="0.3">
      <c r="A1736">
        <v>0.87</v>
      </c>
      <c r="B1736">
        <v>1</v>
      </c>
      <c r="C1736">
        <v>1</v>
      </c>
    </row>
    <row r="1737" spans="1:3" x14ac:dyDescent="0.3">
      <c r="A1737">
        <v>0.88</v>
      </c>
      <c r="B1737">
        <v>1</v>
      </c>
      <c r="C1737">
        <v>1</v>
      </c>
    </row>
    <row r="1738" spans="1:3" x14ac:dyDescent="0.3">
      <c r="A1738">
        <v>0.88</v>
      </c>
      <c r="B1738">
        <v>1</v>
      </c>
      <c r="C1738">
        <v>1</v>
      </c>
    </row>
    <row r="1739" spans="1:3" x14ac:dyDescent="0.3">
      <c r="A1739">
        <v>0.88</v>
      </c>
      <c r="B1739">
        <v>1</v>
      </c>
      <c r="C1739">
        <v>1</v>
      </c>
    </row>
    <row r="1740" spans="1:3" x14ac:dyDescent="0.3">
      <c r="A1740">
        <v>0.88</v>
      </c>
      <c r="B1740">
        <v>1</v>
      </c>
      <c r="C1740">
        <v>1</v>
      </c>
    </row>
    <row r="1741" spans="1:3" x14ac:dyDescent="0.3">
      <c r="A1741">
        <v>0.88</v>
      </c>
      <c r="B1741">
        <v>1</v>
      </c>
      <c r="C1741">
        <v>1</v>
      </c>
    </row>
    <row r="1742" spans="1:3" x14ac:dyDescent="0.3">
      <c r="A1742">
        <v>0.88</v>
      </c>
      <c r="B1742">
        <v>1</v>
      </c>
      <c r="C1742">
        <v>1</v>
      </c>
    </row>
    <row r="1743" spans="1:3" x14ac:dyDescent="0.3">
      <c r="A1743">
        <v>0.89</v>
      </c>
      <c r="B1743">
        <v>1</v>
      </c>
      <c r="C1743">
        <v>1</v>
      </c>
    </row>
    <row r="1744" spans="1:3" x14ac:dyDescent="0.3">
      <c r="A1744">
        <v>0.9</v>
      </c>
      <c r="B1744">
        <v>1</v>
      </c>
      <c r="C1744">
        <v>1</v>
      </c>
    </row>
    <row r="1745" spans="1:3" x14ac:dyDescent="0.3">
      <c r="A1745">
        <v>0.9</v>
      </c>
      <c r="B1745">
        <v>1</v>
      </c>
      <c r="C1745">
        <v>1</v>
      </c>
    </row>
    <row r="1746" spans="1:3" x14ac:dyDescent="0.3">
      <c r="A1746">
        <v>0.9</v>
      </c>
      <c r="B1746">
        <v>1</v>
      </c>
      <c r="C1746">
        <v>1</v>
      </c>
    </row>
    <row r="1747" spans="1:3" x14ac:dyDescent="0.3">
      <c r="A1747">
        <v>0.9</v>
      </c>
      <c r="B1747">
        <v>1</v>
      </c>
      <c r="C1747">
        <v>1</v>
      </c>
    </row>
    <row r="1748" spans="1:3" x14ac:dyDescent="0.3">
      <c r="A1748">
        <v>0.9</v>
      </c>
      <c r="B1748">
        <v>1</v>
      </c>
      <c r="C1748">
        <v>1</v>
      </c>
    </row>
    <row r="1749" spans="1:3" x14ac:dyDescent="0.3">
      <c r="A1749">
        <v>0.9</v>
      </c>
      <c r="B1749">
        <v>1</v>
      </c>
      <c r="C1749">
        <v>1</v>
      </c>
    </row>
    <row r="1750" spans="1:3" x14ac:dyDescent="0.3">
      <c r="A1750">
        <v>0.91</v>
      </c>
      <c r="B1750">
        <v>1</v>
      </c>
      <c r="C1750">
        <v>1</v>
      </c>
    </row>
    <row r="1751" spans="1:3" x14ac:dyDescent="0.3">
      <c r="A1751">
        <v>0.91</v>
      </c>
      <c r="B1751">
        <v>1</v>
      </c>
      <c r="C1751">
        <v>1</v>
      </c>
    </row>
    <row r="1752" spans="1:3" x14ac:dyDescent="0.3">
      <c r="A1752">
        <v>0.91</v>
      </c>
      <c r="B1752">
        <v>1</v>
      </c>
      <c r="C1752">
        <v>1</v>
      </c>
    </row>
    <row r="1753" spans="1:3" x14ac:dyDescent="0.3">
      <c r="A1753">
        <v>0.91</v>
      </c>
      <c r="B1753">
        <v>1</v>
      </c>
      <c r="C1753">
        <v>1</v>
      </c>
    </row>
    <row r="1754" spans="1:3" x14ac:dyDescent="0.3">
      <c r="A1754">
        <v>0.91</v>
      </c>
      <c r="B1754">
        <v>1</v>
      </c>
      <c r="C1754">
        <v>1</v>
      </c>
    </row>
    <row r="1755" spans="1:3" x14ac:dyDescent="0.3">
      <c r="A1755">
        <v>0.92</v>
      </c>
      <c r="B1755">
        <v>1</v>
      </c>
      <c r="C1755">
        <v>1</v>
      </c>
    </row>
    <row r="1756" spans="1:3" x14ac:dyDescent="0.3">
      <c r="A1756">
        <v>0.92</v>
      </c>
      <c r="B1756">
        <v>1</v>
      </c>
      <c r="C1756">
        <v>1</v>
      </c>
    </row>
    <row r="1757" spans="1:3" x14ac:dyDescent="0.3">
      <c r="A1757">
        <v>0.92</v>
      </c>
      <c r="B1757">
        <v>1</v>
      </c>
      <c r="C1757">
        <v>1</v>
      </c>
    </row>
    <row r="1758" spans="1:3" x14ac:dyDescent="0.3">
      <c r="A1758">
        <v>0.93</v>
      </c>
      <c r="B1758">
        <v>1</v>
      </c>
      <c r="C1758">
        <v>1</v>
      </c>
    </row>
    <row r="1759" spans="1:3" x14ac:dyDescent="0.3">
      <c r="A1759">
        <v>0.93</v>
      </c>
      <c r="B1759">
        <v>1</v>
      </c>
      <c r="C1759">
        <v>1</v>
      </c>
    </row>
    <row r="1760" spans="1:3" x14ac:dyDescent="0.3">
      <c r="A1760">
        <v>0.93</v>
      </c>
      <c r="B1760">
        <v>1</v>
      </c>
      <c r="C1760">
        <v>1</v>
      </c>
    </row>
    <row r="1761" spans="1:3" x14ac:dyDescent="0.3">
      <c r="A1761">
        <v>0.94</v>
      </c>
      <c r="B1761">
        <v>1</v>
      </c>
      <c r="C1761">
        <v>1</v>
      </c>
    </row>
    <row r="1762" spans="1:3" x14ac:dyDescent="0.3">
      <c r="A1762">
        <v>0.94</v>
      </c>
      <c r="B1762">
        <v>1</v>
      </c>
      <c r="C1762">
        <v>1</v>
      </c>
    </row>
    <row r="1763" spans="1:3" x14ac:dyDescent="0.3">
      <c r="A1763">
        <v>0.94</v>
      </c>
      <c r="B1763">
        <v>1</v>
      </c>
      <c r="C1763">
        <v>1</v>
      </c>
    </row>
    <row r="1764" spans="1:3" x14ac:dyDescent="0.3">
      <c r="A1764">
        <v>0.95</v>
      </c>
      <c r="B1764">
        <v>1</v>
      </c>
      <c r="C1764">
        <v>1</v>
      </c>
    </row>
    <row r="1765" spans="1:3" x14ac:dyDescent="0.3">
      <c r="A1765">
        <v>0.97</v>
      </c>
      <c r="B1765">
        <v>1</v>
      </c>
      <c r="C1765">
        <v>1</v>
      </c>
    </row>
    <row r="1766" spans="1:3" x14ac:dyDescent="0.3">
      <c r="A1766">
        <v>0.97</v>
      </c>
      <c r="B1766">
        <v>1</v>
      </c>
      <c r="C1766">
        <v>1</v>
      </c>
    </row>
    <row r="1767" spans="1:3" x14ac:dyDescent="0.3">
      <c r="A1767">
        <v>0.97</v>
      </c>
      <c r="B1767">
        <v>1</v>
      </c>
      <c r="C1767">
        <v>1</v>
      </c>
    </row>
    <row r="1768" spans="1:3" x14ac:dyDescent="0.3">
      <c r="A1768">
        <v>0.98</v>
      </c>
      <c r="B1768">
        <v>1</v>
      </c>
      <c r="C1768">
        <v>1</v>
      </c>
    </row>
    <row r="1769" spans="1:3" x14ac:dyDescent="0.3">
      <c r="A1769">
        <v>0.99</v>
      </c>
      <c r="B1769">
        <v>1</v>
      </c>
      <c r="C1769">
        <v>1</v>
      </c>
    </row>
    <row r="1770" spans="1:3" x14ac:dyDescent="0.3">
      <c r="A1770">
        <v>0.99</v>
      </c>
      <c r="B1770">
        <v>1</v>
      </c>
      <c r="C1770">
        <v>1</v>
      </c>
    </row>
    <row r="1771" spans="1:3" x14ac:dyDescent="0.3">
      <c r="A1771">
        <v>1</v>
      </c>
      <c r="B1771">
        <v>1</v>
      </c>
      <c r="C1771">
        <v>1</v>
      </c>
    </row>
    <row r="1772" spans="1:3" x14ac:dyDescent="0.3">
      <c r="A1772">
        <v>1</v>
      </c>
      <c r="B1772">
        <v>1</v>
      </c>
      <c r="C1772">
        <v>1</v>
      </c>
    </row>
    <row r="1773" spans="1:3" x14ac:dyDescent="0.3">
      <c r="A1773">
        <v>1.01</v>
      </c>
      <c r="B1773">
        <v>1</v>
      </c>
      <c r="C1773">
        <v>1</v>
      </c>
    </row>
    <row r="1774" spans="1:3" x14ac:dyDescent="0.3">
      <c r="A1774">
        <v>1.02</v>
      </c>
      <c r="B1774">
        <v>1</v>
      </c>
      <c r="C1774">
        <v>1</v>
      </c>
    </row>
    <row r="1775" spans="1:3" x14ac:dyDescent="0.3">
      <c r="A1775">
        <v>1.02</v>
      </c>
      <c r="B1775">
        <v>1</v>
      </c>
      <c r="C1775">
        <v>1</v>
      </c>
    </row>
    <row r="1776" spans="1:3" x14ac:dyDescent="0.3">
      <c r="A1776">
        <v>1.02</v>
      </c>
      <c r="B1776">
        <v>1</v>
      </c>
      <c r="C1776">
        <v>1</v>
      </c>
    </row>
    <row r="1777" spans="1:3" x14ac:dyDescent="0.3">
      <c r="A1777">
        <v>1.03</v>
      </c>
      <c r="B1777">
        <v>1</v>
      </c>
      <c r="C1777">
        <v>1</v>
      </c>
    </row>
    <row r="1778" spans="1:3" x14ac:dyDescent="0.3">
      <c r="A1778">
        <v>1.04</v>
      </c>
      <c r="B1778">
        <v>1</v>
      </c>
      <c r="C1778">
        <v>1</v>
      </c>
    </row>
    <row r="1779" spans="1:3" x14ac:dyDescent="0.3">
      <c r="A1779">
        <v>1.04</v>
      </c>
      <c r="B1779">
        <v>1</v>
      </c>
      <c r="C1779">
        <v>1</v>
      </c>
    </row>
    <row r="1780" spans="1:3" x14ac:dyDescent="0.3">
      <c r="A1780">
        <v>1.05</v>
      </c>
      <c r="B1780">
        <v>1</v>
      </c>
      <c r="C1780">
        <v>1</v>
      </c>
    </row>
    <row r="1781" spans="1:3" x14ac:dyDescent="0.3">
      <c r="A1781">
        <v>1.05</v>
      </c>
      <c r="B1781">
        <v>1</v>
      </c>
      <c r="C1781">
        <v>1</v>
      </c>
    </row>
    <row r="1782" spans="1:3" x14ac:dyDescent="0.3">
      <c r="A1782">
        <v>1.05</v>
      </c>
      <c r="B1782">
        <v>1</v>
      </c>
      <c r="C1782">
        <v>1</v>
      </c>
    </row>
    <row r="1783" spans="1:3" x14ac:dyDescent="0.3">
      <c r="A1783">
        <v>1.06</v>
      </c>
      <c r="B1783">
        <v>1</v>
      </c>
      <c r="C1783">
        <v>1</v>
      </c>
    </row>
    <row r="1784" spans="1:3" x14ac:dyDescent="0.3">
      <c r="A1784">
        <v>1.06</v>
      </c>
      <c r="B1784">
        <v>1</v>
      </c>
      <c r="C1784">
        <v>1</v>
      </c>
    </row>
    <row r="1785" spans="1:3" x14ac:dyDescent="0.3">
      <c r="A1785">
        <v>1.06</v>
      </c>
      <c r="B1785">
        <v>1</v>
      </c>
      <c r="C1785">
        <v>1</v>
      </c>
    </row>
    <row r="1786" spans="1:3" x14ac:dyDescent="0.3">
      <c r="A1786">
        <v>1.07</v>
      </c>
      <c r="B1786">
        <v>1</v>
      </c>
      <c r="C1786">
        <v>1</v>
      </c>
    </row>
    <row r="1787" spans="1:3" x14ac:dyDescent="0.3">
      <c r="A1787">
        <v>1.0900000000000001</v>
      </c>
      <c r="B1787">
        <v>1</v>
      </c>
      <c r="C1787">
        <v>1</v>
      </c>
    </row>
    <row r="1788" spans="1:3" x14ac:dyDescent="0.3">
      <c r="A1788">
        <v>1.1000000000000001</v>
      </c>
      <c r="B1788">
        <v>1</v>
      </c>
      <c r="C1788">
        <v>1</v>
      </c>
    </row>
    <row r="1789" spans="1:3" x14ac:dyDescent="0.3">
      <c r="A1789">
        <v>1.1000000000000001</v>
      </c>
      <c r="B1789">
        <v>1</v>
      </c>
      <c r="C1789">
        <v>1</v>
      </c>
    </row>
    <row r="1790" spans="1:3" x14ac:dyDescent="0.3">
      <c r="A1790">
        <v>1.1000000000000001</v>
      </c>
      <c r="B1790">
        <v>1</v>
      </c>
      <c r="C1790">
        <v>1</v>
      </c>
    </row>
    <row r="1791" spans="1:3" x14ac:dyDescent="0.3">
      <c r="A1791">
        <v>1.1000000000000001</v>
      </c>
      <c r="B1791">
        <v>1</v>
      </c>
      <c r="C1791">
        <v>1</v>
      </c>
    </row>
    <row r="1792" spans="1:3" x14ac:dyDescent="0.3">
      <c r="A1792">
        <v>1.1000000000000001</v>
      </c>
      <c r="B1792">
        <v>1</v>
      </c>
      <c r="C1792">
        <v>1</v>
      </c>
    </row>
    <row r="1793" spans="1:3" x14ac:dyDescent="0.3">
      <c r="A1793">
        <v>1.1100000000000001</v>
      </c>
      <c r="B1793">
        <v>1</v>
      </c>
      <c r="C1793">
        <v>1</v>
      </c>
    </row>
    <row r="1794" spans="1:3" x14ac:dyDescent="0.3">
      <c r="A1794">
        <v>1.1100000000000001</v>
      </c>
      <c r="B1794">
        <v>1</v>
      </c>
      <c r="C1794">
        <v>1</v>
      </c>
    </row>
    <row r="1795" spans="1:3" x14ac:dyDescent="0.3">
      <c r="A1795">
        <v>1.1100000000000001</v>
      </c>
      <c r="B1795">
        <v>1</v>
      </c>
      <c r="C1795">
        <v>1</v>
      </c>
    </row>
    <row r="1796" spans="1:3" x14ac:dyDescent="0.3">
      <c r="A1796">
        <v>1.1100000000000001</v>
      </c>
      <c r="B1796">
        <v>1</v>
      </c>
      <c r="C1796">
        <v>1</v>
      </c>
    </row>
    <row r="1797" spans="1:3" x14ac:dyDescent="0.3">
      <c r="A1797">
        <v>1.1200000000000001</v>
      </c>
      <c r="B1797">
        <v>1</v>
      </c>
      <c r="C1797">
        <v>1</v>
      </c>
    </row>
    <row r="1798" spans="1:3" x14ac:dyDescent="0.3">
      <c r="A1798">
        <v>1.1200000000000001</v>
      </c>
      <c r="B1798">
        <v>1</v>
      </c>
      <c r="C1798">
        <v>1</v>
      </c>
    </row>
    <row r="1799" spans="1:3" x14ac:dyDescent="0.3">
      <c r="A1799">
        <v>1.1200000000000001</v>
      </c>
      <c r="B1799">
        <v>1</v>
      </c>
      <c r="C1799">
        <v>1</v>
      </c>
    </row>
    <row r="1800" spans="1:3" x14ac:dyDescent="0.3">
      <c r="A1800">
        <v>1.1399999999999999</v>
      </c>
      <c r="B1800">
        <v>1</v>
      </c>
      <c r="C1800">
        <v>1</v>
      </c>
    </row>
    <row r="1801" spans="1:3" x14ac:dyDescent="0.3">
      <c r="A1801">
        <v>1.1399999999999999</v>
      </c>
      <c r="B1801">
        <v>1</v>
      </c>
      <c r="C1801">
        <v>1</v>
      </c>
    </row>
    <row r="1802" spans="1:3" x14ac:dyDescent="0.3">
      <c r="A1802">
        <v>1.1399999999999999</v>
      </c>
      <c r="B1802">
        <v>1</v>
      </c>
      <c r="C1802">
        <v>1</v>
      </c>
    </row>
    <row r="1803" spans="1:3" x14ac:dyDescent="0.3">
      <c r="A1803">
        <v>1.1399999999999999</v>
      </c>
      <c r="B1803">
        <v>1</v>
      </c>
      <c r="C1803">
        <v>1</v>
      </c>
    </row>
    <row r="1804" spans="1:3" x14ac:dyDescent="0.3">
      <c r="A1804">
        <v>1.1499999999999999</v>
      </c>
      <c r="B1804">
        <v>1</v>
      </c>
      <c r="C1804">
        <v>1</v>
      </c>
    </row>
    <row r="1805" spans="1:3" x14ac:dyDescent="0.3">
      <c r="A1805">
        <v>1.1499999999999999</v>
      </c>
      <c r="B1805">
        <v>1</v>
      </c>
      <c r="C1805">
        <v>1</v>
      </c>
    </row>
    <row r="1806" spans="1:3" x14ac:dyDescent="0.3">
      <c r="A1806">
        <v>1.1599999999999999</v>
      </c>
      <c r="B1806">
        <v>1</v>
      </c>
      <c r="C1806">
        <v>1</v>
      </c>
    </row>
    <row r="1807" spans="1:3" x14ac:dyDescent="0.3">
      <c r="A1807">
        <v>1.18</v>
      </c>
      <c r="B1807">
        <v>1</v>
      </c>
      <c r="C1807">
        <v>1</v>
      </c>
    </row>
    <row r="1808" spans="1:3" x14ac:dyDescent="0.3">
      <c r="A1808">
        <v>1.19</v>
      </c>
      <c r="B1808">
        <v>1</v>
      </c>
      <c r="C1808">
        <v>1</v>
      </c>
    </row>
    <row r="1809" spans="1:3" x14ac:dyDescent="0.3">
      <c r="A1809">
        <v>1.19</v>
      </c>
      <c r="B1809">
        <v>1</v>
      </c>
      <c r="C1809">
        <v>1</v>
      </c>
    </row>
    <row r="1810" spans="1:3" x14ac:dyDescent="0.3">
      <c r="A1810">
        <v>1.2</v>
      </c>
      <c r="B1810">
        <v>1</v>
      </c>
      <c r="C1810">
        <v>1</v>
      </c>
    </row>
    <row r="1811" spans="1:3" x14ac:dyDescent="0.3">
      <c r="A1811">
        <v>1.2</v>
      </c>
      <c r="B1811">
        <v>1</v>
      </c>
      <c r="C1811">
        <v>1</v>
      </c>
    </row>
    <row r="1812" spans="1:3" x14ac:dyDescent="0.3">
      <c r="A1812">
        <v>1.2</v>
      </c>
      <c r="B1812">
        <v>1</v>
      </c>
      <c r="C1812">
        <v>1</v>
      </c>
    </row>
    <row r="1813" spans="1:3" x14ac:dyDescent="0.3">
      <c r="A1813">
        <v>1.21</v>
      </c>
      <c r="B1813">
        <v>1</v>
      </c>
      <c r="C1813">
        <v>1</v>
      </c>
    </row>
    <row r="1814" spans="1:3" x14ac:dyDescent="0.3">
      <c r="A1814">
        <v>1.22</v>
      </c>
      <c r="B1814">
        <v>1</v>
      </c>
      <c r="C1814">
        <v>1</v>
      </c>
    </row>
    <row r="1815" spans="1:3" x14ac:dyDescent="0.3">
      <c r="A1815">
        <v>1.24</v>
      </c>
      <c r="B1815">
        <v>1</v>
      </c>
      <c r="C1815">
        <v>1</v>
      </c>
    </row>
    <row r="1816" spans="1:3" x14ac:dyDescent="0.3">
      <c r="A1816">
        <v>1.25</v>
      </c>
      <c r="B1816">
        <v>1</v>
      </c>
      <c r="C1816">
        <v>1</v>
      </c>
    </row>
    <row r="1817" spans="1:3" x14ac:dyDescent="0.3">
      <c r="A1817">
        <v>1.25</v>
      </c>
      <c r="B1817">
        <v>1</v>
      </c>
      <c r="C1817">
        <v>1</v>
      </c>
    </row>
    <row r="1818" spans="1:3" x14ac:dyDescent="0.3">
      <c r="A1818">
        <v>1.27</v>
      </c>
      <c r="B1818">
        <v>1</v>
      </c>
      <c r="C1818">
        <v>1</v>
      </c>
    </row>
    <row r="1819" spans="1:3" x14ac:dyDescent="0.3">
      <c r="A1819">
        <v>1.29</v>
      </c>
      <c r="B1819">
        <v>1</v>
      </c>
      <c r="C1819">
        <v>1</v>
      </c>
    </row>
    <row r="1820" spans="1:3" x14ac:dyDescent="0.3">
      <c r="A1820">
        <v>1.31</v>
      </c>
      <c r="B1820">
        <v>1</v>
      </c>
      <c r="C1820">
        <v>1</v>
      </c>
    </row>
    <row r="1821" spans="1:3" x14ac:dyDescent="0.3">
      <c r="A1821">
        <v>1.32</v>
      </c>
      <c r="B1821">
        <v>1</v>
      </c>
      <c r="C1821">
        <v>1</v>
      </c>
    </row>
    <row r="1822" spans="1:3" x14ac:dyDescent="0.3">
      <c r="A1822">
        <v>1.32</v>
      </c>
      <c r="B1822">
        <v>1</v>
      </c>
      <c r="C1822">
        <v>1</v>
      </c>
    </row>
    <row r="1823" spans="1:3" x14ac:dyDescent="0.3">
      <c r="A1823">
        <v>1.33</v>
      </c>
      <c r="B1823">
        <v>1</v>
      </c>
      <c r="C1823">
        <v>1</v>
      </c>
    </row>
    <row r="1824" spans="1:3" x14ac:dyDescent="0.3">
      <c r="A1824">
        <v>1.33</v>
      </c>
      <c r="B1824">
        <v>1</v>
      </c>
      <c r="C1824">
        <v>1</v>
      </c>
    </row>
    <row r="1825" spans="1:3" x14ac:dyDescent="0.3">
      <c r="A1825">
        <v>1.33</v>
      </c>
      <c r="B1825">
        <v>1</v>
      </c>
      <c r="C1825">
        <v>1</v>
      </c>
    </row>
    <row r="1826" spans="1:3" x14ac:dyDescent="0.3">
      <c r="A1826">
        <v>1.34</v>
      </c>
      <c r="B1826">
        <v>1</v>
      </c>
      <c r="C1826">
        <v>1</v>
      </c>
    </row>
    <row r="1827" spans="1:3" x14ac:dyDescent="0.3">
      <c r="A1827">
        <v>1.36</v>
      </c>
      <c r="B1827">
        <v>1</v>
      </c>
      <c r="C1827">
        <v>1</v>
      </c>
    </row>
    <row r="1828" spans="1:3" x14ac:dyDescent="0.3">
      <c r="A1828">
        <v>1.36</v>
      </c>
      <c r="B1828">
        <v>1</v>
      </c>
      <c r="C1828">
        <v>1</v>
      </c>
    </row>
    <row r="1829" spans="1:3" x14ac:dyDescent="0.3">
      <c r="A1829">
        <v>1.36</v>
      </c>
      <c r="B1829">
        <v>1</v>
      </c>
      <c r="C1829">
        <v>1</v>
      </c>
    </row>
    <row r="1830" spans="1:3" x14ac:dyDescent="0.3">
      <c r="A1830">
        <v>1.36</v>
      </c>
      <c r="B1830">
        <v>1</v>
      </c>
      <c r="C1830">
        <v>1</v>
      </c>
    </row>
    <row r="1831" spans="1:3" x14ac:dyDescent="0.3">
      <c r="A1831">
        <v>1.38</v>
      </c>
      <c r="B1831">
        <v>1</v>
      </c>
      <c r="C1831">
        <v>1</v>
      </c>
    </row>
    <row r="1832" spans="1:3" x14ac:dyDescent="0.3">
      <c r="A1832">
        <v>1.39</v>
      </c>
      <c r="B1832">
        <v>1</v>
      </c>
      <c r="C1832">
        <v>1</v>
      </c>
    </row>
    <row r="1833" spans="1:3" x14ac:dyDescent="0.3">
      <c r="A1833">
        <v>1.39</v>
      </c>
      <c r="B1833">
        <v>1</v>
      </c>
      <c r="C1833">
        <v>1</v>
      </c>
    </row>
    <row r="1834" spans="1:3" x14ac:dyDescent="0.3">
      <c r="A1834">
        <v>1.39</v>
      </c>
      <c r="B1834">
        <v>1</v>
      </c>
      <c r="C1834">
        <v>1</v>
      </c>
    </row>
    <row r="1835" spans="1:3" x14ac:dyDescent="0.3">
      <c r="A1835">
        <v>1.4</v>
      </c>
      <c r="B1835">
        <v>1</v>
      </c>
      <c r="C1835">
        <v>1</v>
      </c>
    </row>
    <row r="1836" spans="1:3" x14ac:dyDescent="0.3">
      <c r="A1836">
        <v>1.4</v>
      </c>
      <c r="B1836">
        <v>1</v>
      </c>
      <c r="C1836">
        <v>1</v>
      </c>
    </row>
    <row r="1837" spans="1:3" x14ac:dyDescent="0.3">
      <c r="A1837">
        <v>1.4</v>
      </c>
      <c r="B1837">
        <v>1</v>
      </c>
      <c r="C1837">
        <v>1</v>
      </c>
    </row>
    <row r="1838" spans="1:3" x14ac:dyDescent="0.3">
      <c r="A1838">
        <v>1.42</v>
      </c>
      <c r="B1838">
        <v>1</v>
      </c>
      <c r="C1838">
        <v>1</v>
      </c>
    </row>
    <row r="1839" spans="1:3" x14ac:dyDescent="0.3">
      <c r="A1839">
        <v>1.42</v>
      </c>
      <c r="B1839">
        <v>1</v>
      </c>
      <c r="C1839">
        <v>1</v>
      </c>
    </row>
    <row r="1840" spans="1:3" x14ac:dyDescent="0.3">
      <c r="A1840">
        <v>1.45</v>
      </c>
      <c r="B1840">
        <v>1</v>
      </c>
      <c r="C1840">
        <v>1</v>
      </c>
    </row>
    <row r="1841" spans="1:3" x14ac:dyDescent="0.3">
      <c r="A1841">
        <v>1.45</v>
      </c>
      <c r="B1841">
        <v>1</v>
      </c>
      <c r="C1841">
        <v>1</v>
      </c>
    </row>
    <row r="1842" spans="1:3" x14ac:dyDescent="0.3">
      <c r="A1842">
        <v>1.47</v>
      </c>
      <c r="B1842">
        <v>1</v>
      </c>
      <c r="C1842">
        <v>1</v>
      </c>
    </row>
    <row r="1843" spans="1:3" x14ac:dyDescent="0.3">
      <c r="A1843">
        <v>1.48</v>
      </c>
      <c r="B1843">
        <v>1</v>
      </c>
      <c r="C1843">
        <v>1</v>
      </c>
    </row>
    <row r="1844" spans="1:3" x14ac:dyDescent="0.3">
      <c r="A1844">
        <v>1.49</v>
      </c>
      <c r="B1844">
        <v>1</v>
      </c>
      <c r="C1844">
        <v>1</v>
      </c>
    </row>
    <row r="1845" spans="1:3" x14ac:dyDescent="0.3">
      <c r="A1845">
        <v>1.49</v>
      </c>
      <c r="B1845">
        <v>1</v>
      </c>
      <c r="C1845">
        <v>1</v>
      </c>
    </row>
    <row r="1846" spans="1:3" x14ac:dyDescent="0.3">
      <c r="A1846">
        <v>1.53</v>
      </c>
      <c r="B1846">
        <v>1</v>
      </c>
      <c r="C1846">
        <v>1</v>
      </c>
    </row>
    <row r="1847" spans="1:3" x14ac:dyDescent="0.3">
      <c r="A1847">
        <v>1.53</v>
      </c>
      <c r="B1847">
        <v>1</v>
      </c>
      <c r="C1847">
        <v>1</v>
      </c>
    </row>
    <row r="1848" spans="1:3" x14ac:dyDescent="0.3">
      <c r="A1848">
        <v>1.53</v>
      </c>
      <c r="B1848">
        <v>1</v>
      </c>
      <c r="C1848">
        <v>1</v>
      </c>
    </row>
    <row r="1849" spans="1:3" x14ac:dyDescent="0.3">
      <c r="A1849">
        <v>1.54</v>
      </c>
      <c r="B1849">
        <v>1</v>
      </c>
      <c r="C1849">
        <v>1</v>
      </c>
    </row>
    <row r="1850" spans="1:3" x14ac:dyDescent="0.3">
      <c r="A1850">
        <v>1.56</v>
      </c>
      <c r="B1850">
        <v>1</v>
      </c>
      <c r="C1850">
        <v>1</v>
      </c>
    </row>
    <row r="1851" spans="1:3" x14ac:dyDescent="0.3">
      <c r="A1851">
        <v>1.56</v>
      </c>
      <c r="B1851">
        <v>1</v>
      </c>
      <c r="C1851">
        <v>1</v>
      </c>
    </row>
    <row r="1852" spans="1:3" x14ac:dyDescent="0.3">
      <c r="A1852">
        <v>1.57</v>
      </c>
      <c r="B1852">
        <v>1</v>
      </c>
      <c r="C1852">
        <v>1</v>
      </c>
    </row>
    <row r="1853" spans="1:3" x14ac:dyDescent="0.3">
      <c r="A1853">
        <v>1.58</v>
      </c>
      <c r="B1853">
        <v>1</v>
      </c>
      <c r="C1853">
        <v>1</v>
      </c>
    </row>
    <row r="1854" spans="1:3" x14ac:dyDescent="0.3">
      <c r="A1854">
        <v>1.6</v>
      </c>
      <c r="B1854">
        <v>1</v>
      </c>
      <c r="C1854">
        <v>1</v>
      </c>
    </row>
    <row r="1855" spans="1:3" x14ac:dyDescent="0.3">
      <c r="A1855">
        <v>1.6</v>
      </c>
      <c r="B1855">
        <v>1</v>
      </c>
      <c r="C1855">
        <v>1</v>
      </c>
    </row>
    <row r="1856" spans="1:3" x14ac:dyDescent="0.3">
      <c r="A1856">
        <v>1.61</v>
      </c>
      <c r="B1856">
        <v>1</v>
      </c>
      <c r="C1856">
        <v>1</v>
      </c>
    </row>
    <row r="1857" spans="1:3" x14ac:dyDescent="0.3">
      <c r="A1857">
        <v>1.61</v>
      </c>
      <c r="B1857">
        <v>1</v>
      </c>
      <c r="C1857">
        <v>1</v>
      </c>
    </row>
    <row r="1858" spans="1:3" x14ac:dyDescent="0.3">
      <c r="A1858">
        <v>1.62</v>
      </c>
      <c r="B1858">
        <v>1</v>
      </c>
      <c r="C1858">
        <v>1</v>
      </c>
    </row>
    <row r="1859" spans="1:3" x14ac:dyDescent="0.3">
      <c r="A1859">
        <v>1.63</v>
      </c>
      <c r="B1859">
        <v>1</v>
      </c>
      <c r="C1859">
        <v>1</v>
      </c>
    </row>
    <row r="1860" spans="1:3" x14ac:dyDescent="0.3">
      <c r="A1860">
        <v>1.64</v>
      </c>
      <c r="B1860">
        <v>1</v>
      </c>
      <c r="C1860">
        <v>1</v>
      </c>
    </row>
    <row r="1861" spans="1:3" x14ac:dyDescent="0.3">
      <c r="A1861">
        <v>1.64</v>
      </c>
      <c r="B1861">
        <v>1</v>
      </c>
      <c r="C1861">
        <v>1</v>
      </c>
    </row>
    <row r="1862" spans="1:3" x14ac:dyDescent="0.3">
      <c r="A1862">
        <v>1.64</v>
      </c>
      <c r="B1862">
        <v>1</v>
      </c>
      <c r="C1862">
        <v>1</v>
      </c>
    </row>
    <row r="1863" spans="1:3" x14ac:dyDescent="0.3">
      <c r="A1863">
        <v>1.65</v>
      </c>
      <c r="B1863">
        <v>1</v>
      </c>
      <c r="C1863">
        <v>1</v>
      </c>
    </row>
    <row r="1864" spans="1:3" x14ac:dyDescent="0.3">
      <c r="A1864">
        <v>1.67</v>
      </c>
      <c r="B1864">
        <v>1</v>
      </c>
      <c r="C1864">
        <v>1</v>
      </c>
    </row>
    <row r="1865" spans="1:3" x14ac:dyDescent="0.3">
      <c r="A1865">
        <v>1.67</v>
      </c>
      <c r="B1865">
        <v>1</v>
      </c>
      <c r="C1865">
        <v>1</v>
      </c>
    </row>
    <row r="1866" spans="1:3" x14ac:dyDescent="0.3">
      <c r="A1866">
        <v>1.7</v>
      </c>
      <c r="B1866">
        <v>1</v>
      </c>
      <c r="C1866">
        <v>1</v>
      </c>
    </row>
    <row r="1867" spans="1:3" x14ac:dyDescent="0.3">
      <c r="A1867">
        <v>1.7</v>
      </c>
      <c r="B1867">
        <v>1</v>
      </c>
      <c r="C1867">
        <v>1</v>
      </c>
    </row>
    <row r="1868" spans="1:3" x14ac:dyDescent="0.3">
      <c r="A1868">
        <v>1.73</v>
      </c>
      <c r="B1868">
        <v>1</v>
      </c>
      <c r="C1868">
        <v>1</v>
      </c>
    </row>
    <row r="1869" spans="1:3" x14ac:dyDescent="0.3">
      <c r="A1869">
        <v>1.74</v>
      </c>
      <c r="B1869">
        <v>1</v>
      </c>
      <c r="C1869">
        <v>1</v>
      </c>
    </row>
    <row r="1870" spans="1:3" x14ac:dyDescent="0.3">
      <c r="A1870">
        <v>1.77</v>
      </c>
      <c r="B1870">
        <v>1</v>
      </c>
      <c r="C1870">
        <v>1</v>
      </c>
    </row>
    <row r="1871" spans="1:3" x14ac:dyDescent="0.3">
      <c r="A1871">
        <v>1.79</v>
      </c>
      <c r="B1871">
        <v>1</v>
      </c>
      <c r="C1871">
        <v>1</v>
      </c>
    </row>
    <row r="1872" spans="1:3" x14ac:dyDescent="0.3">
      <c r="A1872">
        <v>1.83</v>
      </c>
      <c r="B1872">
        <v>1</v>
      </c>
      <c r="C1872">
        <v>1</v>
      </c>
    </row>
    <row r="1873" spans="1:3" x14ac:dyDescent="0.3">
      <c r="A1873">
        <v>1.83</v>
      </c>
      <c r="B1873">
        <v>1</v>
      </c>
      <c r="C1873">
        <v>1</v>
      </c>
    </row>
    <row r="1874" spans="1:3" x14ac:dyDescent="0.3">
      <c r="A1874">
        <v>1.83</v>
      </c>
      <c r="B1874">
        <v>1</v>
      </c>
      <c r="C1874">
        <v>1</v>
      </c>
    </row>
    <row r="1875" spans="1:3" x14ac:dyDescent="0.3">
      <c r="A1875">
        <v>1.85</v>
      </c>
      <c r="B1875">
        <v>1</v>
      </c>
      <c r="C1875">
        <v>1</v>
      </c>
    </row>
    <row r="1876" spans="1:3" x14ac:dyDescent="0.3">
      <c r="A1876">
        <v>1.86</v>
      </c>
      <c r="B1876">
        <v>1</v>
      </c>
      <c r="C1876">
        <v>1</v>
      </c>
    </row>
    <row r="1877" spans="1:3" x14ac:dyDescent="0.3">
      <c r="A1877">
        <v>1.88</v>
      </c>
      <c r="B1877">
        <v>1</v>
      </c>
      <c r="C1877">
        <v>1</v>
      </c>
    </row>
    <row r="1878" spans="1:3" x14ac:dyDescent="0.3">
      <c r="A1878">
        <v>1.88</v>
      </c>
      <c r="B1878">
        <v>1</v>
      </c>
      <c r="C1878">
        <v>1</v>
      </c>
    </row>
    <row r="1879" spans="1:3" x14ac:dyDescent="0.3">
      <c r="A1879">
        <v>1.89</v>
      </c>
      <c r="B1879">
        <v>1</v>
      </c>
      <c r="C1879">
        <v>1</v>
      </c>
    </row>
    <row r="1880" spans="1:3" x14ac:dyDescent="0.3">
      <c r="A1880">
        <v>1.89</v>
      </c>
      <c r="B1880">
        <v>1</v>
      </c>
      <c r="C1880">
        <v>1</v>
      </c>
    </row>
    <row r="1881" spans="1:3" x14ac:dyDescent="0.3">
      <c r="A1881">
        <v>1.89</v>
      </c>
      <c r="B1881">
        <v>1</v>
      </c>
      <c r="C1881">
        <v>1</v>
      </c>
    </row>
    <row r="1882" spans="1:3" x14ac:dyDescent="0.3">
      <c r="A1882">
        <v>1.92</v>
      </c>
      <c r="B1882">
        <v>1</v>
      </c>
      <c r="C1882">
        <v>1</v>
      </c>
    </row>
    <row r="1883" spans="1:3" x14ac:dyDescent="0.3">
      <c r="A1883">
        <v>1.94</v>
      </c>
      <c r="B1883">
        <v>1</v>
      </c>
      <c r="C1883">
        <v>1</v>
      </c>
    </row>
    <row r="1884" spans="1:3" x14ac:dyDescent="0.3">
      <c r="A1884">
        <v>2.04</v>
      </c>
      <c r="B1884">
        <v>1</v>
      </c>
      <c r="C1884">
        <v>1</v>
      </c>
    </row>
    <row r="1885" spans="1:3" x14ac:dyDescent="0.3">
      <c r="A1885">
        <v>2.0499999999999998</v>
      </c>
      <c r="B1885">
        <v>1</v>
      </c>
      <c r="C1885">
        <v>1</v>
      </c>
    </row>
    <row r="1886" spans="1:3" x14ac:dyDescent="0.3">
      <c r="A1886">
        <v>2.0499999999999998</v>
      </c>
      <c r="B1886">
        <v>1</v>
      </c>
      <c r="C1886">
        <v>1</v>
      </c>
    </row>
    <row r="1887" spans="1:3" x14ac:dyDescent="0.3">
      <c r="A1887">
        <v>2.08</v>
      </c>
      <c r="B1887">
        <v>1</v>
      </c>
      <c r="C1887">
        <v>1</v>
      </c>
    </row>
    <row r="1888" spans="1:3" x14ac:dyDescent="0.3">
      <c r="A1888">
        <v>2.11</v>
      </c>
      <c r="B1888">
        <v>1</v>
      </c>
      <c r="C1888">
        <v>1</v>
      </c>
    </row>
    <row r="1889" spans="1:3" x14ac:dyDescent="0.3">
      <c r="A1889">
        <v>2.12</v>
      </c>
      <c r="B1889">
        <v>1</v>
      </c>
      <c r="C1889">
        <v>1</v>
      </c>
    </row>
    <row r="1890" spans="1:3" x14ac:dyDescent="0.3">
      <c r="A1890">
        <v>2.12</v>
      </c>
      <c r="B1890">
        <v>1</v>
      </c>
      <c r="C1890">
        <v>1</v>
      </c>
    </row>
    <row r="1891" spans="1:3" x14ac:dyDescent="0.3">
      <c r="A1891">
        <v>2.13</v>
      </c>
      <c r="B1891">
        <v>1</v>
      </c>
      <c r="C1891">
        <v>1</v>
      </c>
    </row>
    <row r="1892" spans="1:3" x14ac:dyDescent="0.3">
      <c r="A1892">
        <v>2.13</v>
      </c>
      <c r="B1892">
        <v>1</v>
      </c>
      <c r="C1892">
        <v>1</v>
      </c>
    </row>
    <row r="1893" spans="1:3" x14ac:dyDescent="0.3">
      <c r="A1893">
        <v>2.17</v>
      </c>
      <c r="B1893">
        <v>1</v>
      </c>
      <c r="C1893">
        <v>1</v>
      </c>
    </row>
    <row r="1894" spans="1:3" x14ac:dyDescent="0.3">
      <c r="A1894">
        <v>2.17</v>
      </c>
      <c r="B1894">
        <v>1</v>
      </c>
      <c r="C1894">
        <v>1</v>
      </c>
    </row>
    <row r="1895" spans="1:3" x14ac:dyDescent="0.3">
      <c r="A1895">
        <v>2.2000000000000002</v>
      </c>
      <c r="B1895">
        <v>1</v>
      </c>
      <c r="C1895">
        <v>1</v>
      </c>
    </row>
    <row r="1896" spans="1:3" x14ac:dyDescent="0.3">
      <c r="A1896">
        <v>2.2400000000000002</v>
      </c>
      <c r="B1896">
        <v>1</v>
      </c>
      <c r="C1896">
        <v>1</v>
      </c>
    </row>
    <row r="1897" spans="1:3" x14ac:dyDescent="0.3">
      <c r="A1897">
        <v>2.2400000000000002</v>
      </c>
      <c r="B1897">
        <v>1</v>
      </c>
      <c r="C1897">
        <v>1</v>
      </c>
    </row>
    <row r="1898" spans="1:3" x14ac:dyDescent="0.3">
      <c r="A1898">
        <v>2.2599999999999998</v>
      </c>
      <c r="B1898">
        <v>1</v>
      </c>
      <c r="C1898">
        <v>1</v>
      </c>
    </row>
    <row r="1899" spans="1:3" x14ac:dyDescent="0.3">
      <c r="A1899">
        <v>2.2799999999999998</v>
      </c>
      <c r="B1899">
        <v>1</v>
      </c>
      <c r="C1899">
        <v>1</v>
      </c>
    </row>
    <row r="1900" spans="1:3" x14ac:dyDescent="0.3">
      <c r="A1900">
        <v>2.29</v>
      </c>
      <c r="B1900">
        <v>1</v>
      </c>
      <c r="C1900">
        <v>1</v>
      </c>
    </row>
    <row r="1901" spans="1:3" x14ac:dyDescent="0.3">
      <c r="A1901">
        <v>2.29</v>
      </c>
      <c r="B1901">
        <v>1</v>
      </c>
      <c r="C1901">
        <v>1</v>
      </c>
    </row>
    <row r="1902" spans="1:3" x14ac:dyDescent="0.3">
      <c r="A1902">
        <v>2.2999999999999998</v>
      </c>
      <c r="B1902">
        <v>1</v>
      </c>
      <c r="C1902">
        <v>1</v>
      </c>
    </row>
    <row r="1903" spans="1:3" x14ac:dyDescent="0.3">
      <c r="A1903">
        <v>2.31</v>
      </c>
      <c r="B1903">
        <v>1</v>
      </c>
      <c r="C1903">
        <v>1</v>
      </c>
    </row>
    <row r="1904" spans="1:3" x14ac:dyDescent="0.3">
      <c r="A1904">
        <v>2.36</v>
      </c>
      <c r="B1904">
        <v>1</v>
      </c>
      <c r="C1904">
        <v>1</v>
      </c>
    </row>
    <row r="1905" spans="1:3" x14ac:dyDescent="0.3">
      <c r="A1905">
        <v>2.36</v>
      </c>
      <c r="B1905">
        <v>1</v>
      </c>
      <c r="C1905">
        <v>1</v>
      </c>
    </row>
    <row r="1906" spans="1:3" x14ac:dyDescent="0.3">
      <c r="A1906">
        <v>2.37</v>
      </c>
      <c r="B1906">
        <v>1</v>
      </c>
      <c r="C1906">
        <v>1</v>
      </c>
    </row>
    <row r="1907" spans="1:3" x14ac:dyDescent="0.3">
      <c r="A1907">
        <v>2.37</v>
      </c>
      <c r="B1907">
        <v>1</v>
      </c>
      <c r="C1907">
        <v>1</v>
      </c>
    </row>
    <row r="1908" spans="1:3" x14ac:dyDescent="0.3">
      <c r="A1908">
        <v>2.4</v>
      </c>
      <c r="B1908">
        <v>1</v>
      </c>
      <c r="C1908">
        <v>1</v>
      </c>
    </row>
    <row r="1909" spans="1:3" x14ac:dyDescent="0.3">
      <c r="A1909">
        <v>2.44</v>
      </c>
      <c r="B1909">
        <v>1</v>
      </c>
      <c r="C1909">
        <v>1</v>
      </c>
    </row>
    <row r="1910" spans="1:3" x14ac:dyDescent="0.3">
      <c r="A1910">
        <v>2.4700000000000002</v>
      </c>
      <c r="B1910">
        <v>1</v>
      </c>
      <c r="C1910">
        <v>1</v>
      </c>
    </row>
    <row r="1911" spans="1:3" x14ac:dyDescent="0.3">
      <c r="A1911">
        <v>2.48</v>
      </c>
      <c r="B1911">
        <v>1</v>
      </c>
      <c r="C1911">
        <v>1</v>
      </c>
    </row>
    <row r="1912" spans="1:3" x14ac:dyDescent="0.3">
      <c r="A1912">
        <v>2.4900000000000002</v>
      </c>
      <c r="B1912">
        <v>1</v>
      </c>
      <c r="C1912">
        <v>1</v>
      </c>
    </row>
    <row r="1913" spans="1:3" x14ac:dyDescent="0.3">
      <c r="A1913">
        <v>2.54</v>
      </c>
      <c r="B1913">
        <v>1</v>
      </c>
      <c r="C1913">
        <v>1</v>
      </c>
    </row>
    <row r="1914" spans="1:3" x14ac:dyDescent="0.3">
      <c r="A1914">
        <v>2.54</v>
      </c>
      <c r="B1914">
        <v>1</v>
      </c>
      <c r="C1914">
        <v>1</v>
      </c>
    </row>
    <row r="1915" spans="1:3" x14ac:dyDescent="0.3">
      <c r="A1915">
        <v>2.56</v>
      </c>
      <c r="B1915">
        <v>1</v>
      </c>
      <c r="C1915">
        <v>1</v>
      </c>
    </row>
    <row r="1916" spans="1:3" x14ac:dyDescent="0.3">
      <c r="A1916">
        <v>2.57</v>
      </c>
      <c r="B1916">
        <v>1</v>
      </c>
      <c r="C1916">
        <v>1</v>
      </c>
    </row>
    <row r="1917" spans="1:3" x14ac:dyDescent="0.3">
      <c r="A1917">
        <v>2.57</v>
      </c>
      <c r="B1917">
        <v>1</v>
      </c>
      <c r="C1917">
        <v>1</v>
      </c>
    </row>
    <row r="1918" spans="1:3" x14ac:dyDescent="0.3">
      <c r="A1918">
        <v>2.62</v>
      </c>
      <c r="B1918">
        <v>1</v>
      </c>
      <c r="C1918">
        <v>1</v>
      </c>
    </row>
    <row r="1919" spans="1:3" x14ac:dyDescent="0.3">
      <c r="A1919">
        <v>2.65</v>
      </c>
      <c r="B1919">
        <v>1</v>
      </c>
      <c r="C1919">
        <v>1</v>
      </c>
    </row>
    <row r="1920" spans="1:3" x14ac:dyDescent="0.3">
      <c r="A1920">
        <v>2.65</v>
      </c>
      <c r="B1920">
        <v>1</v>
      </c>
      <c r="C1920">
        <v>1</v>
      </c>
    </row>
    <row r="1921" spans="1:3" x14ac:dyDescent="0.3">
      <c r="A1921">
        <v>2.69</v>
      </c>
      <c r="B1921">
        <v>1</v>
      </c>
      <c r="C1921">
        <v>1</v>
      </c>
    </row>
    <row r="1922" spans="1:3" x14ac:dyDescent="0.3">
      <c r="A1922">
        <v>2.71</v>
      </c>
      <c r="B1922">
        <v>1</v>
      </c>
      <c r="C1922">
        <v>1</v>
      </c>
    </row>
    <row r="1923" spans="1:3" x14ac:dyDescent="0.3">
      <c r="A1923">
        <v>2.73</v>
      </c>
      <c r="B1923">
        <v>1</v>
      </c>
      <c r="C1923">
        <v>1</v>
      </c>
    </row>
    <row r="1924" spans="1:3" x14ac:dyDescent="0.3">
      <c r="A1924">
        <v>2.81</v>
      </c>
      <c r="B1924">
        <v>1</v>
      </c>
      <c r="C1924">
        <v>1</v>
      </c>
    </row>
    <row r="1925" spans="1:3" x14ac:dyDescent="0.3">
      <c r="A1925">
        <v>2.81</v>
      </c>
      <c r="B1925">
        <v>1</v>
      </c>
      <c r="C1925">
        <v>1</v>
      </c>
    </row>
    <row r="1926" spans="1:3" x14ac:dyDescent="0.3">
      <c r="A1926">
        <v>2.87</v>
      </c>
      <c r="B1926">
        <v>1</v>
      </c>
      <c r="C1926">
        <v>1</v>
      </c>
    </row>
    <row r="1927" spans="1:3" x14ac:dyDescent="0.3">
      <c r="A1927">
        <v>2.9</v>
      </c>
      <c r="B1927">
        <v>1</v>
      </c>
      <c r="C1927">
        <v>1</v>
      </c>
    </row>
    <row r="1928" spans="1:3" x14ac:dyDescent="0.3">
      <c r="A1928">
        <v>3</v>
      </c>
      <c r="B1928">
        <v>1</v>
      </c>
      <c r="C1928">
        <v>1</v>
      </c>
    </row>
    <row r="1929" spans="1:3" x14ac:dyDescent="0.3">
      <c r="A1929">
        <v>3.04</v>
      </c>
      <c r="B1929">
        <v>1</v>
      </c>
      <c r="C1929">
        <v>1</v>
      </c>
    </row>
    <row r="1930" spans="1:3" x14ac:dyDescent="0.3">
      <c r="A1930">
        <v>3.09</v>
      </c>
      <c r="B1930">
        <v>1</v>
      </c>
      <c r="C1930">
        <v>1</v>
      </c>
    </row>
    <row r="1931" spans="1:3" x14ac:dyDescent="0.3">
      <c r="A1931">
        <v>3.24</v>
      </c>
      <c r="B1931">
        <v>1</v>
      </c>
      <c r="C1931">
        <v>1</v>
      </c>
    </row>
    <row r="1932" spans="1:3" x14ac:dyDescent="0.3">
      <c r="A1932">
        <v>3.27</v>
      </c>
      <c r="B1932">
        <v>1</v>
      </c>
      <c r="C1932">
        <v>1</v>
      </c>
    </row>
    <row r="1933" spans="1:3" x14ac:dyDescent="0.3">
      <c r="A1933">
        <v>3.28</v>
      </c>
      <c r="B1933">
        <v>1</v>
      </c>
      <c r="C1933">
        <v>1</v>
      </c>
    </row>
    <row r="1934" spans="1:3" x14ac:dyDescent="0.3">
      <c r="A1934">
        <v>3.29</v>
      </c>
      <c r="B1934">
        <v>1</v>
      </c>
      <c r="C1934">
        <v>1</v>
      </c>
    </row>
    <row r="1935" spans="1:3" x14ac:dyDescent="0.3">
      <c r="A1935">
        <v>3.29</v>
      </c>
      <c r="B1935">
        <v>1</v>
      </c>
      <c r="C1935">
        <v>1</v>
      </c>
    </row>
    <row r="1936" spans="1:3" x14ac:dyDescent="0.3">
      <c r="A1936">
        <v>3.4</v>
      </c>
      <c r="B1936">
        <v>1</v>
      </c>
      <c r="C1936">
        <v>1</v>
      </c>
    </row>
    <row r="1937" spans="1:3" x14ac:dyDescent="0.3">
      <c r="A1937">
        <v>3.4</v>
      </c>
      <c r="B1937">
        <v>1</v>
      </c>
      <c r="C1937">
        <v>1</v>
      </c>
    </row>
    <row r="1938" spans="1:3" x14ac:dyDescent="0.3">
      <c r="A1938">
        <v>3.47</v>
      </c>
      <c r="B1938">
        <v>1</v>
      </c>
      <c r="C1938">
        <v>1</v>
      </c>
    </row>
    <row r="1939" spans="1:3" x14ac:dyDescent="0.3">
      <c r="A1939">
        <v>3.49</v>
      </c>
      <c r="B1939">
        <v>1</v>
      </c>
      <c r="C1939">
        <v>1</v>
      </c>
    </row>
    <row r="1940" spans="1:3" x14ac:dyDescent="0.3">
      <c r="A1940">
        <v>3.54</v>
      </c>
      <c r="B1940">
        <v>1</v>
      </c>
      <c r="C1940">
        <v>1</v>
      </c>
    </row>
    <row r="1941" spans="1:3" x14ac:dyDescent="0.3">
      <c r="A1941">
        <v>3.59</v>
      </c>
      <c r="B1941">
        <v>1</v>
      </c>
      <c r="C1941">
        <v>1</v>
      </c>
    </row>
    <row r="1942" spans="1:3" x14ac:dyDescent="0.3">
      <c r="A1942">
        <v>3.61</v>
      </c>
      <c r="B1942">
        <v>1</v>
      </c>
      <c r="C1942">
        <v>1</v>
      </c>
    </row>
    <row r="1943" spans="1:3" x14ac:dyDescent="0.3">
      <c r="A1943">
        <v>3.64</v>
      </c>
      <c r="B1943">
        <v>1</v>
      </c>
      <c r="C1943">
        <v>1</v>
      </c>
    </row>
    <row r="1944" spans="1:3" x14ac:dyDescent="0.3">
      <c r="A1944">
        <v>3.73</v>
      </c>
      <c r="B1944">
        <v>1</v>
      </c>
      <c r="C1944">
        <v>1</v>
      </c>
    </row>
    <row r="1945" spans="1:3" x14ac:dyDescent="0.3">
      <c r="A1945">
        <v>3.81</v>
      </c>
      <c r="B1945">
        <v>1</v>
      </c>
      <c r="C1945">
        <v>1</v>
      </c>
    </row>
    <row r="1946" spans="1:3" x14ac:dyDescent="0.3">
      <c r="A1946">
        <v>3.82</v>
      </c>
      <c r="B1946">
        <v>1</v>
      </c>
      <c r="C1946">
        <v>1</v>
      </c>
    </row>
    <row r="1947" spans="1:3" x14ac:dyDescent="0.3">
      <c r="A1947">
        <v>3.88</v>
      </c>
      <c r="B1947">
        <v>1</v>
      </c>
      <c r="C1947">
        <v>1</v>
      </c>
    </row>
    <row r="1948" spans="1:3" x14ac:dyDescent="0.3">
      <c r="A1948">
        <v>3.96</v>
      </c>
      <c r="B1948">
        <v>1</v>
      </c>
      <c r="C1948">
        <v>1</v>
      </c>
    </row>
    <row r="1949" spans="1:3" x14ac:dyDescent="0.3">
      <c r="A1949">
        <v>3.98</v>
      </c>
      <c r="B1949">
        <v>1</v>
      </c>
      <c r="C1949">
        <v>1</v>
      </c>
    </row>
    <row r="1950" spans="1:3" x14ac:dyDescent="0.3">
      <c r="A1950">
        <v>4.04</v>
      </c>
      <c r="B1950">
        <v>1</v>
      </c>
      <c r="C1950">
        <v>1</v>
      </c>
    </row>
    <row r="1951" spans="1:3" x14ac:dyDescent="0.3">
      <c r="A1951">
        <v>4.1900000000000004</v>
      </c>
      <c r="B1951">
        <v>1</v>
      </c>
      <c r="C1951">
        <v>1</v>
      </c>
    </row>
    <row r="1952" spans="1:3" x14ac:dyDescent="0.3">
      <c r="A1952">
        <v>4.24</v>
      </c>
      <c r="B1952">
        <v>1</v>
      </c>
      <c r="C1952">
        <v>1</v>
      </c>
    </row>
    <row r="1953" spans="1:3" x14ac:dyDescent="0.3">
      <c r="A1953">
        <v>4.25</v>
      </c>
      <c r="B1953">
        <v>1</v>
      </c>
      <c r="C1953">
        <v>1</v>
      </c>
    </row>
    <row r="1954" spans="1:3" x14ac:dyDescent="0.3">
      <c r="A1954">
        <v>4.3499999999999996</v>
      </c>
      <c r="B1954">
        <v>1</v>
      </c>
      <c r="C1954">
        <v>1</v>
      </c>
    </row>
    <row r="1955" spans="1:3" x14ac:dyDescent="0.3">
      <c r="A1955">
        <v>4.3499999999999996</v>
      </c>
      <c r="B1955">
        <v>1</v>
      </c>
      <c r="C1955">
        <v>1</v>
      </c>
    </row>
    <row r="1956" spans="1:3" x14ac:dyDescent="0.3">
      <c r="A1956">
        <v>4.45</v>
      </c>
      <c r="B1956">
        <v>1</v>
      </c>
      <c r="C1956">
        <v>1</v>
      </c>
    </row>
    <row r="1957" spans="1:3" x14ac:dyDescent="0.3">
      <c r="A1957">
        <v>4.47</v>
      </c>
      <c r="B1957">
        <v>1</v>
      </c>
      <c r="C1957">
        <v>1</v>
      </c>
    </row>
    <row r="1958" spans="1:3" x14ac:dyDescent="0.3">
      <c r="A1958">
        <v>4.5199999999999996</v>
      </c>
      <c r="B1958">
        <v>1</v>
      </c>
      <c r="C1958">
        <v>1</v>
      </c>
    </row>
    <row r="1959" spans="1:3" x14ac:dyDescent="0.3">
      <c r="A1959">
        <v>4.7300000000000004</v>
      </c>
      <c r="B1959">
        <v>1</v>
      </c>
      <c r="C1959">
        <v>1</v>
      </c>
    </row>
    <row r="1960" spans="1:3" x14ac:dyDescent="0.3">
      <c r="A1960">
        <v>4.7300000000000004</v>
      </c>
      <c r="B1960">
        <v>1</v>
      </c>
      <c r="C1960">
        <v>1</v>
      </c>
    </row>
    <row r="1961" spans="1:3" x14ac:dyDescent="0.3">
      <c r="A1961">
        <v>4.82</v>
      </c>
      <c r="B1961">
        <v>1</v>
      </c>
      <c r="C1961">
        <v>1</v>
      </c>
    </row>
    <row r="1962" spans="1:3" x14ac:dyDescent="0.3">
      <c r="A1962">
        <v>4.83</v>
      </c>
      <c r="B1962">
        <v>1</v>
      </c>
      <c r="C1962">
        <v>1</v>
      </c>
    </row>
    <row r="1963" spans="1:3" x14ac:dyDescent="0.3">
      <c r="A1963">
        <v>4.9000000000000004</v>
      </c>
      <c r="B1963">
        <v>1</v>
      </c>
      <c r="C1963">
        <v>1</v>
      </c>
    </row>
    <row r="1964" spans="1:3" x14ac:dyDescent="0.3">
      <c r="A1964">
        <v>4.95</v>
      </c>
      <c r="B1964">
        <v>1</v>
      </c>
      <c r="C1964">
        <v>1</v>
      </c>
    </row>
    <row r="1965" spans="1:3" x14ac:dyDescent="0.3">
      <c r="A1965">
        <v>5.12</v>
      </c>
      <c r="B1965">
        <v>1</v>
      </c>
      <c r="C1965">
        <v>1</v>
      </c>
    </row>
    <row r="1966" spans="1:3" x14ac:dyDescent="0.3">
      <c r="A1966">
        <v>5.15</v>
      </c>
      <c r="B1966">
        <v>1</v>
      </c>
      <c r="C1966">
        <v>1</v>
      </c>
    </row>
    <row r="1967" spans="1:3" x14ac:dyDescent="0.3">
      <c r="A1967">
        <v>5.4</v>
      </c>
      <c r="B1967">
        <v>1</v>
      </c>
      <c r="C1967">
        <v>1</v>
      </c>
    </row>
    <row r="1968" spans="1:3" x14ac:dyDescent="0.3">
      <c r="A1968">
        <v>5.48</v>
      </c>
      <c r="B1968">
        <v>1</v>
      </c>
      <c r="C1968">
        <v>1</v>
      </c>
    </row>
    <row r="1969" spans="1:3" x14ac:dyDescent="0.3">
      <c r="A1969">
        <v>5.64</v>
      </c>
      <c r="B1969">
        <v>1</v>
      </c>
      <c r="C1969">
        <v>1</v>
      </c>
    </row>
    <row r="1970" spans="1:3" x14ac:dyDescent="0.3">
      <c r="A1970">
        <v>5.67</v>
      </c>
      <c r="B1970">
        <v>1</v>
      </c>
      <c r="C1970">
        <v>1</v>
      </c>
    </row>
    <row r="1971" spans="1:3" x14ac:dyDescent="0.3">
      <c r="A1971">
        <v>5.81</v>
      </c>
      <c r="B1971">
        <v>1</v>
      </c>
      <c r="C1971">
        <v>1</v>
      </c>
    </row>
    <row r="1972" spans="1:3" x14ac:dyDescent="0.3">
      <c r="A1972">
        <v>5.95</v>
      </c>
      <c r="B1972">
        <v>1</v>
      </c>
      <c r="C1972">
        <v>1</v>
      </c>
    </row>
    <row r="1973" spans="1:3" x14ac:dyDescent="0.3">
      <c r="A1973">
        <v>5.97</v>
      </c>
      <c r="B1973">
        <v>1</v>
      </c>
      <c r="C1973">
        <v>1</v>
      </c>
    </row>
    <row r="1974" spans="1:3" x14ac:dyDescent="0.3">
      <c r="A1974">
        <v>6.2</v>
      </c>
      <c r="B1974">
        <v>1</v>
      </c>
      <c r="C1974">
        <v>1</v>
      </c>
    </row>
    <row r="1975" spans="1:3" x14ac:dyDescent="0.3">
      <c r="A1975">
        <v>6.2</v>
      </c>
      <c r="B1975">
        <v>1</v>
      </c>
      <c r="C1975">
        <v>1</v>
      </c>
    </row>
    <row r="1976" spans="1:3" x14ac:dyDescent="0.3">
      <c r="A1976">
        <v>6.34</v>
      </c>
      <c r="B1976">
        <v>1</v>
      </c>
      <c r="C1976">
        <v>1</v>
      </c>
    </row>
    <row r="1977" spans="1:3" x14ac:dyDescent="0.3">
      <c r="A1977">
        <v>6.46</v>
      </c>
      <c r="B1977">
        <v>1</v>
      </c>
      <c r="C1977">
        <v>1</v>
      </c>
    </row>
    <row r="1978" spans="1:3" x14ac:dyDescent="0.3">
      <c r="A1978">
        <v>6.48</v>
      </c>
      <c r="B1978">
        <v>1</v>
      </c>
      <c r="C1978">
        <v>1</v>
      </c>
    </row>
    <row r="1979" spans="1:3" x14ac:dyDescent="0.3">
      <c r="A1979">
        <v>6.66</v>
      </c>
      <c r="B1979">
        <v>1</v>
      </c>
      <c r="C1979">
        <v>1</v>
      </c>
    </row>
    <row r="1980" spans="1:3" x14ac:dyDescent="0.3">
      <c r="A1980">
        <v>6.74</v>
      </c>
      <c r="B1980">
        <v>1</v>
      </c>
      <c r="C1980">
        <v>1</v>
      </c>
    </row>
    <row r="1981" spans="1:3" x14ac:dyDescent="0.3">
      <c r="A1981">
        <v>6.95</v>
      </c>
      <c r="B1981">
        <v>1</v>
      </c>
      <c r="C1981">
        <v>1</v>
      </c>
    </row>
    <row r="1982" spans="1:3" x14ac:dyDescent="0.3">
      <c r="A1982">
        <v>7.33</v>
      </c>
      <c r="B1982">
        <v>1</v>
      </c>
      <c r="C1982">
        <v>1</v>
      </c>
    </row>
    <row r="1983" spans="1:3" x14ac:dyDescent="0.3">
      <c r="A1983">
        <v>7.43</v>
      </c>
      <c r="B1983">
        <v>1</v>
      </c>
      <c r="C1983">
        <v>1</v>
      </c>
    </row>
    <row r="1984" spans="1:3" x14ac:dyDescent="0.3">
      <c r="A1984">
        <v>7.58</v>
      </c>
      <c r="B1984">
        <v>1</v>
      </c>
      <c r="C1984">
        <v>1</v>
      </c>
    </row>
    <row r="1985" spans="1:3" x14ac:dyDescent="0.3">
      <c r="A1985">
        <v>7.99</v>
      </c>
      <c r="B1985">
        <v>1</v>
      </c>
      <c r="C1985">
        <v>1</v>
      </c>
    </row>
    <row r="1986" spans="1:3" x14ac:dyDescent="0.3">
      <c r="A1986">
        <v>8.4</v>
      </c>
      <c r="B1986">
        <v>1</v>
      </c>
      <c r="C1986">
        <v>1</v>
      </c>
    </row>
    <row r="1987" spans="1:3" x14ac:dyDescent="0.3">
      <c r="A1987">
        <v>8.84</v>
      </c>
      <c r="B1987">
        <v>1</v>
      </c>
      <c r="C1987">
        <v>1</v>
      </c>
    </row>
    <row r="1988" spans="1:3" x14ac:dyDescent="0.3">
      <c r="A1988">
        <v>8.8800000000000008</v>
      </c>
      <c r="B1988">
        <v>1</v>
      </c>
      <c r="C1988">
        <v>1</v>
      </c>
    </row>
    <row r="1989" spans="1:3" x14ac:dyDescent="0.3">
      <c r="A1989">
        <v>9.0500000000000007</v>
      </c>
      <c r="B1989">
        <v>1</v>
      </c>
      <c r="C1989">
        <v>1</v>
      </c>
    </row>
    <row r="1990" spans="1:3" x14ac:dyDescent="0.3">
      <c r="A1990">
        <v>9.1999999999999993</v>
      </c>
      <c r="B1990">
        <v>1</v>
      </c>
      <c r="C1990">
        <v>1</v>
      </c>
    </row>
    <row r="1991" spans="1:3" x14ac:dyDescent="0.3">
      <c r="A1991">
        <v>10.09</v>
      </c>
      <c r="B1991">
        <v>1</v>
      </c>
      <c r="C1991">
        <v>1</v>
      </c>
    </row>
    <row r="1992" spans="1:3" x14ac:dyDescent="0.3">
      <c r="A1992">
        <v>10.27</v>
      </c>
      <c r="B1992">
        <v>1</v>
      </c>
      <c r="C1992">
        <v>1</v>
      </c>
    </row>
    <row r="1993" spans="1:3" x14ac:dyDescent="0.3">
      <c r="A1993">
        <v>10.81</v>
      </c>
      <c r="B1993">
        <v>1</v>
      </c>
      <c r="C1993">
        <v>1</v>
      </c>
    </row>
    <row r="1994" spans="1:3" x14ac:dyDescent="0.3">
      <c r="A1994">
        <v>15.59</v>
      </c>
      <c r="B1994">
        <v>1</v>
      </c>
      <c r="C1994">
        <v>1</v>
      </c>
    </row>
    <row r="1995" spans="1:3" x14ac:dyDescent="0.3">
      <c r="A1995">
        <v>17.850000000000001</v>
      </c>
      <c r="B1995">
        <v>1</v>
      </c>
      <c r="C1995">
        <v>1</v>
      </c>
    </row>
    <row r="1996" spans="1:3" x14ac:dyDescent="0.3">
      <c r="A1996">
        <v>20.96</v>
      </c>
      <c r="B1996">
        <v>1</v>
      </c>
      <c r="C1996">
        <v>1</v>
      </c>
    </row>
  </sheetData>
  <sortState xmlns:xlrd2="http://schemas.microsoft.com/office/spreadsheetml/2017/richdata2" ref="A2:A2001">
    <sortCondition ref="A1:A2001"/>
  </sortState>
  <mergeCells count="1">
    <mergeCell ref="AA23:AD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9AD6-BB5F-4D7F-A216-2EAAC043ECF6}">
  <dimension ref="A1:AL2001"/>
  <sheetViews>
    <sheetView zoomScale="90" zoomScaleNormal="90" workbookViewId="0">
      <selection activeCell="J12" sqref="J12"/>
    </sheetView>
  </sheetViews>
  <sheetFormatPr baseColWidth="10" defaultRowHeight="14.4" x14ac:dyDescent="0.3"/>
  <cols>
    <col min="5" max="5" width="16" bestFit="1" customWidth="1"/>
    <col min="6" max="6" width="13.77734375" bestFit="1" customWidth="1"/>
    <col min="7" max="7" width="11.21875" customWidth="1"/>
    <col min="8" max="8" width="4.6640625" hidden="1" customWidth="1"/>
    <col min="9" max="9" width="19.44140625" customWidth="1"/>
    <col min="10" max="10" width="21" customWidth="1"/>
    <col min="18" max="18" width="23" customWidth="1"/>
    <col min="19" max="19" width="13.109375" customWidth="1"/>
    <col min="20" max="20" width="12.44140625" customWidth="1"/>
    <col min="21" max="21" width="12.33203125" customWidth="1"/>
    <col min="22" max="22" width="12.109375" customWidth="1"/>
    <col min="23" max="23" width="13.109375" customWidth="1"/>
    <col min="24" max="24" width="12.44140625" customWidth="1"/>
    <col min="25" max="25" width="15.77734375" customWidth="1"/>
    <col min="26" max="26" width="16.109375" customWidth="1"/>
    <col min="27" max="27" width="15.109375" customWidth="1"/>
    <col min="36" max="36" width="17" customWidth="1"/>
    <col min="37" max="37" width="13.77734375" customWidth="1"/>
  </cols>
  <sheetData>
    <row r="1" spans="1:38" ht="21" customHeight="1" x14ac:dyDescent="0.3">
      <c r="A1" t="s">
        <v>8</v>
      </c>
      <c r="B1" t="s">
        <v>4779</v>
      </c>
      <c r="E1" s="2" t="s">
        <v>4707</v>
      </c>
      <c r="F1" t="s">
        <v>4780</v>
      </c>
      <c r="U1" s="26" t="s">
        <v>4755</v>
      </c>
      <c r="V1" s="34" t="s">
        <v>4754</v>
      </c>
      <c r="W1" s="11"/>
      <c r="Y1" s="36" t="s">
        <v>4760</v>
      </c>
      <c r="Z1" s="36" t="s">
        <v>4761</v>
      </c>
      <c r="AA1" s="36" t="s">
        <v>4763</v>
      </c>
      <c r="AF1" s="17" t="s">
        <v>4813</v>
      </c>
    </row>
    <row r="2" spans="1:38" ht="22.2" customHeight="1" x14ac:dyDescent="0.3">
      <c r="A2">
        <v>328.54</v>
      </c>
      <c r="B2">
        <v>1</v>
      </c>
      <c r="E2" s="3">
        <v>0.02</v>
      </c>
      <c r="F2">
        <v>2</v>
      </c>
      <c r="H2" s="32" t="s">
        <v>4781</v>
      </c>
      <c r="I2" s="33">
        <v>328.54</v>
      </c>
      <c r="L2" s="20" t="s">
        <v>4819</v>
      </c>
      <c r="M2" s="20" t="s">
        <v>4785</v>
      </c>
      <c r="N2" s="20" t="s">
        <v>4786</v>
      </c>
      <c r="O2" s="20" t="s">
        <v>4789</v>
      </c>
      <c r="P2" s="20" t="s">
        <v>4712</v>
      </c>
      <c r="Q2" s="20" t="s">
        <v>4713</v>
      </c>
      <c r="R2" s="20" t="s">
        <v>4719</v>
      </c>
      <c r="S2" s="20" t="s">
        <v>4715</v>
      </c>
      <c r="T2" s="20" t="s">
        <v>4716</v>
      </c>
      <c r="U2" s="20" t="s">
        <v>4757</v>
      </c>
      <c r="V2" s="20" t="s">
        <v>4753</v>
      </c>
      <c r="W2" s="20" t="s">
        <v>4756</v>
      </c>
      <c r="X2" s="20" t="s">
        <v>4758</v>
      </c>
      <c r="Y2" s="20" t="s">
        <v>4759</v>
      </c>
      <c r="Z2" s="20" t="s">
        <v>4762</v>
      </c>
      <c r="AA2" s="20" t="s">
        <v>4764</v>
      </c>
      <c r="AF2" s="38" t="s">
        <v>4711</v>
      </c>
      <c r="AG2" s="38" t="s">
        <v>4712</v>
      </c>
      <c r="AH2" s="38" t="s">
        <v>4716</v>
      </c>
      <c r="AI2" s="38" t="s">
        <v>4771</v>
      </c>
      <c r="AJ2" s="38" t="s">
        <v>4814</v>
      </c>
      <c r="AK2" s="38" t="s">
        <v>4773</v>
      </c>
      <c r="AL2" s="38" t="s">
        <v>4815</v>
      </c>
    </row>
    <row r="3" spans="1:38" x14ac:dyDescent="0.3">
      <c r="A3">
        <v>287.02</v>
      </c>
      <c r="B3">
        <v>1</v>
      </c>
      <c r="E3" s="3">
        <v>0.03</v>
      </c>
      <c r="F3">
        <v>1</v>
      </c>
      <c r="H3" s="32" t="s">
        <v>4782</v>
      </c>
      <c r="I3" s="33">
        <v>0.02</v>
      </c>
      <c r="L3" s="40">
        <v>1</v>
      </c>
      <c r="M3" s="23">
        <v>0.02</v>
      </c>
      <c r="N3" s="23">
        <f>M3+12.9</f>
        <v>12.92</v>
      </c>
      <c r="O3" s="23">
        <f>AVERAGE(M3:N3)</f>
        <v>6.47</v>
      </c>
      <c r="P3" s="23">
        <v>1600</v>
      </c>
      <c r="Q3" s="23">
        <f>P3/2000</f>
        <v>0.8</v>
      </c>
      <c r="R3" s="41">
        <f>Q3*100</f>
        <v>80</v>
      </c>
      <c r="S3" s="23">
        <f>P3</f>
        <v>1600</v>
      </c>
      <c r="T3" s="23">
        <f>Q3</f>
        <v>0.8</v>
      </c>
      <c r="U3" s="23">
        <f>O3*Q3</f>
        <v>5.1760000000000002</v>
      </c>
      <c r="V3" s="23">
        <f>O3^2</f>
        <v>41.860899999999994</v>
      </c>
      <c r="W3" s="23">
        <f>V3*Q3</f>
        <v>33.488719999999994</v>
      </c>
      <c r="X3" s="23">
        <f>U3^2</f>
        <v>26.790976000000001</v>
      </c>
      <c r="Y3" s="23">
        <f>W3-X3</f>
        <v>6.697743999999993</v>
      </c>
      <c r="Z3" s="23">
        <f>ABS(O3-U3)</f>
        <v>1.2939999999999996</v>
      </c>
      <c r="AA3" s="23">
        <f>Z3*P3</f>
        <v>2070.3999999999992</v>
      </c>
      <c r="AF3" s="11">
        <f>O3</f>
        <v>6.47</v>
      </c>
      <c r="AG3" s="22">
        <f>P3</f>
        <v>1600</v>
      </c>
      <c r="AH3" s="22">
        <f>T3</f>
        <v>0.8</v>
      </c>
      <c r="AI3" s="22">
        <f>AF3*AG3</f>
        <v>10352</v>
      </c>
      <c r="AJ3" s="22">
        <f>AI3</f>
        <v>10352</v>
      </c>
      <c r="AK3" s="22">
        <f>AJ3/AJ$28</f>
        <v>0.38048472106853287</v>
      </c>
      <c r="AL3" s="22">
        <f>AH3-AK3</f>
        <v>0.41951527893146717</v>
      </c>
    </row>
    <row r="4" spans="1:38" x14ac:dyDescent="0.3">
      <c r="A4">
        <v>285.27</v>
      </c>
      <c r="B4">
        <v>1</v>
      </c>
      <c r="E4" s="3">
        <v>0.05</v>
      </c>
      <c r="F4">
        <v>1</v>
      </c>
      <c r="H4" s="32" t="s">
        <v>4783</v>
      </c>
      <c r="I4" s="33">
        <f>I2-I3</f>
        <v>328.52000000000004</v>
      </c>
      <c r="L4" s="40">
        <v>2</v>
      </c>
      <c r="M4" s="23">
        <f t="shared" ref="M4:M28" si="0">N3</f>
        <v>12.92</v>
      </c>
      <c r="N4" s="23">
        <f>M4+12.9</f>
        <v>25.82</v>
      </c>
      <c r="O4" s="23">
        <f t="shared" ref="O4:O28" si="1">AVERAGE(M4:N4)</f>
        <v>19.37</v>
      </c>
      <c r="P4" s="23">
        <v>211</v>
      </c>
      <c r="Q4" s="23">
        <f t="shared" ref="Q4:Q28" si="2">P4/2000</f>
        <v>0.1055</v>
      </c>
      <c r="R4" s="41">
        <f t="shared" ref="R4:R28" si="3">Q4*100</f>
        <v>10.549999999999999</v>
      </c>
      <c r="S4" s="23">
        <f>P3+P4</f>
        <v>1811</v>
      </c>
      <c r="T4" s="23">
        <f>T3+Q4</f>
        <v>0.90550000000000008</v>
      </c>
      <c r="U4" s="23">
        <f t="shared" ref="U4:U28" si="4">O4*Q4</f>
        <v>2.0435349999999999</v>
      </c>
      <c r="V4" s="23">
        <f t="shared" ref="V4:V28" si="5">O4^2</f>
        <v>375.19690000000003</v>
      </c>
      <c r="W4" s="23">
        <f t="shared" ref="W4:W28" si="6">V4*Q4</f>
        <v>39.583272950000001</v>
      </c>
      <c r="X4" s="23">
        <f t="shared" ref="X4:X28" si="7">U4^2</f>
        <v>4.1760352962249998</v>
      </c>
      <c r="Y4" s="23">
        <f t="shared" ref="Y4:Y28" si="8">W4-X4</f>
        <v>35.407237653774999</v>
      </c>
      <c r="Z4" s="23">
        <f t="shared" ref="Z4:Z28" si="9">ABS(O4-U4)</f>
        <v>17.326465000000002</v>
      </c>
      <c r="AA4" s="23">
        <f t="shared" ref="AA4:AA28" si="10">Z4*P4</f>
        <v>3655.8841150000003</v>
      </c>
      <c r="AF4" s="11">
        <f t="shared" ref="AF4:AF28" si="11">O4</f>
        <v>19.37</v>
      </c>
      <c r="AG4" s="22">
        <f t="shared" ref="AG4:AG28" si="12">P4</f>
        <v>211</v>
      </c>
      <c r="AH4" s="22">
        <f t="shared" ref="AH4:AH28" si="13">T4</f>
        <v>0.90550000000000008</v>
      </c>
      <c r="AI4" s="22">
        <f t="shared" ref="AI4:AI28" si="14">AF4*AG4</f>
        <v>4087.07</v>
      </c>
      <c r="AJ4" s="22">
        <f>AI4+AJ3</f>
        <v>14439.07</v>
      </c>
      <c r="AK4" s="22">
        <f t="shared" ref="AK4:AK28" si="15">AJ4/AJ$28</f>
        <v>0.5307037791189162</v>
      </c>
      <c r="AL4" s="22">
        <f t="shared" ref="AL4:AL28" si="16">AH4-AK4</f>
        <v>0.37479622088108389</v>
      </c>
    </row>
    <row r="5" spans="1:38" x14ac:dyDescent="0.3">
      <c r="A5">
        <v>277.02</v>
      </c>
      <c r="B5">
        <v>1</v>
      </c>
      <c r="E5" s="3">
        <v>0.06</v>
      </c>
      <c r="F5">
        <v>1</v>
      </c>
      <c r="H5" s="32" t="s">
        <v>4784</v>
      </c>
      <c r="I5" s="33">
        <f>1+3.22*LN(2000)</f>
        <v>25.474905919725508</v>
      </c>
      <c r="L5" s="40">
        <v>3</v>
      </c>
      <c r="M5" s="23">
        <f t="shared" si="0"/>
        <v>25.82</v>
      </c>
      <c r="N5" s="23">
        <f>M5+12.9</f>
        <v>38.72</v>
      </c>
      <c r="O5" s="23">
        <f t="shared" si="1"/>
        <v>32.269999999999996</v>
      </c>
      <c r="P5" s="23">
        <v>67</v>
      </c>
      <c r="Q5" s="23">
        <f t="shared" si="2"/>
        <v>3.3500000000000002E-2</v>
      </c>
      <c r="R5" s="41">
        <f t="shared" si="3"/>
        <v>3.35</v>
      </c>
      <c r="S5" s="23">
        <f t="shared" ref="S5:S14" si="17">S4+P5</f>
        <v>1878</v>
      </c>
      <c r="T5" s="23">
        <f t="shared" ref="T5:T28" si="18">T4+Q5</f>
        <v>0.93900000000000006</v>
      </c>
      <c r="U5" s="23">
        <f t="shared" si="4"/>
        <v>1.081045</v>
      </c>
      <c r="V5" s="23">
        <f t="shared" si="5"/>
        <v>1041.3528999999996</v>
      </c>
      <c r="W5" s="23">
        <f t="shared" si="6"/>
        <v>34.885322149999993</v>
      </c>
      <c r="X5" s="23">
        <f t="shared" si="7"/>
        <v>1.1686582920250002</v>
      </c>
      <c r="Y5" s="23">
        <f t="shared" si="8"/>
        <v>33.716663857974993</v>
      </c>
      <c r="Z5" s="23">
        <f t="shared" si="9"/>
        <v>31.188954999999996</v>
      </c>
      <c r="AA5" s="23">
        <f t="shared" si="10"/>
        <v>2089.6599849999998</v>
      </c>
      <c r="AF5" s="11">
        <f t="shared" si="11"/>
        <v>32.269999999999996</v>
      </c>
      <c r="AG5" s="22">
        <f t="shared" si="12"/>
        <v>67</v>
      </c>
      <c r="AH5" s="22">
        <f t="shared" si="13"/>
        <v>0.93900000000000006</v>
      </c>
      <c r="AI5" s="22">
        <f t="shared" si="14"/>
        <v>2162.0899999999997</v>
      </c>
      <c r="AJ5" s="22">
        <f t="shared" ref="AJ5:AJ28" si="19">AI5+AJ4</f>
        <v>16601.16</v>
      </c>
      <c r="AK5" s="22">
        <f t="shared" si="15"/>
        <v>0.610170762366121</v>
      </c>
      <c r="AL5" s="22">
        <f t="shared" si="16"/>
        <v>0.32882923763387906</v>
      </c>
    </row>
    <row r="6" spans="1:38" x14ac:dyDescent="0.3">
      <c r="A6">
        <v>255.3</v>
      </c>
      <c r="B6">
        <v>1</v>
      </c>
      <c r="E6" s="3">
        <v>0.1</v>
      </c>
      <c r="F6">
        <v>2</v>
      </c>
      <c r="H6" s="32" t="s">
        <v>4703</v>
      </c>
      <c r="I6" s="33">
        <f>I4/I5</f>
        <v>12.89582780149242</v>
      </c>
      <c r="J6" t="s">
        <v>4788</v>
      </c>
      <c r="L6" s="40">
        <v>4</v>
      </c>
      <c r="M6" s="23">
        <f t="shared" si="0"/>
        <v>38.72</v>
      </c>
      <c r="N6" s="23">
        <f t="shared" ref="N6:N28" si="20">M6+12.9</f>
        <v>51.62</v>
      </c>
      <c r="O6" s="23">
        <f t="shared" si="1"/>
        <v>45.17</v>
      </c>
      <c r="P6" s="23">
        <v>38</v>
      </c>
      <c r="Q6" s="23">
        <f t="shared" si="2"/>
        <v>1.9E-2</v>
      </c>
      <c r="R6" s="41">
        <f t="shared" si="3"/>
        <v>1.9</v>
      </c>
      <c r="S6" s="23">
        <f t="shared" si="17"/>
        <v>1916</v>
      </c>
      <c r="T6" s="23">
        <f t="shared" si="18"/>
        <v>0.95800000000000007</v>
      </c>
      <c r="U6" s="23">
        <f t="shared" si="4"/>
        <v>0.85823000000000005</v>
      </c>
      <c r="V6" s="23">
        <f t="shared" si="5"/>
        <v>2040.3289000000002</v>
      </c>
      <c r="W6" s="23">
        <f t="shared" si="6"/>
        <v>38.766249100000003</v>
      </c>
      <c r="X6" s="23">
        <f t="shared" si="7"/>
        <v>0.73655873290000007</v>
      </c>
      <c r="Y6" s="23">
        <f t="shared" si="8"/>
        <v>38.029690367100002</v>
      </c>
      <c r="Z6" s="23">
        <f t="shared" si="9"/>
        <v>44.311770000000003</v>
      </c>
      <c r="AA6" s="23">
        <f t="shared" si="10"/>
        <v>1683.84726</v>
      </c>
      <c r="AF6" s="11">
        <f t="shared" si="11"/>
        <v>45.17</v>
      </c>
      <c r="AG6" s="22">
        <f t="shared" si="12"/>
        <v>38</v>
      </c>
      <c r="AH6" s="22">
        <f t="shared" si="13"/>
        <v>0.95800000000000007</v>
      </c>
      <c r="AI6" s="22">
        <f t="shared" si="14"/>
        <v>1716.46</v>
      </c>
      <c r="AJ6" s="22">
        <f t="shared" si="19"/>
        <v>18317.62</v>
      </c>
      <c r="AK6" s="22">
        <f t="shared" si="15"/>
        <v>0.67325874578239742</v>
      </c>
      <c r="AL6" s="22">
        <f t="shared" si="16"/>
        <v>0.28474125421760266</v>
      </c>
    </row>
    <row r="7" spans="1:38" x14ac:dyDescent="0.3">
      <c r="A7">
        <v>243.74</v>
      </c>
      <c r="B7">
        <v>1</v>
      </c>
      <c r="E7" s="3">
        <v>0.12</v>
      </c>
      <c r="F7">
        <v>1</v>
      </c>
      <c r="H7" s="32" t="s">
        <v>4722</v>
      </c>
      <c r="I7" s="33">
        <v>2000</v>
      </c>
      <c r="L7" s="40">
        <v>5</v>
      </c>
      <c r="M7" s="23">
        <f t="shared" si="0"/>
        <v>51.62</v>
      </c>
      <c r="N7" s="23">
        <f t="shared" si="20"/>
        <v>64.52</v>
      </c>
      <c r="O7" s="23">
        <f t="shared" si="1"/>
        <v>58.069999999999993</v>
      </c>
      <c r="P7" s="23">
        <v>24</v>
      </c>
      <c r="Q7" s="23">
        <f t="shared" si="2"/>
        <v>1.2E-2</v>
      </c>
      <c r="R7" s="41">
        <f t="shared" si="3"/>
        <v>1.2</v>
      </c>
      <c r="S7" s="23">
        <f t="shared" si="17"/>
        <v>1940</v>
      </c>
      <c r="T7" s="23">
        <f t="shared" si="18"/>
        <v>0.97000000000000008</v>
      </c>
      <c r="U7" s="23">
        <f t="shared" si="4"/>
        <v>0.6968399999999999</v>
      </c>
      <c r="V7" s="23">
        <f t="shared" si="5"/>
        <v>3372.1248999999993</v>
      </c>
      <c r="W7" s="23">
        <f t="shared" si="6"/>
        <v>40.465498799999992</v>
      </c>
      <c r="X7" s="23">
        <f t="shared" si="7"/>
        <v>0.48558598559999988</v>
      </c>
      <c r="Y7" s="23">
        <f t="shared" si="8"/>
        <v>39.979912814399995</v>
      </c>
      <c r="Z7" s="23">
        <f t="shared" si="9"/>
        <v>57.373159999999991</v>
      </c>
      <c r="AA7" s="23">
        <f t="shared" si="10"/>
        <v>1376.9558399999999</v>
      </c>
      <c r="AF7" s="11">
        <f t="shared" si="11"/>
        <v>58.069999999999993</v>
      </c>
      <c r="AG7" s="22">
        <f t="shared" si="12"/>
        <v>24</v>
      </c>
      <c r="AH7" s="22">
        <f t="shared" si="13"/>
        <v>0.97000000000000008</v>
      </c>
      <c r="AI7" s="22">
        <f t="shared" si="14"/>
        <v>1393.6799999999998</v>
      </c>
      <c r="AJ7" s="22">
        <f t="shared" si="19"/>
        <v>19711.3</v>
      </c>
      <c r="AK7" s="22">
        <f t="shared" si="15"/>
        <v>0.72448304505391914</v>
      </c>
      <c r="AL7" s="22">
        <f t="shared" si="16"/>
        <v>0.24551695494608095</v>
      </c>
    </row>
    <row r="8" spans="1:38" x14ac:dyDescent="0.3">
      <c r="A8">
        <v>196.87</v>
      </c>
      <c r="B8">
        <v>1</v>
      </c>
      <c r="E8" s="3">
        <v>0.13</v>
      </c>
      <c r="F8">
        <v>1</v>
      </c>
      <c r="L8" s="40">
        <v>6</v>
      </c>
      <c r="M8" s="23">
        <f t="shared" si="0"/>
        <v>64.52</v>
      </c>
      <c r="N8" s="23">
        <f t="shared" si="20"/>
        <v>77.42</v>
      </c>
      <c r="O8" s="23">
        <f t="shared" si="1"/>
        <v>70.97</v>
      </c>
      <c r="P8" s="23">
        <v>14</v>
      </c>
      <c r="Q8" s="23">
        <f t="shared" si="2"/>
        <v>7.0000000000000001E-3</v>
      </c>
      <c r="R8" s="41">
        <f t="shared" si="3"/>
        <v>0.70000000000000007</v>
      </c>
      <c r="S8" s="23">
        <f t="shared" si="17"/>
        <v>1954</v>
      </c>
      <c r="T8" s="23">
        <f t="shared" si="18"/>
        <v>0.97700000000000009</v>
      </c>
      <c r="U8" s="23">
        <f t="shared" si="4"/>
        <v>0.49679000000000001</v>
      </c>
      <c r="V8" s="23">
        <f t="shared" si="5"/>
        <v>5036.7408999999998</v>
      </c>
      <c r="W8" s="23">
        <f t="shared" si="6"/>
        <v>35.257186300000001</v>
      </c>
      <c r="X8" s="23">
        <f t="shared" si="7"/>
        <v>0.24680030410000001</v>
      </c>
      <c r="Y8" s="23">
        <f t="shared" si="8"/>
        <v>35.010385995900002</v>
      </c>
      <c r="Z8" s="23">
        <f t="shared" si="9"/>
        <v>70.473209999999995</v>
      </c>
      <c r="AA8" s="23">
        <f t="shared" si="10"/>
        <v>986.62493999999992</v>
      </c>
      <c r="AF8" s="11">
        <f t="shared" si="11"/>
        <v>70.97</v>
      </c>
      <c r="AG8" s="22">
        <f t="shared" si="12"/>
        <v>14</v>
      </c>
      <c r="AH8" s="22">
        <f t="shared" si="13"/>
        <v>0.97700000000000009</v>
      </c>
      <c r="AI8" s="22">
        <f t="shared" si="14"/>
        <v>993.57999999999993</v>
      </c>
      <c r="AJ8" s="22">
        <f t="shared" si="19"/>
        <v>20704.879999999997</v>
      </c>
      <c r="AK8" s="22">
        <f t="shared" si="15"/>
        <v>0.76100178627873294</v>
      </c>
      <c r="AL8" s="22">
        <f t="shared" si="16"/>
        <v>0.21599821372126715</v>
      </c>
    </row>
    <row r="9" spans="1:38" x14ac:dyDescent="0.3">
      <c r="A9">
        <v>194.87</v>
      </c>
      <c r="B9">
        <v>1</v>
      </c>
      <c r="E9" s="3">
        <v>0.14000000000000001</v>
      </c>
      <c r="F9">
        <v>1</v>
      </c>
      <c r="L9" s="40">
        <v>7</v>
      </c>
      <c r="M9" s="23">
        <f t="shared" si="0"/>
        <v>77.42</v>
      </c>
      <c r="N9" s="23">
        <f t="shared" si="20"/>
        <v>90.320000000000007</v>
      </c>
      <c r="O9" s="23">
        <f t="shared" si="1"/>
        <v>83.87</v>
      </c>
      <c r="P9" s="23">
        <v>14</v>
      </c>
      <c r="Q9" s="23">
        <f t="shared" si="2"/>
        <v>7.0000000000000001E-3</v>
      </c>
      <c r="R9" s="41">
        <f t="shared" si="3"/>
        <v>0.70000000000000007</v>
      </c>
      <c r="S9" s="23">
        <f t="shared" si="17"/>
        <v>1968</v>
      </c>
      <c r="T9" s="23">
        <f t="shared" si="18"/>
        <v>0.9840000000000001</v>
      </c>
      <c r="U9" s="23">
        <f t="shared" si="4"/>
        <v>0.58709</v>
      </c>
      <c r="V9" s="23">
        <f t="shared" si="5"/>
        <v>7034.1769000000004</v>
      </c>
      <c r="W9" s="23">
        <f t="shared" si="6"/>
        <v>49.239238300000004</v>
      </c>
      <c r="X9" s="23">
        <f t="shared" si="7"/>
        <v>0.34467466810000003</v>
      </c>
      <c r="Y9" s="23">
        <f t="shared" si="8"/>
        <v>48.894563631900006</v>
      </c>
      <c r="Z9" s="23">
        <f t="shared" si="9"/>
        <v>83.282910000000001</v>
      </c>
      <c r="AA9" s="23">
        <f t="shared" si="10"/>
        <v>1165.96074</v>
      </c>
      <c r="AF9" s="11">
        <f t="shared" si="11"/>
        <v>83.87</v>
      </c>
      <c r="AG9" s="22">
        <f t="shared" si="12"/>
        <v>14</v>
      </c>
      <c r="AH9" s="22">
        <f t="shared" si="13"/>
        <v>0.9840000000000001</v>
      </c>
      <c r="AI9" s="22">
        <f t="shared" si="14"/>
        <v>1174.18</v>
      </c>
      <c r="AJ9" s="22">
        <f t="shared" si="19"/>
        <v>21879.059999999998</v>
      </c>
      <c r="AK9" s="22">
        <f t="shared" si="15"/>
        <v>0.80415842748663968</v>
      </c>
      <c r="AL9" s="22">
        <f t="shared" si="16"/>
        <v>0.17984157251336041</v>
      </c>
    </row>
    <row r="10" spans="1:38" x14ac:dyDescent="0.3">
      <c r="A10">
        <v>177.96</v>
      </c>
      <c r="B10">
        <v>1</v>
      </c>
      <c r="E10" s="3">
        <v>0.16</v>
      </c>
      <c r="F10">
        <v>1</v>
      </c>
      <c r="L10" s="40">
        <v>8</v>
      </c>
      <c r="M10" s="23">
        <f t="shared" si="0"/>
        <v>90.320000000000007</v>
      </c>
      <c r="N10" s="23">
        <f t="shared" si="20"/>
        <v>103.22000000000001</v>
      </c>
      <c r="O10" s="23">
        <f t="shared" si="1"/>
        <v>96.77000000000001</v>
      </c>
      <c r="P10" s="23">
        <v>4</v>
      </c>
      <c r="Q10" s="23">
        <f t="shared" si="2"/>
        <v>2E-3</v>
      </c>
      <c r="R10" s="41">
        <f t="shared" si="3"/>
        <v>0.2</v>
      </c>
      <c r="S10" s="23">
        <f t="shared" si="17"/>
        <v>1972</v>
      </c>
      <c r="T10" s="23">
        <f t="shared" si="18"/>
        <v>0.9860000000000001</v>
      </c>
      <c r="U10" s="23">
        <f t="shared" si="4"/>
        <v>0.19354000000000002</v>
      </c>
      <c r="V10" s="23">
        <f t="shared" si="5"/>
        <v>9364.4329000000016</v>
      </c>
      <c r="W10" s="23">
        <f t="shared" si="6"/>
        <v>18.728865800000005</v>
      </c>
      <c r="X10" s="23">
        <f t="shared" si="7"/>
        <v>3.7457731600000009E-2</v>
      </c>
      <c r="Y10" s="23">
        <f t="shared" si="8"/>
        <v>18.691408068400005</v>
      </c>
      <c r="Z10" s="23">
        <f t="shared" si="9"/>
        <v>96.576460000000012</v>
      </c>
      <c r="AA10" s="23">
        <f t="shared" si="10"/>
        <v>386.30584000000005</v>
      </c>
      <c r="AF10" s="11">
        <f t="shared" si="11"/>
        <v>96.77000000000001</v>
      </c>
      <c r="AG10" s="22">
        <f t="shared" si="12"/>
        <v>4</v>
      </c>
      <c r="AH10" s="22">
        <f t="shared" si="13"/>
        <v>0.9860000000000001</v>
      </c>
      <c r="AI10" s="22">
        <f t="shared" si="14"/>
        <v>387.08000000000004</v>
      </c>
      <c r="AJ10" s="22">
        <f t="shared" si="19"/>
        <v>22266.14</v>
      </c>
      <c r="AK10" s="22">
        <f t="shared" si="15"/>
        <v>0.81838543925549667</v>
      </c>
      <c r="AL10" s="22">
        <f t="shared" si="16"/>
        <v>0.16761456074450343</v>
      </c>
    </row>
    <row r="11" spans="1:38" x14ac:dyDescent="0.3">
      <c r="A11">
        <v>174.61</v>
      </c>
      <c r="B11">
        <v>1</v>
      </c>
      <c r="E11" s="3">
        <v>0.17</v>
      </c>
      <c r="F11">
        <v>1</v>
      </c>
      <c r="L11" s="40">
        <v>9</v>
      </c>
      <c r="M11" s="23">
        <f t="shared" si="0"/>
        <v>103.22000000000001</v>
      </c>
      <c r="N11" s="23">
        <f t="shared" si="20"/>
        <v>116.12000000000002</v>
      </c>
      <c r="O11" s="23">
        <f t="shared" si="1"/>
        <v>109.67000000000002</v>
      </c>
      <c r="P11" s="23">
        <v>5</v>
      </c>
      <c r="Q11" s="23">
        <f t="shared" si="2"/>
        <v>2.5000000000000001E-3</v>
      </c>
      <c r="R11" s="41">
        <f t="shared" si="3"/>
        <v>0.25</v>
      </c>
      <c r="S11" s="23">
        <f t="shared" si="17"/>
        <v>1977</v>
      </c>
      <c r="T11" s="23">
        <f t="shared" si="18"/>
        <v>0.98850000000000005</v>
      </c>
      <c r="U11" s="23">
        <f t="shared" si="4"/>
        <v>0.27417500000000006</v>
      </c>
      <c r="V11" s="23">
        <f t="shared" si="5"/>
        <v>12027.508900000004</v>
      </c>
      <c r="W11" s="23">
        <f t="shared" si="6"/>
        <v>30.068772250000013</v>
      </c>
      <c r="X11" s="23">
        <f t="shared" si="7"/>
        <v>7.5171930625000036E-2</v>
      </c>
      <c r="Y11" s="23">
        <f t="shared" si="8"/>
        <v>29.993600319375012</v>
      </c>
      <c r="Z11" s="23">
        <f t="shared" si="9"/>
        <v>109.39582500000002</v>
      </c>
      <c r="AA11" s="23">
        <f t="shared" si="10"/>
        <v>546.97912500000007</v>
      </c>
      <c r="AF11" s="11">
        <f t="shared" si="11"/>
        <v>109.67000000000002</v>
      </c>
      <c r="AG11" s="22">
        <f t="shared" si="12"/>
        <v>5</v>
      </c>
      <c r="AH11" s="22">
        <f t="shared" si="13"/>
        <v>0.98850000000000005</v>
      </c>
      <c r="AI11" s="22">
        <f t="shared" si="14"/>
        <v>548.35000000000014</v>
      </c>
      <c r="AJ11" s="22">
        <f t="shared" si="19"/>
        <v>22814.489999999998</v>
      </c>
      <c r="AK11" s="22">
        <f t="shared" si="15"/>
        <v>0.83853988253195821</v>
      </c>
      <c r="AL11" s="22">
        <f t="shared" si="16"/>
        <v>0.14996011746804183</v>
      </c>
    </row>
    <row r="12" spans="1:38" x14ac:dyDescent="0.3">
      <c r="A12">
        <v>173.54</v>
      </c>
      <c r="B12">
        <v>1</v>
      </c>
      <c r="E12" s="3">
        <v>0.18</v>
      </c>
      <c r="F12">
        <v>3</v>
      </c>
      <c r="L12" s="40">
        <v>10</v>
      </c>
      <c r="M12" s="23">
        <f t="shared" si="0"/>
        <v>116.12000000000002</v>
      </c>
      <c r="N12" s="23">
        <f t="shared" si="20"/>
        <v>129.02000000000001</v>
      </c>
      <c r="O12" s="23">
        <f t="shared" si="1"/>
        <v>122.57000000000002</v>
      </c>
      <c r="P12" s="23">
        <v>5</v>
      </c>
      <c r="Q12" s="23">
        <f t="shared" si="2"/>
        <v>2.5000000000000001E-3</v>
      </c>
      <c r="R12" s="41">
        <f t="shared" si="3"/>
        <v>0.25</v>
      </c>
      <c r="S12" s="23">
        <f t="shared" si="17"/>
        <v>1982</v>
      </c>
      <c r="T12" s="23">
        <f t="shared" si="18"/>
        <v>0.99099999999999999</v>
      </c>
      <c r="U12" s="23">
        <f t="shared" si="4"/>
        <v>0.30642500000000006</v>
      </c>
      <c r="V12" s="23">
        <f t="shared" si="5"/>
        <v>15023.404900000005</v>
      </c>
      <c r="W12" s="23">
        <f t="shared" si="6"/>
        <v>37.558512250000014</v>
      </c>
      <c r="X12" s="23">
        <f t="shared" si="7"/>
        <v>9.3896280625000036E-2</v>
      </c>
      <c r="Y12" s="23">
        <f t="shared" si="8"/>
        <v>37.464615969375011</v>
      </c>
      <c r="Z12" s="23">
        <f t="shared" si="9"/>
        <v>122.26357500000002</v>
      </c>
      <c r="AA12" s="23">
        <f t="shared" si="10"/>
        <v>611.31787500000007</v>
      </c>
      <c r="AF12" s="11">
        <f t="shared" si="11"/>
        <v>122.57000000000002</v>
      </c>
      <c r="AG12" s="22">
        <f t="shared" si="12"/>
        <v>5</v>
      </c>
      <c r="AH12" s="22">
        <f t="shared" si="13"/>
        <v>0.99099999999999999</v>
      </c>
      <c r="AI12" s="22">
        <f t="shared" si="14"/>
        <v>612.85000000000014</v>
      </c>
      <c r="AJ12" s="22">
        <f t="shared" si="19"/>
        <v>23427.339999999997</v>
      </c>
      <c r="AK12" s="22">
        <f t="shared" si="15"/>
        <v>0.86106500437381006</v>
      </c>
      <c r="AL12" s="22">
        <f t="shared" si="16"/>
        <v>0.12993499562618993</v>
      </c>
    </row>
    <row r="13" spans="1:38" x14ac:dyDescent="0.3">
      <c r="A13">
        <v>171.54</v>
      </c>
      <c r="B13">
        <v>1</v>
      </c>
      <c r="E13" s="3">
        <v>0.2</v>
      </c>
      <c r="F13">
        <v>2</v>
      </c>
      <c r="L13" s="40">
        <v>11</v>
      </c>
      <c r="M13" s="23">
        <f t="shared" si="0"/>
        <v>129.02000000000001</v>
      </c>
      <c r="N13" s="23">
        <f t="shared" si="20"/>
        <v>141.92000000000002</v>
      </c>
      <c r="O13" s="23">
        <f t="shared" si="1"/>
        <v>135.47000000000003</v>
      </c>
      <c r="P13" s="23">
        <v>2</v>
      </c>
      <c r="Q13" s="23">
        <f t="shared" si="2"/>
        <v>1E-3</v>
      </c>
      <c r="R13" s="41">
        <f t="shared" si="3"/>
        <v>0.1</v>
      </c>
      <c r="S13" s="23">
        <f t="shared" si="17"/>
        <v>1984</v>
      </c>
      <c r="T13" s="23">
        <f t="shared" si="18"/>
        <v>0.99199999999999999</v>
      </c>
      <c r="U13" s="23">
        <f t="shared" si="4"/>
        <v>0.13547000000000003</v>
      </c>
      <c r="V13" s="23">
        <f t="shared" si="5"/>
        <v>18352.120900000009</v>
      </c>
      <c r="W13" s="23">
        <f t="shared" si="6"/>
        <v>18.35212090000001</v>
      </c>
      <c r="X13" s="23">
        <f t="shared" si="7"/>
        <v>1.8352120900000008E-2</v>
      </c>
      <c r="Y13" s="23">
        <f t="shared" si="8"/>
        <v>18.333768779100009</v>
      </c>
      <c r="Z13" s="23">
        <f t="shared" si="9"/>
        <v>135.33453000000003</v>
      </c>
      <c r="AA13" s="23">
        <f t="shared" si="10"/>
        <v>270.66906000000006</v>
      </c>
      <c r="AF13" s="11">
        <f t="shared" si="11"/>
        <v>135.47000000000003</v>
      </c>
      <c r="AG13" s="22">
        <f t="shared" si="12"/>
        <v>2</v>
      </c>
      <c r="AH13" s="22">
        <f t="shared" si="13"/>
        <v>0.99199999999999999</v>
      </c>
      <c r="AI13" s="22">
        <f t="shared" si="14"/>
        <v>270.94000000000005</v>
      </c>
      <c r="AJ13" s="22">
        <f t="shared" si="19"/>
        <v>23698.279999999995</v>
      </c>
      <c r="AK13" s="22">
        <f t="shared" si="15"/>
        <v>0.87102332453670683</v>
      </c>
      <c r="AL13" s="22">
        <f t="shared" si="16"/>
        <v>0.12097667546329316</v>
      </c>
    </row>
    <row r="14" spans="1:38" x14ac:dyDescent="0.3">
      <c r="A14">
        <v>166.09</v>
      </c>
      <c r="B14">
        <v>1</v>
      </c>
      <c r="E14" s="3">
        <v>0.21</v>
      </c>
      <c r="F14">
        <v>2</v>
      </c>
      <c r="L14" s="40">
        <v>12</v>
      </c>
      <c r="M14" s="23">
        <f t="shared" si="0"/>
        <v>141.92000000000002</v>
      </c>
      <c r="N14" s="23">
        <f t="shared" si="20"/>
        <v>154.82000000000002</v>
      </c>
      <c r="O14" s="23">
        <f t="shared" si="1"/>
        <v>148.37</v>
      </c>
      <c r="P14" s="23">
        <v>0</v>
      </c>
      <c r="Q14" s="23">
        <f t="shared" si="2"/>
        <v>0</v>
      </c>
      <c r="R14" s="41">
        <f t="shared" si="3"/>
        <v>0</v>
      </c>
      <c r="S14" s="23">
        <f t="shared" si="17"/>
        <v>1984</v>
      </c>
      <c r="T14" s="23">
        <f t="shared" si="18"/>
        <v>0.99199999999999999</v>
      </c>
      <c r="U14" s="23">
        <f t="shared" si="4"/>
        <v>0</v>
      </c>
      <c r="V14" s="23">
        <f t="shared" si="5"/>
        <v>22013.656900000002</v>
      </c>
      <c r="W14" s="23">
        <f t="shared" si="6"/>
        <v>0</v>
      </c>
      <c r="X14" s="23">
        <f t="shared" si="7"/>
        <v>0</v>
      </c>
      <c r="Y14" s="23">
        <f t="shared" si="8"/>
        <v>0</v>
      </c>
      <c r="Z14" s="23">
        <f t="shared" si="9"/>
        <v>148.37</v>
      </c>
      <c r="AA14" s="23">
        <f t="shared" si="10"/>
        <v>0</v>
      </c>
      <c r="AF14" s="11">
        <f t="shared" si="11"/>
        <v>148.37</v>
      </c>
      <c r="AG14" s="22">
        <f t="shared" si="12"/>
        <v>0</v>
      </c>
      <c r="AH14" s="22">
        <f t="shared" si="13"/>
        <v>0.99199999999999999</v>
      </c>
      <c r="AI14" s="22">
        <f t="shared" si="14"/>
        <v>0</v>
      </c>
      <c r="AJ14" s="22">
        <f t="shared" si="19"/>
        <v>23698.279999999995</v>
      </c>
      <c r="AK14" s="22">
        <f t="shared" si="15"/>
        <v>0.87102332453670683</v>
      </c>
      <c r="AL14" s="22">
        <f t="shared" si="16"/>
        <v>0.12097667546329316</v>
      </c>
    </row>
    <row r="15" spans="1:38" x14ac:dyDescent="0.3">
      <c r="A15">
        <v>163.44999999999999</v>
      </c>
      <c r="B15">
        <v>1</v>
      </c>
      <c r="E15" s="3">
        <v>0.24</v>
      </c>
      <c r="F15">
        <v>2</v>
      </c>
      <c r="L15" s="40">
        <v>13</v>
      </c>
      <c r="M15" s="23">
        <f t="shared" si="0"/>
        <v>154.82000000000002</v>
      </c>
      <c r="N15" s="23">
        <f t="shared" si="20"/>
        <v>167.72000000000003</v>
      </c>
      <c r="O15" s="23">
        <f t="shared" si="1"/>
        <v>161.27000000000004</v>
      </c>
      <c r="P15" s="23">
        <v>3</v>
      </c>
      <c r="Q15" s="23">
        <f t="shared" si="2"/>
        <v>1.5E-3</v>
      </c>
      <c r="R15" s="41">
        <f t="shared" si="3"/>
        <v>0.15</v>
      </c>
      <c r="S15" s="23">
        <f t="shared" ref="S15:S27" si="21">S14+P15</f>
        <v>1987</v>
      </c>
      <c r="T15" s="23">
        <f t="shared" si="18"/>
        <v>0.99349999999999994</v>
      </c>
      <c r="U15" s="23">
        <f t="shared" si="4"/>
        <v>0.24190500000000006</v>
      </c>
      <c r="V15" s="23">
        <f t="shared" si="5"/>
        <v>26008.012900000012</v>
      </c>
      <c r="W15" s="23">
        <f t="shared" si="6"/>
        <v>39.012019350000017</v>
      </c>
      <c r="X15" s="23">
        <f t="shared" si="7"/>
        <v>5.8518029025000029E-2</v>
      </c>
      <c r="Y15" s="23">
        <f t="shared" si="8"/>
        <v>38.953501320975015</v>
      </c>
      <c r="Z15" s="23">
        <f t="shared" si="9"/>
        <v>161.02809500000004</v>
      </c>
      <c r="AA15" s="23">
        <f t="shared" si="10"/>
        <v>483.08428500000014</v>
      </c>
      <c r="AF15" s="11">
        <f t="shared" si="11"/>
        <v>161.27000000000004</v>
      </c>
      <c r="AG15" s="22">
        <f t="shared" si="12"/>
        <v>3</v>
      </c>
      <c r="AH15" s="22">
        <f t="shared" si="13"/>
        <v>0.99349999999999994</v>
      </c>
      <c r="AI15" s="22">
        <f t="shared" si="14"/>
        <v>483.81000000000012</v>
      </c>
      <c r="AJ15" s="22">
        <f t="shared" si="19"/>
        <v>24182.089999999997</v>
      </c>
      <c r="AK15" s="22">
        <f t="shared" si="15"/>
        <v>0.88880561905952049</v>
      </c>
      <c r="AL15" s="22">
        <f t="shared" si="16"/>
        <v>0.10469438094047945</v>
      </c>
    </row>
    <row r="16" spans="1:38" x14ac:dyDescent="0.3">
      <c r="A16">
        <v>160.96</v>
      </c>
      <c r="B16">
        <v>1</v>
      </c>
      <c r="E16" s="3">
        <v>0.25</v>
      </c>
      <c r="F16">
        <v>1</v>
      </c>
      <c r="L16" s="40">
        <v>14</v>
      </c>
      <c r="M16" s="23">
        <f t="shared" si="0"/>
        <v>167.72000000000003</v>
      </c>
      <c r="N16" s="23">
        <f t="shared" si="20"/>
        <v>180.62000000000003</v>
      </c>
      <c r="O16" s="23">
        <f t="shared" si="1"/>
        <v>174.17000000000002</v>
      </c>
      <c r="P16" s="23">
        <v>4</v>
      </c>
      <c r="Q16" s="23">
        <f t="shared" si="2"/>
        <v>2E-3</v>
      </c>
      <c r="R16" s="41">
        <f t="shared" si="3"/>
        <v>0.2</v>
      </c>
      <c r="S16" s="23">
        <f t="shared" si="21"/>
        <v>1991</v>
      </c>
      <c r="T16" s="23">
        <f t="shared" si="18"/>
        <v>0.99549999999999994</v>
      </c>
      <c r="U16" s="23">
        <f t="shared" si="4"/>
        <v>0.34834000000000004</v>
      </c>
      <c r="V16" s="23">
        <f t="shared" si="5"/>
        <v>30335.188900000005</v>
      </c>
      <c r="W16" s="23">
        <f t="shared" si="6"/>
        <v>60.670377800000011</v>
      </c>
      <c r="X16" s="23">
        <f t="shared" si="7"/>
        <v>0.12134075560000003</v>
      </c>
      <c r="Y16" s="23">
        <f t="shared" si="8"/>
        <v>60.549037044400009</v>
      </c>
      <c r="Z16" s="23">
        <f t="shared" si="9"/>
        <v>173.82166000000001</v>
      </c>
      <c r="AA16" s="23">
        <f t="shared" si="10"/>
        <v>695.28664000000003</v>
      </c>
      <c r="AF16" s="11">
        <f t="shared" si="11"/>
        <v>174.17000000000002</v>
      </c>
      <c r="AG16" s="22">
        <f t="shared" si="12"/>
        <v>4</v>
      </c>
      <c r="AH16" s="22">
        <f t="shared" si="13"/>
        <v>0.99549999999999994</v>
      </c>
      <c r="AI16" s="22">
        <f t="shared" si="14"/>
        <v>696.68000000000006</v>
      </c>
      <c r="AJ16" s="22">
        <f t="shared" si="19"/>
        <v>24878.769999999997</v>
      </c>
      <c r="AK16" s="22">
        <f t="shared" si="15"/>
        <v>0.91441188794225092</v>
      </c>
      <c r="AL16" s="22">
        <f t="shared" si="16"/>
        <v>8.1088112057749018E-2</v>
      </c>
    </row>
    <row r="17" spans="1:38" x14ac:dyDescent="0.3">
      <c r="A17">
        <v>141.13999999999999</v>
      </c>
      <c r="B17">
        <v>1</v>
      </c>
      <c r="E17" s="3">
        <v>0.26</v>
      </c>
      <c r="F17">
        <v>1</v>
      </c>
      <c r="L17" s="40">
        <v>15</v>
      </c>
      <c r="M17" s="23">
        <f t="shared" si="0"/>
        <v>180.62000000000003</v>
      </c>
      <c r="N17" s="23">
        <f t="shared" si="20"/>
        <v>193.52000000000004</v>
      </c>
      <c r="O17" s="23">
        <f t="shared" si="1"/>
        <v>187.07000000000005</v>
      </c>
      <c r="P17" s="23">
        <v>0</v>
      </c>
      <c r="Q17" s="23">
        <f t="shared" si="2"/>
        <v>0</v>
      </c>
      <c r="R17" s="41">
        <f t="shared" si="3"/>
        <v>0</v>
      </c>
      <c r="S17" s="23">
        <f t="shared" si="21"/>
        <v>1991</v>
      </c>
      <c r="T17" s="23">
        <f t="shared" si="18"/>
        <v>0.99549999999999994</v>
      </c>
      <c r="U17" s="23">
        <f t="shared" si="4"/>
        <v>0</v>
      </c>
      <c r="V17" s="23">
        <f t="shared" si="5"/>
        <v>34995.184900000022</v>
      </c>
      <c r="W17" s="23">
        <f t="shared" si="6"/>
        <v>0</v>
      </c>
      <c r="X17" s="23">
        <f t="shared" si="7"/>
        <v>0</v>
      </c>
      <c r="Y17" s="23">
        <f t="shared" si="8"/>
        <v>0</v>
      </c>
      <c r="Z17" s="23">
        <f t="shared" si="9"/>
        <v>187.07000000000005</v>
      </c>
      <c r="AA17" s="23">
        <f t="shared" si="10"/>
        <v>0</v>
      </c>
      <c r="AF17" s="11">
        <f t="shared" si="11"/>
        <v>187.07000000000005</v>
      </c>
      <c r="AG17" s="22">
        <f t="shared" si="12"/>
        <v>0</v>
      </c>
      <c r="AH17" s="22">
        <f t="shared" si="13"/>
        <v>0.99549999999999994</v>
      </c>
      <c r="AI17" s="22">
        <f t="shared" si="14"/>
        <v>0</v>
      </c>
      <c r="AJ17" s="22">
        <f t="shared" si="19"/>
        <v>24878.769999999997</v>
      </c>
      <c r="AK17" s="22">
        <f t="shared" si="15"/>
        <v>0.91441188794225092</v>
      </c>
      <c r="AL17" s="22">
        <f t="shared" si="16"/>
        <v>8.1088112057749018E-2</v>
      </c>
    </row>
    <row r="18" spans="1:38" x14ac:dyDescent="0.3">
      <c r="A18">
        <v>131.88999999999999</v>
      </c>
      <c r="B18">
        <v>1</v>
      </c>
      <c r="E18" s="3">
        <v>0.27</v>
      </c>
      <c r="F18">
        <v>1</v>
      </c>
      <c r="L18" s="40">
        <v>16</v>
      </c>
      <c r="M18" s="23">
        <f t="shared" si="0"/>
        <v>193.52000000000004</v>
      </c>
      <c r="N18" s="23">
        <f t="shared" si="20"/>
        <v>206.42000000000004</v>
      </c>
      <c r="O18" s="23">
        <f t="shared" si="1"/>
        <v>199.97000000000003</v>
      </c>
      <c r="P18" s="23">
        <v>2</v>
      </c>
      <c r="Q18" s="23">
        <f t="shared" si="2"/>
        <v>1E-3</v>
      </c>
      <c r="R18" s="41">
        <f t="shared" si="3"/>
        <v>0.1</v>
      </c>
      <c r="S18" s="23">
        <f t="shared" si="21"/>
        <v>1993</v>
      </c>
      <c r="T18" s="23">
        <f t="shared" si="18"/>
        <v>0.99649999999999994</v>
      </c>
      <c r="U18" s="23">
        <f t="shared" si="4"/>
        <v>0.19997000000000004</v>
      </c>
      <c r="V18" s="23">
        <f t="shared" si="5"/>
        <v>39988.000900000014</v>
      </c>
      <c r="W18" s="23">
        <f t="shared" si="6"/>
        <v>39.988000900000017</v>
      </c>
      <c r="X18" s="23">
        <f t="shared" si="7"/>
        <v>3.9988000900000015E-2</v>
      </c>
      <c r="Y18" s="23">
        <f t="shared" si="8"/>
        <v>39.948012899100014</v>
      </c>
      <c r="Z18" s="23">
        <f t="shared" si="9"/>
        <v>199.77003000000002</v>
      </c>
      <c r="AA18" s="23">
        <f t="shared" si="10"/>
        <v>399.54006000000004</v>
      </c>
      <c r="AF18" s="11">
        <f t="shared" si="11"/>
        <v>199.97000000000003</v>
      </c>
      <c r="AG18" s="22">
        <f t="shared" si="12"/>
        <v>2</v>
      </c>
      <c r="AH18" s="22">
        <f t="shared" si="13"/>
        <v>0.99649999999999994</v>
      </c>
      <c r="AI18" s="22">
        <f t="shared" si="14"/>
        <v>399.94000000000005</v>
      </c>
      <c r="AJ18" s="22">
        <f t="shared" si="19"/>
        <v>25278.709999999995</v>
      </c>
      <c r="AK18" s="22">
        <f t="shared" si="15"/>
        <v>0.92911156523592842</v>
      </c>
      <c r="AL18" s="22">
        <f t="shared" si="16"/>
        <v>6.7388434764071525E-2</v>
      </c>
    </row>
    <row r="19" spans="1:38" x14ac:dyDescent="0.3">
      <c r="A19">
        <v>125.37</v>
      </c>
      <c r="B19">
        <v>1</v>
      </c>
      <c r="E19" s="3">
        <v>0.3</v>
      </c>
      <c r="F19">
        <v>2</v>
      </c>
      <c r="L19" s="40">
        <v>17</v>
      </c>
      <c r="M19" s="23">
        <f t="shared" si="0"/>
        <v>206.42000000000004</v>
      </c>
      <c r="N19" s="23">
        <f t="shared" si="20"/>
        <v>219.32000000000005</v>
      </c>
      <c r="O19" s="23">
        <f t="shared" si="1"/>
        <v>212.87000000000006</v>
      </c>
      <c r="P19" s="23">
        <v>0</v>
      </c>
      <c r="Q19" s="23">
        <f t="shared" si="2"/>
        <v>0</v>
      </c>
      <c r="R19" s="41">
        <f t="shared" si="3"/>
        <v>0</v>
      </c>
      <c r="S19" s="23">
        <f t="shared" si="21"/>
        <v>1993</v>
      </c>
      <c r="T19" s="23">
        <f t="shared" si="18"/>
        <v>0.99649999999999994</v>
      </c>
      <c r="U19" s="23">
        <f t="shared" si="4"/>
        <v>0</v>
      </c>
      <c r="V19" s="23">
        <f t="shared" si="5"/>
        <v>45313.636900000027</v>
      </c>
      <c r="W19" s="23">
        <f t="shared" si="6"/>
        <v>0</v>
      </c>
      <c r="X19" s="23">
        <f t="shared" si="7"/>
        <v>0</v>
      </c>
      <c r="Y19" s="23">
        <f t="shared" si="8"/>
        <v>0</v>
      </c>
      <c r="Z19" s="23">
        <f t="shared" si="9"/>
        <v>212.87000000000006</v>
      </c>
      <c r="AA19" s="23">
        <f t="shared" si="10"/>
        <v>0</v>
      </c>
      <c r="AD19" s="37"/>
      <c r="AF19" s="11">
        <f t="shared" si="11"/>
        <v>212.87000000000006</v>
      </c>
      <c r="AG19" s="22">
        <f t="shared" si="12"/>
        <v>0</v>
      </c>
      <c r="AH19" s="22">
        <f t="shared" si="13"/>
        <v>0.99649999999999994</v>
      </c>
      <c r="AI19" s="22">
        <f t="shared" si="14"/>
        <v>0</v>
      </c>
      <c r="AJ19" s="22">
        <f t="shared" si="19"/>
        <v>25278.709999999995</v>
      </c>
      <c r="AK19" s="22">
        <f t="shared" si="15"/>
        <v>0.92911156523592842</v>
      </c>
      <c r="AL19" s="22">
        <f t="shared" si="16"/>
        <v>6.7388434764071525E-2</v>
      </c>
    </row>
    <row r="20" spans="1:38" x14ac:dyDescent="0.3">
      <c r="A20">
        <v>124.79</v>
      </c>
      <c r="B20">
        <v>1</v>
      </c>
      <c r="E20" s="3">
        <v>0.31</v>
      </c>
      <c r="F20">
        <v>1</v>
      </c>
      <c r="L20" s="40">
        <v>18</v>
      </c>
      <c r="M20" s="23">
        <f t="shared" si="0"/>
        <v>219.32000000000005</v>
      </c>
      <c r="N20" s="23">
        <f t="shared" si="20"/>
        <v>232.22000000000006</v>
      </c>
      <c r="O20" s="23">
        <f t="shared" si="1"/>
        <v>225.77000000000004</v>
      </c>
      <c r="P20" s="23">
        <v>0</v>
      </c>
      <c r="Q20" s="23">
        <f t="shared" si="2"/>
        <v>0</v>
      </c>
      <c r="R20" s="41">
        <f t="shared" si="3"/>
        <v>0</v>
      </c>
      <c r="S20" s="23">
        <f t="shared" si="21"/>
        <v>1993</v>
      </c>
      <c r="T20" s="23">
        <f t="shared" si="18"/>
        <v>0.99649999999999994</v>
      </c>
      <c r="U20" s="23">
        <f t="shared" si="4"/>
        <v>0</v>
      </c>
      <c r="V20" s="23">
        <f t="shared" si="5"/>
        <v>50972.092900000018</v>
      </c>
      <c r="W20" s="23">
        <f t="shared" si="6"/>
        <v>0</v>
      </c>
      <c r="X20" s="23">
        <f t="shared" si="7"/>
        <v>0</v>
      </c>
      <c r="Y20" s="23">
        <f t="shared" si="8"/>
        <v>0</v>
      </c>
      <c r="Z20" s="23">
        <f t="shared" si="9"/>
        <v>225.77000000000004</v>
      </c>
      <c r="AA20" s="23">
        <f t="shared" si="10"/>
        <v>0</v>
      </c>
      <c r="AF20" s="11">
        <f t="shared" si="11"/>
        <v>225.77000000000004</v>
      </c>
      <c r="AG20" s="22">
        <f t="shared" si="12"/>
        <v>0</v>
      </c>
      <c r="AH20" s="22">
        <f t="shared" si="13"/>
        <v>0.99649999999999994</v>
      </c>
      <c r="AI20" s="22">
        <f t="shared" si="14"/>
        <v>0</v>
      </c>
      <c r="AJ20" s="22">
        <f t="shared" si="19"/>
        <v>25278.709999999995</v>
      </c>
      <c r="AK20" s="22">
        <f t="shared" si="15"/>
        <v>0.92911156523592842</v>
      </c>
      <c r="AL20" s="22">
        <f t="shared" si="16"/>
        <v>6.7388434764071525E-2</v>
      </c>
    </row>
    <row r="21" spans="1:38" x14ac:dyDescent="0.3">
      <c r="A21">
        <v>117.55</v>
      </c>
      <c r="B21">
        <v>1</v>
      </c>
      <c r="E21" s="3">
        <v>0.35</v>
      </c>
      <c r="F21">
        <v>1</v>
      </c>
      <c r="L21" s="40">
        <v>19</v>
      </c>
      <c r="M21" s="23">
        <f t="shared" si="0"/>
        <v>232.22000000000006</v>
      </c>
      <c r="N21" s="23">
        <f t="shared" si="20"/>
        <v>245.12000000000006</v>
      </c>
      <c r="O21" s="23">
        <f t="shared" si="1"/>
        <v>238.67000000000007</v>
      </c>
      <c r="P21" s="23">
        <v>1</v>
      </c>
      <c r="Q21" s="23">
        <f t="shared" si="2"/>
        <v>5.0000000000000001E-4</v>
      </c>
      <c r="R21" s="41">
        <f t="shared" si="3"/>
        <v>0.05</v>
      </c>
      <c r="S21" s="23">
        <f t="shared" si="21"/>
        <v>1994</v>
      </c>
      <c r="T21" s="23">
        <f t="shared" si="18"/>
        <v>0.99699999999999989</v>
      </c>
      <c r="U21" s="23">
        <f t="shared" si="4"/>
        <v>0.11933500000000004</v>
      </c>
      <c r="V21" s="23">
        <f t="shared" si="5"/>
        <v>56963.368900000038</v>
      </c>
      <c r="W21" s="23">
        <f t="shared" si="6"/>
        <v>28.481684450000021</v>
      </c>
      <c r="X21" s="23">
        <f t="shared" si="7"/>
        <v>1.4240842225000008E-2</v>
      </c>
      <c r="Y21" s="23">
        <f t="shared" si="8"/>
        <v>28.467443607775021</v>
      </c>
      <c r="Z21" s="23">
        <f t="shared" si="9"/>
        <v>238.55066500000007</v>
      </c>
      <c r="AA21" s="23">
        <f t="shared" si="10"/>
        <v>238.55066500000007</v>
      </c>
      <c r="AF21" s="11">
        <f t="shared" si="11"/>
        <v>238.67000000000007</v>
      </c>
      <c r="AG21" s="22">
        <f t="shared" si="12"/>
        <v>1</v>
      </c>
      <c r="AH21" s="22">
        <f t="shared" si="13"/>
        <v>0.99699999999999989</v>
      </c>
      <c r="AI21" s="22">
        <f t="shared" si="14"/>
        <v>238.67000000000007</v>
      </c>
      <c r="AJ21" s="22">
        <f t="shared" si="19"/>
        <v>25517.379999999997</v>
      </c>
      <c r="AK21" s="22">
        <f t="shared" si="15"/>
        <v>0.93788381102200136</v>
      </c>
      <c r="AL21" s="22">
        <f t="shared" si="16"/>
        <v>5.9116188977998529E-2</v>
      </c>
    </row>
    <row r="22" spans="1:38" x14ac:dyDescent="0.3">
      <c r="A22">
        <v>116.64</v>
      </c>
      <c r="B22">
        <v>1</v>
      </c>
      <c r="E22" s="3">
        <v>0.36</v>
      </c>
      <c r="F22">
        <v>2</v>
      </c>
      <c r="L22" s="40">
        <v>20</v>
      </c>
      <c r="M22" s="23">
        <f t="shared" si="0"/>
        <v>245.12000000000006</v>
      </c>
      <c r="N22" s="23">
        <f t="shared" si="20"/>
        <v>258.02000000000004</v>
      </c>
      <c r="O22" s="23">
        <f t="shared" si="1"/>
        <v>251.57000000000005</v>
      </c>
      <c r="P22" s="23">
        <v>2</v>
      </c>
      <c r="Q22" s="23">
        <f t="shared" si="2"/>
        <v>1E-3</v>
      </c>
      <c r="R22" s="41">
        <f t="shared" si="3"/>
        <v>0.1</v>
      </c>
      <c r="S22" s="23">
        <f t="shared" si="21"/>
        <v>1996</v>
      </c>
      <c r="T22" s="23">
        <f t="shared" si="18"/>
        <v>0.99799999999999989</v>
      </c>
      <c r="U22" s="23">
        <f t="shared" si="4"/>
        <v>0.25157000000000007</v>
      </c>
      <c r="V22" s="23">
        <f t="shared" si="5"/>
        <v>63287.464900000028</v>
      </c>
      <c r="W22" s="23">
        <f t="shared" si="6"/>
        <v>63.287464900000032</v>
      </c>
      <c r="X22" s="23">
        <f t="shared" si="7"/>
        <v>6.3287464900000034E-2</v>
      </c>
      <c r="Y22" s="23">
        <f t="shared" si="8"/>
        <v>63.224177435100032</v>
      </c>
      <c r="Z22" s="23">
        <f t="shared" si="9"/>
        <v>251.31843000000006</v>
      </c>
      <c r="AA22" s="23">
        <f t="shared" si="10"/>
        <v>502.63686000000013</v>
      </c>
      <c r="AF22" s="11">
        <f t="shared" si="11"/>
        <v>251.57000000000005</v>
      </c>
      <c r="AG22" s="22">
        <f t="shared" si="12"/>
        <v>2</v>
      </c>
      <c r="AH22" s="22">
        <f t="shared" si="13"/>
        <v>0.99799999999999989</v>
      </c>
      <c r="AI22" s="22">
        <f t="shared" si="14"/>
        <v>503.1400000000001</v>
      </c>
      <c r="AJ22" s="22">
        <f t="shared" si="19"/>
        <v>26020.519999999997</v>
      </c>
      <c r="AK22" s="22">
        <f t="shared" si="15"/>
        <v>0.95637657402030329</v>
      </c>
      <c r="AL22" s="22">
        <f t="shared" si="16"/>
        <v>4.1623425979696593E-2</v>
      </c>
    </row>
    <row r="23" spans="1:38" x14ac:dyDescent="0.3">
      <c r="A23">
        <v>116.43</v>
      </c>
      <c r="B23">
        <v>1</v>
      </c>
      <c r="E23" s="3">
        <v>0.37</v>
      </c>
      <c r="F23">
        <v>1</v>
      </c>
      <c r="L23" s="40">
        <v>21</v>
      </c>
      <c r="M23" s="23">
        <f t="shared" si="0"/>
        <v>258.02000000000004</v>
      </c>
      <c r="N23" s="23">
        <f t="shared" si="20"/>
        <v>270.92</v>
      </c>
      <c r="O23" s="23">
        <f t="shared" si="1"/>
        <v>264.47000000000003</v>
      </c>
      <c r="P23" s="23">
        <v>0</v>
      </c>
      <c r="Q23" s="23">
        <f t="shared" si="2"/>
        <v>0</v>
      </c>
      <c r="R23" s="41">
        <f t="shared" si="3"/>
        <v>0</v>
      </c>
      <c r="S23" s="23">
        <f t="shared" si="21"/>
        <v>1996</v>
      </c>
      <c r="T23" s="23">
        <f t="shared" si="18"/>
        <v>0.99799999999999989</v>
      </c>
      <c r="U23" s="23">
        <f t="shared" si="4"/>
        <v>0</v>
      </c>
      <c r="V23" s="23">
        <f t="shared" si="5"/>
        <v>69944.380900000018</v>
      </c>
      <c r="W23" s="23">
        <f t="shared" si="6"/>
        <v>0</v>
      </c>
      <c r="X23" s="23">
        <f t="shared" si="7"/>
        <v>0</v>
      </c>
      <c r="Y23" s="23">
        <f t="shared" si="8"/>
        <v>0</v>
      </c>
      <c r="Z23" s="23">
        <f t="shared" si="9"/>
        <v>264.47000000000003</v>
      </c>
      <c r="AA23" s="23">
        <f t="shared" si="10"/>
        <v>0</v>
      </c>
      <c r="AF23" s="11">
        <f t="shared" si="11"/>
        <v>264.47000000000003</v>
      </c>
      <c r="AG23" s="22">
        <f t="shared" si="12"/>
        <v>0</v>
      </c>
      <c r="AH23" s="22">
        <f t="shared" si="13"/>
        <v>0.99799999999999989</v>
      </c>
      <c r="AI23" s="22">
        <f t="shared" si="14"/>
        <v>0</v>
      </c>
      <c r="AJ23" s="22">
        <f t="shared" si="19"/>
        <v>26020.519999999997</v>
      </c>
      <c r="AK23" s="22">
        <f t="shared" si="15"/>
        <v>0.95637657402030329</v>
      </c>
      <c r="AL23" s="22">
        <f t="shared" si="16"/>
        <v>4.1623425979696593E-2</v>
      </c>
    </row>
    <row r="24" spans="1:38" x14ac:dyDescent="0.3">
      <c r="A24">
        <v>115.4</v>
      </c>
      <c r="B24">
        <v>1</v>
      </c>
      <c r="E24" s="3">
        <v>0.38</v>
      </c>
      <c r="F24">
        <v>2</v>
      </c>
      <c r="L24" s="40">
        <v>22</v>
      </c>
      <c r="M24" s="23">
        <f t="shared" si="0"/>
        <v>270.92</v>
      </c>
      <c r="N24" s="23">
        <f t="shared" si="20"/>
        <v>283.82</v>
      </c>
      <c r="O24" s="23">
        <f t="shared" si="1"/>
        <v>277.37</v>
      </c>
      <c r="P24" s="23">
        <v>1</v>
      </c>
      <c r="Q24" s="23">
        <f t="shared" si="2"/>
        <v>5.0000000000000001E-4</v>
      </c>
      <c r="R24" s="41">
        <f t="shared" si="3"/>
        <v>0.05</v>
      </c>
      <c r="S24" s="23">
        <f t="shared" si="21"/>
        <v>1997</v>
      </c>
      <c r="T24" s="23">
        <f t="shared" si="18"/>
        <v>0.99849999999999983</v>
      </c>
      <c r="U24" s="23">
        <f t="shared" si="4"/>
        <v>0.138685</v>
      </c>
      <c r="V24" s="23">
        <f t="shared" si="5"/>
        <v>76934.116900000008</v>
      </c>
      <c r="W24" s="23">
        <f t="shared" si="6"/>
        <v>38.467058450000003</v>
      </c>
      <c r="X24" s="23">
        <f t="shared" si="7"/>
        <v>1.9233529225E-2</v>
      </c>
      <c r="Y24" s="23">
        <f t="shared" si="8"/>
        <v>38.447824920775005</v>
      </c>
      <c r="Z24" s="23">
        <f t="shared" si="9"/>
        <v>277.231315</v>
      </c>
      <c r="AA24" s="23">
        <f t="shared" si="10"/>
        <v>277.231315</v>
      </c>
      <c r="AF24" s="11">
        <f t="shared" si="11"/>
        <v>277.37</v>
      </c>
      <c r="AG24" s="22">
        <f t="shared" si="12"/>
        <v>1</v>
      </c>
      <c r="AH24" s="22">
        <f t="shared" si="13"/>
        <v>0.99849999999999983</v>
      </c>
      <c r="AI24" s="22">
        <f t="shared" si="14"/>
        <v>277.37</v>
      </c>
      <c r="AJ24" s="22">
        <f t="shared" si="19"/>
        <v>26297.889999999996</v>
      </c>
      <c r="AK24" s="22">
        <f t="shared" si="15"/>
        <v>0.96657122694561026</v>
      </c>
      <c r="AL24" s="22">
        <f t="shared" si="16"/>
        <v>3.192877305438957E-2</v>
      </c>
    </row>
    <row r="25" spans="1:38" x14ac:dyDescent="0.3">
      <c r="A25">
        <v>111.02</v>
      </c>
      <c r="B25">
        <v>1</v>
      </c>
      <c r="E25" s="3">
        <v>0.39</v>
      </c>
      <c r="F25">
        <v>1</v>
      </c>
      <c r="L25" s="40">
        <v>23</v>
      </c>
      <c r="M25" s="23">
        <f t="shared" si="0"/>
        <v>283.82</v>
      </c>
      <c r="N25" s="23">
        <f t="shared" si="20"/>
        <v>296.71999999999997</v>
      </c>
      <c r="O25" s="23">
        <f t="shared" si="1"/>
        <v>290.27</v>
      </c>
      <c r="P25" s="23">
        <v>2</v>
      </c>
      <c r="Q25" s="23">
        <f t="shared" si="2"/>
        <v>1E-3</v>
      </c>
      <c r="R25" s="41">
        <f t="shared" si="3"/>
        <v>0.1</v>
      </c>
      <c r="S25" s="23">
        <f t="shared" si="21"/>
        <v>1999</v>
      </c>
      <c r="T25" s="23">
        <f t="shared" si="18"/>
        <v>0.99949999999999983</v>
      </c>
      <c r="U25" s="23">
        <f t="shared" si="4"/>
        <v>0.29026999999999997</v>
      </c>
      <c r="V25" s="23">
        <f t="shared" si="5"/>
        <v>84256.67289999999</v>
      </c>
      <c r="W25" s="23">
        <f t="shared" si="6"/>
        <v>84.256672899999998</v>
      </c>
      <c r="X25" s="23">
        <f t="shared" si="7"/>
        <v>8.4256672899999982E-2</v>
      </c>
      <c r="Y25" s="23">
        <f t="shared" si="8"/>
        <v>84.172416227100001</v>
      </c>
      <c r="Z25" s="23">
        <f t="shared" si="9"/>
        <v>289.97972999999996</v>
      </c>
      <c r="AA25" s="23">
        <f t="shared" si="10"/>
        <v>579.95945999999992</v>
      </c>
      <c r="AF25" s="11">
        <f t="shared" si="11"/>
        <v>290.27</v>
      </c>
      <c r="AG25" s="22">
        <f t="shared" si="12"/>
        <v>2</v>
      </c>
      <c r="AH25" s="22">
        <f t="shared" si="13"/>
        <v>0.99949999999999983</v>
      </c>
      <c r="AI25" s="22">
        <f t="shared" si="14"/>
        <v>580.54</v>
      </c>
      <c r="AJ25" s="22">
        <f t="shared" si="19"/>
        <v>26878.429999999997</v>
      </c>
      <c r="AK25" s="22">
        <f t="shared" si="15"/>
        <v>0.98790880422238059</v>
      </c>
      <c r="AL25" s="22">
        <f t="shared" si="16"/>
        <v>1.1591195777619245E-2</v>
      </c>
    </row>
    <row r="26" spans="1:38" x14ac:dyDescent="0.3">
      <c r="A26">
        <v>108.76</v>
      </c>
      <c r="B26">
        <v>1</v>
      </c>
      <c r="E26" s="3">
        <v>0.4</v>
      </c>
      <c r="F26">
        <v>3</v>
      </c>
      <c r="L26" s="40">
        <v>24</v>
      </c>
      <c r="M26" s="23">
        <f t="shared" si="0"/>
        <v>296.71999999999997</v>
      </c>
      <c r="N26" s="23">
        <f t="shared" si="20"/>
        <v>309.61999999999995</v>
      </c>
      <c r="O26" s="23">
        <f t="shared" si="1"/>
        <v>303.16999999999996</v>
      </c>
      <c r="P26" s="23">
        <v>0</v>
      </c>
      <c r="Q26" s="23">
        <f t="shared" si="2"/>
        <v>0</v>
      </c>
      <c r="R26" s="41">
        <f t="shared" si="3"/>
        <v>0</v>
      </c>
      <c r="S26" s="23">
        <f t="shared" si="21"/>
        <v>1999</v>
      </c>
      <c r="T26" s="23">
        <f t="shared" si="18"/>
        <v>0.99949999999999983</v>
      </c>
      <c r="U26" s="23">
        <f t="shared" si="4"/>
        <v>0</v>
      </c>
      <c r="V26" s="23">
        <f t="shared" si="5"/>
        <v>91912.04889999998</v>
      </c>
      <c r="W26" s="23">
        <f t="shared" si="6"/>
        <v>0</v>
      </c>
      <c r="X26" s="23">
        <f t="shared" si="7"/>
        <v>0</v>
      </c>
      <c r="Y26" s="23">
        <f t="shared" si="8"/>
        <v>0</v>
      </c>
      <c r="Z26" s="23">
        <f t="shared" si="9"/>
        <v>303.16999999999996</v>
      </c>
      <c r="AA26" s="23">
        <f t="shared" si="10"/>
        <v>0</v>
      </c>
      <c r="AF26" s="11">
        <f t="shared" si="11"/>
        <v>303.16999999999996</v>
      </c>
      <c r="AG26" s="22">
        <f t="shared" si="12"/>
        <v>0</v>
      </c>
      <c r="AH26" s="22">
        <f t="shared" si="13"/>
        <v>0.99949999999999983</v>
      </c>
      <c r="AI26" s="22">
        <f t="shared" si="14"/>
        <v>0</v>
      </c>
      <c r="AJ26" s="22">
        <f t="shared" si="19"/>
        <v>26878.429999999997</v>
      </c>
      <c r="AK26" s="22">
        <f t="shared" si="15"/>
        <v>0.98790880422238059</v>
      </c>
      <c r="AL26" s="22">
        <f t="shared" si="16"/>
        <v>1.1591195777619245E-2</v>
      </c>
    </row>
    <row r="27" spans="1:38" x14ac:dyDescent="0.3">
      <c r="A27">
        <v>106.55</v>
      </c>
      <c r="B27">
        <v>1</v>
      </c>
      <c r="E27" s="3">
        <v>0.41</v>
      </c>
      <c r="F27">
        <v>1</v>
      </c>
      <c r="L27" s="40">
        <v>25</v>
      </c>
      <c r="M27" s="23">
        <f t="shared" si="0"/>
        <v>309.61999999999995</v>
      </c>
      <c r="N27" s="23">
        <f t="shared" si="20"/>
        <v>322.51999999999992</v>
      </c>
      <c r="O27" s="23">
        <f t="shared" si="1"/>
        <v>316.06999999999994</v>
      </c>
      <c r="P27" s="23">
        <v>0</v>
      </c>
      <c r="Q27" s="23">
        <f t="shared" si="2"/>
        <v>0</v>
      </c>
      <c r="R27" s="41">
        <f t="shared" si="3"/>
        <v>0</v>
      </c>
      <c r="S27" s="23">
        <f t="shared" si="21"/>
        <v>1999</v>
      </c>
      <c r="T27" s="23">
        <f t="shared" si="18"/>
        <v>0.99949999999999983</v>
      </c>
      <c r="U27" s="23">
        <f t="shared" si="4"/>
        <v>0</v>
      </c>
      <c r="V27" s="23">
        <f t="shared" si="5"/>
        <v>99900.244899999961</v>
      </c>
      <c r="W27" s="23">
        <f t="shared" si="6"/>
        <v>0</v>
      </c>
      <c r="X27" s="23">
        <f t="shared" si="7"/>
        <v>0</v>
      </c>
      <c r="Y27" s="23">
        <f t="shared" si="8"/>
        <v>0</v>
      </c>
      <c r="Z27" s="23">
        <f t="shared" si="9"/>
        <v>316.06999999999994</v>
      </c>
      <c r="AA27" s="23">
        <f t="shared" si="10"/>
        <v>0</v>
      </c>
      <c r="AF27" s="11">
        <f t="shared" si="11"/>
        <v>316.06999999999994</v>
      </c>
      <c r="AG27" s="22">
        <f t="shared" si="12"/>
        <v>0</v>
      </c>
      <c r="AH27" s="22">
        <f t="shared" si="13"/>
        <v>0.99949999999999983</v>
      </c>
      <c r="AI27" s="22">
        <f t="shared" si="14"/>
        <v>0</v>
      </c>
      <c r="AJ27" s="22">
        <f t="shared" si="19"/>
        <v>26878.429999999997</v>
      </c>
      <c r="AK27" s="22">
        <f t="shared" si="15"/>
        <v>0.98790880422238059</v>
      </c>
      <c r="AL27" s="22">
        <f t="shared" si="16"/>
        <v>1.1591195777619245E-2</v>
      </c>
    </row>
    <row r="28" spans="1:38" x14ac:dyDescent="0.3">
      <c r="A28">
        <v>104.3</v>
      </c>
      <c r="B28">
        <v>1</v>
      </c>
      <c r="E28" s="3">
        <v>0.42</v>
      </c>
      <c r="F28">
        <v>1</v>
      </c>
      <c r="L28" s="40">
        <v>26</v>
      </c>
      <c r="M28" s="23">
        <f t="shared" si="0"/>
        <v>322.51999999999992</v>
      </c>
      <c r="N28" s="23">
        <f t="shared" si="20"/>
        <v>335.4199999999999</v>
      </c>
      <c r="O28" s="23">
        <f t="shared" si="1"/>
        <v>328.96999999999991</v>
      </c>
      <c r="P28" s="23">
        <v>1</v>
      </c>
      <c r="Q28" s="23">
        <f t="shared" si="2"/>
        <v>5.0000000000000001E-4</v>
      </c>
      <c r="R28" s="41">
        <f t="shared" si="3"/>
        <v>0.05</v>
      </c>
      <c r="S28" s="23">
        <f>S27+P28</f>
        <v>2000</v>
      </c>
      <c r="T28" s="23">
        <f t="shared" si="18"/>
        <v>0.99999999999999978</v>
      </c>
      <c r="U28" s="23">
        <f t="shared" si="4"/>
        <v>0.16448499999999996</v>
      </c>
      <c r="V28" s="23">
        <f t="shared" si="5"/>
        <v>108221.26089999995</v>
      </c>
      <c r="W28" s="23">
        <f t="shared" si="6"/>
        <v>54.110630449999974</v>
      </c>
      <c r="X28" s="23">
        <f t="shared" si="7"/>
        <v>2.7055315224999987E-2</v>
      </c>
      <c r="Y28" s="23">
        <f t="shared" si="8"/>
        <v>54.083575134774975</v>
      </c>
      <c r="Z28" s="23">
        <f t="shared" si="9"/>
        <v>328.8055149999999</v>
      </c>
      <c r="AA28" s="23">
        <f t="shared" si="10"/>
        <v>328.8055149999999</v>
      </c>
      <c r="AF28" s="11">
        <f t="shared" si="11"/>
        <v>328.96999999999991</v>
      </c>
      <c r="AG28" s="22">
        <f t="shared" si="12"/>
        <v>1</v>
      </c>
      <c r="AH28" s="22">
        <f t="shared" si="13"/>
        <v>0.99999999999999978</v>
      </c>
      <c r="AI28" s="22">
        <f t="shared" si="14"/>
        <v>328.96999999999991</v>
      </c>
      <c r="AJ28" s="22">
        <f t="shared" si="19"/>
        <v>27207.399999999998</v>
      </c>
      <c r="AK28" s="22">
        <f t="shared" si="15"/>
        <v>1</v>
      </c>
      <c r="AL28" s="22">
        <f t="shared" si="16"/>
        <v>0</v>
      </c>
    </row>
    <row r="29" spans="1:38" x14ac:dyDescent="0.3">
      <c r="A29">
        <v>103.97</v>
      </c>
      <c r="B29">
        <v>1</v>
      </c>
      <c r="E29" s="3">
        <v>0.43</v>
      </c>
      <c r="F29">
        <v>1</v>
      </c>
      <c r="L29" s="20" t="s">
        <v>103</v>
      </c>
      <c r="M29" s="35"/>
      <c r="N29" s="35"/>
      <c r="O29" s="35"/>
      <c r="P29" s="35">
        <v>2000</v>
      </c>
      <c r="Q29" s="35">
        <v>1</v>
      </c>
      <c r="R29" s="35"/>
      <c r="S29" s="35">
        <v>2000</v>
      </c>
      <c r="T29" s="35"/>
      <c r="U29" s="35">
        <f t="shared" ref="U29:AA29" si="22">SUM(U3:U28)</f>
        <v>13.603700000000002</v>
      </c>
      <c r="V29" s="35">
        <f t="shared" si="22"/>
        <v>974754.58340000012</v>
      </c>
      <c r="W29" s="35">
        <f t="shared" si="22"/>
        <v>784.66766800000005</v>
      </c>
      <c r="X29" s="35">
        <f t="shared" si="22"/>
        <v>34.602087952699989</v>
      </c>
      <c r="Y29" s="35">
        <f t="shared" si="22"/>
        <v>750.06558004730005</v>
      </c>
      <c r="Z29" s="35">
        <f t="shared" si="22"/>
        <v>4347.1163000000006</v>
      </c>
      <c r="AA29" s="35">
        <f t="shared" si="22"/>
        <v>18349.69958</v>
      </c>
      <c r="AH29" s="51">
        <f>SUM(AH3:AH27)</f>
        <v>24.447000000000006</v>
      </c>
      <c r="AL29" s="51">
        <f>SUM(AL3:AL28)</f>
        <v>3.4168030682828934</v>
      </c>
    </row>
    <row r="30" spans="1:38" x14ac:dyDescent="0.3">
      <c r="A30">
        <v>97.53</v>
      </c>
      <c r="B30">
        <v>1</v>
      </c>
      <c r="E30" s="3">
        <v>0.44</v>
      </c>
      <c r="F30">
        <v>2</v>
      </c>
      <c r="AA30" s="53">
        <f>AA29/2000</f>
        <v>9.1748497899999997</v>
      </c>
    </row>
    <row r="31" spans="1:38" x14ac:dyDescent="0.3">
      <c r="A31">
        <v>95.38</v>
      </c>
      <c r="B31">
        <v>1</v>
      </c>
      <c r="E31" s="3">
        <v>0.45</v>
      </c>
      <c r="F31">
        <v>2</v>
      </c>
      <c r="AF31" s="52" t="s">
        <v>4777</v>
      </c>
      <c r="AG31" s="52">
        <f>AL29/AH29</f>
        <v>0.1397636956797518</v>
      </c>
      <c r="AH31" s="52"/>
      <c r="AI31" s="52"/>
      <c r="AJ31" s="52"/>
      <c r="AK31" s="52"/>
      <c r="AL31" s="52"/>
    </row>
    <row r="32" spans="1:38" x14ac:dyDescent="0.3">
      <c r="A32">
        <v>92.49</v>
      </c>
      <c r="B32">
        <v>1</v>
      </c>
      <c r="E32" s="3">
        <v>0.46</v>
      </c>
      <c r="F32">
        <v>1</v>
      </c>
    </row>
    <row r="33" spans="1:26" x14ac:dyDescent="0.3">
      <c r="A33">
        <v>90.49</v>
      </c>
      <c r="B33">
        <v>1</v>
      </c>
      <c r="E33" s="3">
        <v>0.47</v>
      </c>
      <c r="F33">
        <v>2</v>
      </c>
    </row>
    <row r="34" spans="1:26" x14ac:dyDescent="0.3">
      <c r="A34">
        <v>90.21</v>
      </c>
      <c r="B34">
        <v>1</v>
      </c>
      <c r="E34" s="3">
        <v>0.49</v>
      </c>
      <c r="F34">
        <v>2</v>
      </c>
      <c r="Q34" s="20" t="s">
        <v>4713</v>
      </c>
      <c r="R34" s="38" t="s">
        <v>4747</v>
      </c>
      <c r="S34" s="38" t="s">
        <v>4790</v>
      </c>
    </row>
    <row r="35" spans="1:26" x14ac:dyDescent="0.3">
      <c r="A35">
        <v>88.46</v>
      </c>
      <c r="B35">
        <v>1</v>
      </c>
      <c r="E35" s="3">
        <v>0.52</v>
      </c>
      <c r="F35">
        <v>1</v>
      </c>
      <c r="Q35" s="39">
        <v>0.8</v>
      </c>
      <c r="R35" s="22" t="str">
        <f t="shared" ref="R35:R45" si="23">IMLOG2(Q35)</f>
        <v>-0,321928094887362</v>
      </c>
      <c r="S35" s="22">
        <f>Q35*R35</f>
        <v>-0.2575424759098896</v>
      </c>
    </row>
    <row r="36" spans="1:26" x14ac:dyDescent="0.3">
      <c r="A36">
        <v>86.73</v>
      </c>
      <c r="B36">
        <v>1</v>
      </c>
      <c r="E36" s="3">
        <v>0.53</v>
      </c>
      <c r="F36">
        <v>2</v>
      </c>
      <c r="Q36" s="39">
        <v>0.1055</v>
      </c>
      <c r="R36" s="22" t="str">
        <f t="shared" si="23"/>
        <v>-3,2446850959549</v>
      </c>
      <c r="S36" s="22">
        <f t="shared" ref="S36:S60" si="24">Q36*R36</f>
        <v>-0.34231427762324196</v>
      </c>
    </row>
    <row r="37" spans="1:26" x14ac:dyDescent="0.3">
      <c r="A37">
        <v>86.39</v>
      </c>
      <c r="B37">
        <v>1</v>
      </c>
      <c r="E37" s="3">
        <v>0.54</v>
      </c>
      <c r="F37">
        <v>2</v>
      </c>
      <c r="I37" s="12" t="s">
        <v>4730</v>
      </c>
      <c r="J37" s="13"/>
      <c r="Q37" s="39">
        <v>3.3500000000000002E-2</v>
      </c>
      <c r="R37" s="22" t="str">
        <f t="shared" si="23"/>
        <v>-4,89969509420431</v>
      </c>
      <c r="S37" s="22">
        <f t="shared" si="24"/>
        <v>-0.16413978565584439</v>
      </c>
    </row>
    <row r="38" spans="1:26" x14ac:dyDescent="0.3">
      <c r="A38">
        <v>85.07</v>
      </c>
      <c r="B38">
        <v>1</v>
      </c>
      <c r="E38" s="3">
        <v>0.55000000000000004</v>
      </c>
      <c r="F38">
        <v>3</v>
      </c>
      <c r="I38" s="14" t="s">
        <v>4723</v>
      </c>
      <c r="J38" s="15">
        <f>U29</f>
        <v>13.603700000000002</v>
      </c>
      <c r="Q38" s="39">
        <v>1.9E-2</v>
      </c>
      <c r="R38" s="22" t="str">
        <f t="shared" si="23"/>
        <v>-5,7178567712185</v>
      </c>
      <c r="S38" s="22">
        <f t="shared" si="24"/>
        <v>-0.1086392786531515</v>
      </c>
    </row>
    <row r="39" spans="1:26" x14ac:dyDescent="0.3">
      <c r="A39">
        <v>84.18</v>
      </c>
      <c r="B39">
        <v>1</v>
      </c>
      <c r="E39" s="3">
        <v>0.56000000000000005</v>
      </c>
      <c r="F39">
        <v>1</v>
      </c>
      <c r="I39" s="14" t="s">
        <v>4724</v>
      </c>
      <c r="J39" s="15" t="s">
        <v>4725</v>
      </c>
      <c r="Q39" s="39">
        <v>1.2E-2</v>
      </c>
      <c r="R39" s="22" t="str">
        <f t="shared" si="23"/>
        <v>-6,38082178394093</v>
      </c>
      <c r="S39" s="22">
        <f t="shared" si="24"/>
        <v>-7.6569861407291162E-2</v>
      </c>
    </row>
    <row r="40" spans="1:26" x14ac:dyDescent="0.3">
      <c r="A40">
        <v>83.03</v>
      </c>
      <c r="B40">
        <v>1</v>
      </c>
      <c r="E40" s="3">
        <v>0.56999999999999995</v>
      </c>
      <c r="F40">
        <v>2</v>
      </c>
      <c r="I40" s="14" t="s">
        <v>4726</v>
      </c>
      <c r="J40" s="15">
        <f>HARMEAN(O3:O28)</f>
        <v>64.325614303556875</v>
      </c>
      <c r="Q40" s="39">
        <v>7.0000000000000001E-3</v>
      </c>
      <c r="R40" s="22" t="str">
        <f t="shared" si="23"/>
        <v>-7,15842936260448</v>
      </c>
      <c r="S40" s="22">
        <f t="shared" si="24"/>
        <v>-5.010900553823136E-2</v>
      </c>
      <c r="Z40">
        <f>AA30/U29</f>
        <v>0.67443782132802099</v>
      </c>
    </row>
    <row r="41" spans="1:26" x14ac:dyDescent="0.3">
      <c r="A41">
        <v>83.02</v>
      </c>
      <c r="B41">
        <v>1</v>
      </c>
      <c r="E41" s="3">
        <v>0.6</v>
      </c>
      <c r="F41">
        <v>3</v>
      </c>
      <c r="I41" s="14" t="s">
        <v>4727</v>
      </c>
      <c r="J41" s="15" t="s">
        <v>4816</v>
      </c>
      <c r="Q41" s="39">
        <v>7.0000000000000001E-3</v>
      </c>
      <c r="R41" s="22" t="str">
        <f t="shared" si="23"/>
        <v>-7,15842936260448</v>
      </c>
      <c r="S41" s="22">
        <f t="shared" si="24"/>
        <v>-5.010900553823136E-2</v>
      </c>
    </row>
    <row r="42" spans="1:26" x14ac:dyDescent="0.3">
      <c r="A42">
        <v>82.93</v>
      </c>
      <c r="B42">
        <v>1</v>
      </c>
      <c r="E42" s="3">
        <v>0.61</v>
      </c>
      <c r="F42">
        <v>2</v>
      </c>
      <c r="I42" s="14" t="s">
        <v>4729</v>
      </c>
      <c r="J42" s="15">
        <f>_xlfn.PERCENTILE.EXC(O3:O28,0.5)</f>
        <v>167.72000000000003</v>
      </c>
      <c r="Q42" s="39">
        <v>2E-3</v>
      </c>
      <c r="R42" s="22" t="str">
        <f t="shared" si="23"/>
        <v>-8,96578428466209</v>
      </c>
      <c r="S42" s="22">
        <f t="shared" si="24"/>
        <v>-1.793156856932418E-2</v>
      </c>
    </row>
    <row r="43" spans="1:26" x14ac:dyDescent="0.3">
      <c r="A43">
        <v>82.53</v>
      </c>
      <c r="B43">
        <v>1</v>
      </c>
      <c r="E43" s="3">
        <v>0.62</v>
      </c>
      <c r="F43">
        <v>2</v>
      </c>
      <c r="Q43" s="39">
        <v>2.5000000000000001E-3</v>
      </c>
      <c r="R43" s="22" t="str">
        <f t="shared" si="23"/>
        <v>-8,64385618977473</v>
      </c>
      <c r="S43" s="22">
        <f t="shared" si="24"/>
        <v>-2.1609640474436826E-2</v>
      </c>
    </row>
    <row r="44" spans="1:26" x14ac:dyDescent="0.3">
      <c r="A44">
        <v>82.29</v>
      </c>
      <c r="B44">
        <v>1</v>
      </c>
      <c r="E44" s="3">
        <v>0.63</v>
      </c>
      <c r="F44">
        <v>2</v>
      </c>
      <c r="Q44" s="39">
        <v>2.5000000000000001E-3</v>
      </c>
      <c r="R44" s="22" t="str">
        <f t="shared" si="23"/>
        <v>-8,64385618977473</v>
      </c>
      <c r="S44" s="22">
        <f t="shared" si="24"/>
        <v>-2.1609640474436826E-2</v>
      </c>
    </row>
    <row r="45" spans="1:26" x14ac:dyDescent="0.3">
      <c r="A45">
        <v>81.94</v>
      </c>
      <c r="B45">
        <v>1</v>
      </c>
      <c r="E45" s="3">
        <v>0.66</v>
      </c>
      <c r="F45">
        <v>2</v>
      </c>
      <c r="Q45" s="39">
        <v>1E-3</v>
      </c>
      <c r="R45" s="22" t="str">
        <f t="shared" si="23"/>
        <v>-9,96578428466209</v>
      </c>
      <c r="S45" s="22">
        <f t="shared" si="24"/>
        <v>-9.9657842846620909E-3</v>
      </c>
    </row>
    <row r="46" spans="1:26" x14ac:dyDescent="0.3">
      <c r="A46">
        <v>79.62</v>
      </c>
      <c r="B46">
        <v>1</v>
      </c>
      <c r="E46" s="3">
        <v>0.67</v>
      </c>
      <c r="F46">
        <v>1</v>
      </c>
      <c r="Q46" s="39">
        <v>0</v>
      </c>
      <c r="R46" s="22">
        <v>0</v>
      </c>
      <c r="S46" s="22">
        <f t="shared" si="24"/>
        <v>0</v>
      </c>
    </row>
    <row r="47" spans="1:26" x14ac:dyDescent="0.3">
      <c r="A47">
        <v>77.95</v>
      </c>
      <c r="B47">
        <v>1</v>
      </c>
      <c r="E47" s="3">
        <v>0.68</v>
      </c>
      <c r="F47">
        <v>3</v>
      </c>
      <c r="I47" s="12" t="s">
        <v>4817</v>
      </c>
      <c r="J47" s="12"/>
      <c r="Q47" s="39">
        <v>1.5E-3</v>
      </c>
      <c r="R47" s="22" t="str">
        <f>IMLOG2(Q47)</f>
        <v>-9,38082178394093</v>
      </c>
      <c r="S47" s="22">
        <f t="shared" si="24"/>
        <v>-1.4071232675911394E-2</v>
      </c>
    </row>
    <row r="48" spans="1:26" x14ac:dyDescent="0.3">
      <c r="A48">
        <v>76.84</v>
      </c>
      <c r="B48">
        <v>1</v>
      </c>
      <c r="E48" s="3">
        <v>0.69</v>
      </c>
      <c r="F48">
        <v>1</v>
      </c>
      <c r="I48" s="14" t="s">
        <v>4732</v>
      </c>
      <c r="J48" s="15">
        <f>_xlfn.PERCENTILE.EXC(O3:O28,0.25)</f>
        <v>80.64500000000001</v>
      </c>
      <c r="Q48" s="39">
        <v>2E-3</v>
      </c>
      <c r="R48" s="22" t="str">
        <f>IMLOG2(Q48)</f>
        <v>-8,96578428466209</v>
      </c>
      <c r="S48" s="22">
        <f t="shared" si="24"/>
        <v>-1.793156856932418E-2</v>
      </c>
    </row>
    <row r="49" spans="1:19" x14ac:dyDescent="0.3">
      <c r="A49">
        <v>76.13</v>
      </c>
      <c r="B49">
        <v>1</v>
      </c>
      <c r="E49" s="3">
        <v>0.71</v>
      </c>
      <c r="F49">
        <v>4</v>
      </c>
      <c r="I49" s="14" t="s">
        <v>4737</v>
      </c>
      <c r="J49" s="15">
        <f>_xlfn.PERCENTILE.EXC(O3:O28,0.5)</f>
        <v>167.72000000000003</v>
      </c>
      <c r="Q49" s="39">
        <v>0</v>
      </c>
      <c r="R49" s="22">
        <v>0</v>
      </c>
      <c r="S49" s="22">
        <f t="shared" si="24"/>
        <v>0</v>
      </c>
    </row>
    <row r="50" spans="1:19" x14ac:dyDescent="0.3">
      <c r="A50">
        <v>75.77</v>
      </c>
      <c r="B50">
        <v>1</v>
      </c>
      <c r="E50" s="3">
        <v>0.72</v>
      </c>
      <c r="F50">
        <v>2</v>
      </c>
      <c r="I50" s="14" t="s">
        <v>4733</v>
      </c>
      <c r="J50" s="15">
        <f>_xlfn.PERCENTILE.EXC(O3:O28,0.75)</f>
        <v>254.79500000000004</v>
      </c>
      <c r="Q50" s="39">
        <v>1E-3</v>
      </c>
      <c r="R50" s="22" t="str">
        <f>IMLOG2(Q50)</f>
        <v>-9,96578428466209</v>
      </c>
      <c r="S50" s="22">
        <f t="shared" si="24"/>
        <v>-9.9657842846620909E-3</v>
      </c>
    </row>
    <row r="51" spans="1:19" x14ac:dyDescent="0.3">
      <c r="A51">
        <v>73</v>
      </c>
      <c r="B51">
        <v>1</v>
      </c>
      <c r="E51" s="3">
        <v>0.73</v>
      </c>
      <c r="F51">
        <v>2</v>
      </c>
      <c r="I51" s="14" t="s">
        <v>4734</v>
      </c>
      <c r="J51" s="15">
        <f>_xlfn.PERCENTILE.EXC(O3:O28,0.3)</f>
        <v>98.06</v>
      </c>
      <c r="Q51" s="39">
        <v>0</v>
      </c>
      <c r="R51" s="22">
        <v>0</v>
      </c>
      <c r="S51" s="22">
        <f t="shared" si="24"/>
        <v>0</v>
      </c>
    </row>
    <row r="52" spans="1:19" x14ac:dyDescent="0.3">
      <c r="A52">
        <v>72.72</v>
      </c>
      <c r="B52">
        <v>1</v>
      </c>
      <c r="E52" s="3">
        <v>0.74</v>
      </c>
      <c r="F52">
        <v>1</v>
      </c>
      <c r="I52" s="14" t="s">
        <v>4735</v>
      </c>
      <c r="J52" s="15">
        <f>_xlfn.PERCENTILE.EXC(O3:O28,0.7)</f>
        <v>237.38000000000005</v>
      </c>
      <c r="Q52" s="39">
        <v>0</v>
      </c>
      <c r="R52" s="22">
        <v>0</v>
      </c>
      <c r="S52" s="22">
        <f t="shared" si="24"/>
        <v>0</v>
      </c>
    </row>
    <row r="53" spans="1:19" x14ac:dyDescent="0.3">
      <c r="A53">
        <v>72.19</v>
      </c>
      <c r="B53">
        <v>1</v>
      </c>
      <c r="E53" s="3">
        <v>0.75</v>
      </c>
      <c r="F53">
        <v>1</v>
      </c>
      <c r="I53" s="14" t="s">
        <v>4736</v>
      </c>
      <c r="J53" s="15">
        <f>_xlfn.PERCENTILE.EXC(O3:O28,0.9)</f>
        <v>307.03999999999996</v>
      </c>
      <c r="Q53" s="39">
        <v>5.0000000000000001E-4</v>
      </c>
      <c r="R53" s="22" t="str">
        <f>IMLOG2(Q53)</f>
        <v>-10,9657842846621</v>
      </c>
      <c r="S53" s="22">
        <f>Q53*R53</f>
        <v>-5.4828921423310502E-3</v>
      </c>
    </row>
    <row r="54" spans="1:19" x14ac:dyDescent="0.3">
      <c r="A54">
        <v>72.09</v>
      </c>
      <c r="B54">
        <v>1</v>
      </c>
      <c r="E54" s="3">
        <v>0.76</v>
      </c>
      <c r="F54">
        <v>2</v>
      </c>
      <c r="Q54" s="39">
        <v>1E-3</v>
      </c>
      <c r="R54" s="22" t="str">
        <f>IMLOG2(Q54)</f>
        <v>-9,96578428466209</v>
      </c>
      <c r="S54" s="22">
        <f t="shared" si="24"/>
        <v>-9.9657842846620909E-3</v>
      </c>
    </row>
    <row r="55" spans="1:19" x14ac:dyDescent="0.3">
      <c r="A55">
        <v>70.2</v>
      </c>
      <c r="B55">
        <v>1</v>
      </c>
      <c r="E55" s="3">
        <v>0.77</v>
      </c>
      <c r="F55">
        <v>1</v>
      </c>
      <c r="Q55" s="39">
        <v>0</v>
      </c>
      <c r="R55" s="22">
        <v>0</v>
      </c>
      <c r="S55" s="22">
        <f t="shared" si="24"/>
        <v>0</v>
      </c>
    </row>
    <row r="56" spans="1:19" x14ac:dyDescent="0.3">
      <c r="A56">
        <v>69.27</v>
      </c>
      <c r="B56">
        <v>1</v>
      </c>
      <c r="E56" s="3">
        <v>0.78</v>
      </c>
      <c r="F56">
        <v>2</v>
      </c>
      <c r="Q56" s="39">
        <v>5.0000000000000001E-4</v>
      </c>
      <c r="R56" s="22" t="str">
        <f>IMLOG2(Q56)</f>
        <v>-10,9657842846621</v>
      </c>
      <c r="S56" s="22">
        <f t="shared" si="24"/>
        <v>-5.4828921423310502E-3</v>
      </c>
    </row>
    <row r="57" spans="1:19" x14ac:dyDescent="0.3">
      <c r="A57">
        <v>68.89</v>
      </c>
      <c r="B57">
        <v>1</v>
      </c>
      <c r="E57" s="3">
        <v>0.79</v>
      </c>
      <c r="F57">
        <v>4</v>
      </c>
      <c r="J57" s="13" t="s">
        <v>4743</v>
      </c>
      <c r="K57" s="13"/>
      <c r="Q57" s="39">
        <v>1E-3</v>
      </c>
      <c r="R57" s="22" t="str">
        <f>IMLOG2(Q57)</f>
        <v>-9,96578428466209</v>
      </c>
      <c r="S57" s="22">
        <f t="shared" si="24"/>
        <v>-9.9657842846620909E-3</v>
      </c>
    </row>
    <row r="58" spans="1:19" x14ac:dyDescent="0.3">
      <c r="A58">
        <v>68.66</v>
      </c>
      <c r="B58">
        <v>1</v>
      </c>
      <c r="E58" s="3">
        <v>0.81</v>
      </c>
      <c r="F58">
        <v>1</v>
      </c>
      <c r="J58" s="14" t="s">
        <v>4738</v>
      </c>
      <c r="K58" s="15">
        <f>I4-I3</f>
        <v>328.50000000000006</v>
      </c>
      <c r="Q58" s="39">
        <v>0</v>
      </c>
      <c r="R58" s="22">
        <v>0</v>
      </c>
      <c r="S58" s="22">
        <f t="shared" si="24"/>
        <v>0</v>
      </c>
    </row>
    <row r="59" spans="1:19" x14ac:dyDescent="0.3">
      <c r="A59">
        <v>67.3</v>
      </c>
      <c r="B59">
        <v>1</v>
      </c>
      <c r="E59" s="3">
        <v>0.82</v>
      </c>
      <c r="F59">
        <v>2</v>
      </c>
      <c r="J59" s="14" t="s">
        <v>4739</v>
      </c>
      <c r="K59" s="15">
        <f>Y29</f>
        <v>750.06558004730005</v>
      </c>
      <c r="Q59" s="39">
        <v>0</v>
      </c>
      <c r="R59" s="22">
        <v>0</v>
      </c>
      <c r="S59" s="22">
        <f t="shared" si="24"/>
        <v>0</v>
      </c>
    </row>
    <row r="60" spans="1:19" x14ac:dyDescent="0.3">
      <c r="A60">
        <v>67.08</v>
      </c>
      <c r="B60">
        <v>1</v>
      </c>
      <c r="E60" s="3">
        <v>0.83</v>
      </c>
      <c r="F60">
        <v>1</v>
      </c>
      <c r="J60" s="14" t="s">
        <v>4740</v>
      </c>
      <c r="K60" s="15">
        <f>SQRT(K59)</f>
        <v>27.387325171460247</v>
      </c>
      <c r="Q60" s="39">
        <v>5.0000000000000001E-4</v>
      </c>
      <c r="R60" s="22" t="str">
        <f>IMLOG2(Q60)</f>
        <v>-10,9657842846621</v>
      </c>
      <c r="S60" s="22">
        <f t="shared" si="24"/>
        <v>-5.4828921423310502E-3</v>
      </c>
    </row>
    <row r="61" spans="1:19" x14ac:dyDescent="0.3">
      <c r="A61">
        <v>64.81</v>
      </c>
      <c r="B61">
        <v>1</v>
      </c>
      <c r="E61" s="3">
        <v>0.84</v>
      </c>
      <c r="F61">
        <v>1</v>
      </c>
      <c r="J61" s="14" t="s">
        <v>4741</v>
      </c>
      <c r="K61" s="15">
        <f>K60/K63</f>
        <v>2.0132261937164335</v>
      </c>
      <c r="P61" s="38" t="s">
        <v>103</v>
      </c>
      <c r="Q61" s="38">
        <v>1</v>
      </c>
      <c r="R61" s="38">
        <f>R60+R57+R56+R54+R53+R50+R48+R47+R45+R44+R43+R42+R41+R40+R39+R38+R37+R36+R35</f>
        <v>-152.24243829086421</v>
      </c>
      <c r="S61" s="38">
        <f>SUM(S35:S60)</f>
        <v>-1.1988891546549565</v>
      </c>
    </row>
    <row r="62" spans="1:19" x14ac:dyDescent="0.3">
      <c r="A62">
        <v>64.36</v>
      </c>
      <c r="B62">
        <v>1</v>
      </c>
      <c r="E62" s="3">
        <v>0.87</v>
      </c>
      <c r="F62">
        <v>1</v>
      </c>
      <c r="J62" s="14" t="s">
        <v>4742</v>
      </c>
      <c r="K62" s="15">
        <f>J50-J48</f>
        <v>174.15000000000003</v>
      </c>
      <c r="P62" s="57" t="s">
        <v>4791</v>
      </c>
      <c r="Q62" s="57"/>
      <c r="R62" s="57"/>
      <c r="S62" s="57"/>
    </row>
    <row r="63" spans="1:19" x14ac:dyDescent="0.3">
      <c r="A63">
        <v>62.98</v>
      </c>
      <c r="B63">
        <v>1</v>
      </c>
      <c r="E63" s="3">
        <v>0.88</v>
      </c>
      <c r="F63">
        <v>3</v>
      </c>
      <c r="J63" s="14" t="s">
        <v>232</v>
      </c>
      <c r="K63" s="15">
        <f>J38</f>
        <v>13.603700000000002</v>
      </c>
    </row>
    <row r="64" spans="1:19" x14ac:dyDescent="0.3">
      <c r="A64">
        <v>62.48</v>
      </c>
      <c r="B64">
        <v>1</v>
      </c>
      <c r="E64" s="3">
        <v>0.89</v>
      </c>
      <c r="F64">
        <v>1</v>
      </c>
      <c r="J64" s="14" t="s">
        <v>4763</v>
      </c>
      <c r="K64" s="15">
        <f>AA29/2000</f>
        <v>9.1748497899999997</v>
      </c>
    </row>
    <row r="65" spans="1:14" x14ac:dyDescent="0.3">
      <c r="A65">
        <v>62.35</v>
      </c>
      <c r="B65">
        <v>1</v>
      </c>
      <c r="E65" s="3">
        <v>0.9</v>
      </c>
      <c r="F65">
        <v>1</v>
      </c>
      <c r="J65" s="14" t="s">
        <v>4765</v>
      </c>
      <c r="K65" s="15">
        <f>1.198889155</f>
        <v>1.198889155</v>
      </c>
    </row>
    <row r="66" spans="1:14" x14ac:dyDescent="0.3">
      <c r="A66">
        <v>61.33</v>
      </c>
      <c r="B66">
        <v>1</v>
      </c>
      <c r="E66" s="3">
        <v>0.91</v>
      </c>
      <c r="F66">
        <v>2</v>
      </c>
    </row>
    <row r="67" spans="1:14" x14ac:dyDescent="0.3">
      <c r="A67">
        <v>59.29</v>
      </c>
      <c r="B67">
        <v>1</v>
      </c>
      <c r="E67" s="3">
        <v>0.92</v>
      </c>
      <c r="F67">
        <v>1</v>
      </c>
    </row>
    <row r="68" spans="1:14" x14ac:dyDescent="0.3">
      <c r="A68">
        <v>58.41</v>
      </c>
      <c r="B68">
        <v>1</v>
      </c>
      <c r="E68" s="3">
        <v>0.93</v>
      </c>
      <c r="F68">
        <v>2</v>
      </c>
      <c r="N68" t="s">
        <v>4745</v>
      </c>
    </row>
    <row r="69" spans="1:14" x14ac:dyDescent="0.3">
      <c r="A69">
        <v>58.38</v>
      </c>
      <c r="B69">
        <v>1</v>
      </c>
      <c r="E69" s="3">
        <v>0.94</v>
      </c>
      <c r="F69">
        <v>3</v>
      </c>
      <c r="J69" t="s">
        <v>4818</v>
      </c>
    </row>
    <row r="70" spans="1:14" x14ac:dyDescent="0.3">
      <c r="A70">
        <v>57.52</v>
      </c>
      <c r="B70">
        <v>1</v>
      </c>
      <c r="E70" s="3">
        <v>0.95</v>
      </c>
      <c r="F70">
        <v>1</v>
      </c>
    </row>
    <row r="71" spans="1:14" x14ac:dyDescent="0.3">
      <c r="A71">
        <v>57.43</v>
      </c>
      <c r="B71">
        <v>1</v>
      </c>
      <c r="E71" s="3">
        <v>0.96</v>
      </c>
      <c r="F71">
        <v>2</v>
      </c>
      <c r="J71">
        <f>SKEW(O3:O28)</f>
        <v>-2.3092638912203257E-15</v>
      </c>
      <c r="N71">
        <f>KURT(O3:O28)</f>
        <v>-1.2000000000000011</v>
      </c>
    </row>
    <row r="72" spans="1:14" x14ac:dyDescent="0.3">
      <c r="A72">
        <v>57.38</v>
      </c>
      <c r="B72">
        <v>1</v>
      </c>
      <c r="E72" s="3">
        <v>0.97</v>
      </c>
      <c r="F72">
        <v>4</v>
      </c>
    </row>
    <row r="73" spans="1:14" x14ac:dyDescent="0.3">
      <c r="A73">
        <v>56.78</v>
      </c>
      <c r="B73">
        <v>1</v>
      </c>
      <c r="E73" s="3">
        <v>0.98</v>
      </c>
      <c r="F73">
        <v>1</v>
      </c>
      <c r="L73">
        <f>1.5*K62</f>
        <v>261.22500000000002</v>
      </c>
    </row>
    <row r="74" spans="1:14" x14ac:dyDescent="0.3">
      <c r="A74">
        <v>56.46</v>
      </c>
      <c r="B74">
        <v>1</v>
      </c>
      <c r="E74" s="3">
        <v>0.99</v>
      </c>
      <c r="F74">
        <v>1</v>
      </c>
    </row>
    <row r="75" spans="1:14" x14ac:dyDescent="0.3">
      <c r="A75">
        <v>56.35</v>
      </c>
      <c r="B75">
        <v>1</v>
      </c>
      <c r="E75" s="3">
        <v>1</v>
      </c>
      <c r="F75">
        <v>2</v>
      </c>
    </row>
    <row r="76" spans="1:14" x14ac:dyDescent="0.3">
      <c r="A76">
        <v>56.05</v>
      </c>
      <c r="B76">
        <v>1</v>
      </c>
      <c r="E76" s="3">
        <v>1.01</v>
      </c>
      <c r="F76">
        <v>2</v>
      </c>
    </row>
    <row r="77" spans="1:14" x14ac:dyDescent="0.3">
      <c r="A77">
        <v>55.43</v>
      </c>
      <c r="B77">
        <v>1</v>
      </c>
      <c r="E77" s="3">
        <v>1.02</v>
      </c>
      <c r="F77">
        <v>1</v>
      </c>
      <c r="L77" s="29" t="s">
        <v>4767</v>
      </c>
      <c r="M77" s="26">
        <f>1.5*K62</f>
        <v>261.22500000000002</v>
      </c>
    </row>
    <row r="78" spans="1:14" x14ac:dyDescent="0.3">
      <c r="A78">
        <v>55.06</v>
      </c>
      <c r="B78">
        <v>1</v>
      </c>
      <c r="E78" s="3">
        <v>1.03</v>
      </c>
      <c r="F78">
        <v>2</v>
      </c>
      <c r="L78" s="29" t="s">
        <v>4769</v>
      </c>
      <c r="M78" s="26">
        <f>J48-L73</f>
        <v>-180.58</v>
      </c>
    </row>
    <row r="79" spans="1:14" x14ac:dyDescent="0.3">
      <c r="A79">
        <v>54.59</v>
      </c>
      <c r="B79">
        <v>1</v>
      </c>
      <c r="E79" s="3">
        <v>1.04</v>
      </c>
      <c r="F79">
        <v>2</v>
      </c>
      <c r="L79" s="29" t="s">
        <v>4768</v>
      </c>
      <c r="M79" s="26">
        <f>J50+M77</f>
        <v>516.0200000000001</v>
      </c>
    </row>
    <row r="80" spans="1:14" x14ac:dyDescent="0.3">
      <c r="A80">
        <v>54.1</v>
      </c>
      <c r="B80">
        <v>1</v>
      </c>
      <c r="E80" s="3">
        <v>1.06</v>
      </c>
      <c r="F80">
        <v>1</v>
      </c>
    </row>
    <row r="81" spans="1:6" x14ac:dyDescent="0.3">
      <c r="A81">
        <v>54.08</v>
      </c>
      <c r="B81">
        <v>1</v>
      </c>
      <c r="E81" s="3">
        <v>1.07</v>
      </c>
      <c r="F81">
        <v>2</v>
      </c>
    </row>
    <row r="82" spans="1:6" x14ac:dyDescent="0.3">
      <c r="A82">
        <v>53.25</v>
      </c>
      <c r="B82">
        <v>1</v>
      </c>
      <c r="E82" s="3">
        <v>1.08</v>
      </c>
      <c r="F82">
        <v>5</v>
      </c>
    </row>
    <row r="83" spans="1:6" x14ac:dyDescent="0.3">
      <c r="A83">
        <v>52.88</v>
      </c>
      <c r="B83">
        <v>1</v>
      </c>
      <c r="E83" s="3">
        <v>1.0900000000000001</v>
      </c>
      <c r="F83">
        <v>1</v>
      </c>
    </row>
    <row r="84" spans="1:6" x14ac:dyDescent="0.3">
      <c r="A84">
        <v>52.87</v>
      </c>
      <c r="B84">
        <v>1</v>
      </c>
      <c r="E84" s="3">
        <v>1.1200000000000001</v>
      </c>
      <c r="F84">
        <v>2</v>
      </c>
    </row>
    <row r="85" spans="1:6" x14ac:dyDescent="0.3">
      <c r="A85">
        <v>51.88</v>
      </c>
      <c r="B85">
        <v>1</v>
      </c>
      <c r="E85" s="3">
        <v>1.1299999999999999</v>
      </c>
      <c r="F85">
        <v>1</v>
      </c>
    </row>
    <row r="86" spans="1:6" x14ac:dyDescent="0.3">
      <c r="A86">
        <v>50.23</v>
      </c>
      <c r="B86">
        <v>1</v>
      </c>
      <c r="E86" s="3">
        <v>1.1399999999999999</v>
      </c>
      <c r="F86">
        <v>3</v>
      </c>
    </row>
    <row r="87" spans="1:6" x14ac:dyDescent="0.3">
      <c r="A87">
        <v>50.12</v>
      </c>
      <c r="B87">
        <v>1</v>
      </c>
      <c r="E87" s="3">
        <v>1.1499999999999999</v>
      </c>
      <c r="F87">
        <v>1</v>
      </c>
    </row>
    <row r="88" spans="1:6" x14ac:dyDescent="0.3">
      <c r="A88">
        <v>50.09</v>
      </c>
      <c r="B88">
        <v>1</v>
      </c>
      <c r="E88" s="3">
        <v>1.1599999999999999</v>
      </c>
      <c r="F88">
        <v>1</v>
      </c>
    </row>
    <row r="89" spans="1:6" x14ac:dyDescent="0.3">
      <c r="A89">
        <v>49.92</v>
      </c>
      <c r="B89">
        <v>1</v>
      </c>
      <c r="E89" s="3">
        <v>1.17</v>
      </c>
      <c r="F89">
        <v>4</v>
      </c>
    </row>
    <row r="90" spans="1:6" x14ac:dyDescent="0.3">
      <c r="A90">
        <v>48.77</v>
      </c>
      <c r="B90">
        <v>1</v>
      </c>
      <c r="E90" s="3">
        <v>1.18</v>
      </c>
      <c r="F90">
        <v>1</v>
      </c>
    </row>
    <row r="91" spans="1:6" x14ac:dyDescent="0.3">
      <c r="A91">
        <v>48.11</v>
      </c>
      <c r="B91">
        <v>1</v>
      </c>
      <c r="E91" s="3">
        <v>1.19</v>
      </c>
      <c r="F91">
        <v>3</v>
      </c>
    </row>
    <row r="92" spans="1:6" x14ac:dyDescent="0.3">
      <c r="A92">
        <v>48.07</v>
      </c>
      <c r="B92">
        <v>1</v>
      </c>
      <c r="E92" s="3">
        <v>1.21</v>
      </c>
      <c r="F92">
        <v>3</v>
      </c>
    </row>
    <row r="93" spans="1:6" x14ac:dyDescent="0.3">
      <c r="A93">
        <v>47.43</v>
      </c>
      <c r="B93">
        <v>1</v>
      </c>
      <c r="E93" s="3">
        <v>1.22</v>
      </c>
      <c r="F93">
        <v>4</v>
      </c>
    </row>
    <row r="94" spans="1:6" x14ac:dyDescent="0.3">
      <c r="A94">
        <v>47.19</v>
      </c>
      <c r="B94">
        <v>1</v>
      </c>
      <c r="E94" s="3">
        <v>1.24</v>
      </c>
      <c r="F94">
        <v>2</v>
      </c>
    </row>
    <row r="95" spans="1:6" x14ac:dyDescent="0.3">
      <c r="A95">
        <v>47.18</v>
      </c>
      <c r="B95">
        <v>1</v>
      </c>
      <c r="E95" s="3">
        <v>1.26</v>
      </c>
      <c r="F95">
        <v>4</v>
      </c>
    </row>
    <row r="96" spans="1:6" x14ac:dyDescent="0.3">
      <c r="A96">
        <v>46.84</v>
      </c>
      <c r="B96">
        <v>1</v>
      </c>
      <c r="E96" s="3">
        <v>1.28</v>
      </c>
      <c r="F96">
        <v>3</v>
      </c>
    </row>
    <row r="97" spans="1:6" x14ac:dyDescent="0.3">
      <c r="A97">
        <v>46.72</v>
      </c>
      <c r="B97">
        <v>1</v>
      </c>
      <c r="E97" s="3">
        <v>1.31</v>
      </c>
      <c r="F97">
        <v>3</v>
      </c>
    </row>
    <row r="98" spans="1:6" x14ac:dyDescent="0.3">
      <c r="A98">
        <v>46.57</v>
      </c>
      <c r="B98">
        <v>1</v>
      </c>
      <c r="E98" s="3">
        <v>1.32</v>
      </c>
      <c r="F98">
        <v>5</v>
      </c>
    </row>
    <row r="99" spans="1:6" x14ac:dyDescent="0.3">
      <c r="A99">
        <v>46.45</v>
      </c>
      <c r="B99">
        <v>1</v>
      </c>
      <c r="E99" s="3">
        <v>1.33</v>
      </c>
      <c r="F99">
        <v>1</v>
      </c>
    </row>
    <row r="100" spans="1:6" x14ac:dyDescent="0.3">
      <c r="A100">
        <v>45.29</v>
      </c>
      <c r="B100">
        <v>1</v>
      </c>
      <c r="E100" s="3">
        <v>1.34</v>
      </c>
      <c r="F100">
        <v>7</v>
      </c>
    </row>
    <row r="101" spans="1:6" x14ac:dyDescent="0.3">
      <c r="A101">
        <v>44.67</v>
      </c>
      <c r="B101">
        <v>1</v>
      </c>
      <c r="E101" s="3">
        <v>1.35</v>
      </c>
      <c r="F101">
        <v>3</v>
      </c>
    </row>
    <row r="102" spans="1:6" x14ac:dyDescent="0.3">
      <c r="A102">
        <v>44.32</v>
      </c>
      <c r="B102">
        <v>1</v>
      </c>
      <c r="E102" s="3">
        <v>1.36</v>
      </c>
      <c r="F102">
        <v>2</v>
      </c>
    </row>
    <row r="103" spans="1:6" x14ac:dyDescent="0.3">
      <c r="A103">
        <v>44.31</v>
      </c>
      <c r="B103">
        <v>1</v>
      </c>
      <c r="E103" s="3">
        <v>1.37</v>
      </c>
      <c r="F103">
        <v>2</v>
      </c>
    </row>
    <row r="104" spans="1:6" x14ac:dyDescent="0.3">
      <c r="A104">
        <v>44.25</v>
      </c>
      <c r="B104">
        <v>1</v>
      </c>
      <c r="E104" s="3">
        <v>1.39</v>
      </c>
      <c r="F104">
        <v>1</v>
      </c>
    </row>
    <row r="105" spans="1:6" x14ac:dyDescent="0.3">
      <c r="A105">
        <v>44.13</v>
      </c>
      <c r="B105">
        <v>1</v>
      </c>
      <c r="E105" s="3">
        <v>1.4</v>
      </c>
      <c r="F105">
        <v>1</v>
      </c>
    </row>
    <row r="106" spans="1:6" x14ac:dyDescent="0.3">
      <c r="A106">
        <v>44.06</v>
      </c>
      <c r="B106">
        <v>1</v>
      </c>
      <c r="E106" s="3">
        <v>1.42</v>
      </c>
      <c r="F106">
        <v>5</v>
      </c>
    </row>
    <row r="107" spans="1:6" x14ac:dyDescent="0.3">
      <c r="A107">
        <v>43.96</v>
      </c>
      <c r="B107">
        <v>1</v>
      </c>
      <c r="E107" s="3">
        <v>1.43</v>
      </c>
      <c r="F107">
        <v>2</v>
      </c>
    </row>
    <row r="108" spans="1:6" x14ac:dyDescent="0.3">
      <c r="A108">
        <v>43.52</v>
      </c>
      <c r="B108">
        <v>1</v>
      </c>
      <c r="E108" s="3">
        <v>1.44</v>
      </c>
      <c r="F108">
        <v>4</v>
      </c>
    </row>
    <row r="109" spans="1:6" x14ac:dyDescent="0.3">
      <c r="A109">
        <v>42.84</v>
      </c>
      <c r="B109">
        <v>1</v>
      </c>
      <c r="E109" s="3">
        <v>1.46</v>
      </c>
      <c r="F109">
        <v>2</v>
      </c>
    </row>
    <row r="110" spans="1:6" x14ac:dyDescent="0.3">
      <c r="A110">
        <v>42.34</v>
      </c>
      <c r="B110">
        <v>1</v>
      </c>
      <c r="E110" s="3">
        <v>1.47</v>
      </c>
      <c r="F110">
        <v>5</v>
      </c>
    </row>
    <row r="111" spans="1:6" x14ac:dyDescent="0.3">
      <c r="A111">
        <v>41.71</v>
      </c>
      <c r="B111">
        <v>1</v>
      </c>
      <c r="E111" s="3">
        <v>1.48</v>
      </c>
      <c r="F111">
        <v>1</v>
      </c>
    </row>
    <row r="112" spans="1:6" x14ac:dyDescent="0.3">
      <c r="A112">
        <v>41.58</v>
      </c>
      <c r="B112">
        <v>1</v>
      </c>
      <c r="E112" s="3">
        <v>1.49</v>
      </c>
      <c r="F112">
        <v>2</v>
      </c>
    </row>
    <row r="113" spans="1:6" x14ac:dyDescent="0.3">
      <c r="A113">
        <v>41.39</v>
      </c>
      <c r="B113">
        <v>1</v>
      </c>
      <c r="E113" s="3">
        <v>1.5</v>
      </c>
      <c r="F113">
        <v>3</v>
      </c>
    </row>
    <row r="114" spans="1:6" x14ac:dyDescent="0.3">
      <c r="A114">
        <v>41.3</v>
      </c>
      <c r="B114">
        <v>1</v>
      </c>
      <c r="E114" s="3">
        <v>1.51</v>
      </c>
      <c r="F114">
        <v>3</v>
      </c>
    </row>
    <row r="115" spans="1:6" x14ac:dyDescent="0.3">
      <c r="A115">
        <v>40.61</v>
      </c>
      <c r="B115">
        <v>1</v>
      </c>
      <c r="E115" s="3">
        <v>1.52</v>
      </c>
      <c r="F115">
        <v>3</v>
      </c>
    </row>
    <row r="116" spans="1:6" x14ac:dyDescent="0.3">
      <c r="A116">
        <v>40.61</v>
      </c>
      <c r="B116">
        <v>1</v>
      </c>
      <c r="E116" s="3">
        <v>1.53</v>
      </c>
      <c r="F116">
        <v>6</v>
      </c>
    </row>
    <row r="117" spans="1:6" x14ac:dyDescent="0.3">
      <c r="A117">
        <v>40.08</v>
      </c>
      <c r="B117">
        <v>1</v>
      </c>
      <c r="E117" s="3">
        <v>1.54</v>
      </c>
      <c r="F117">
        <v>2</v>
      </c>
    </row>
    <row r="118" spans="1:6" x14ac:dyDescent="0.3">
      <c r="A118">
        <v>39.85</v>
      </c>
      <c r="B118">
        <v>1</v>
      </c>
      <c r="E118" s="3">
        <v>1.55</v>
      </c>
      <c r="F118">
        <v>3</v>
      </c>
    </row>
    <row r="119" spans="1:6" x14ac:dyDescent="0.3">
      <c r="A119">
        <v>39.81</v>
      </c>
      <c r="B119">
        <v>1</v>
      </c>
      <c r="E119" s="3">
        <v>1.56</v>
      </c>
      <c r="F119">
        <v>1</v>
      </c>
    </row>
    <row r="120" spans="1:6" x14ac:dyDescent="0.3">
      <c r="A120">
        <v>39.69</v>
      </c>
      <c r="B120">
        <v>1</v>
      </c>
      <c r="E120" s="3">
        <v>1.57</v>
      </c>
      <c r="F120">
        <v>3</v>
      </c>
    </row>
    <row r="121" spans="1:6" x14ac:dyDescent="0.3">
      <c r="A121">
        <v>39.29</v>
      </c>
      <c r="B121">
        <v>1</v>
      </c>
      <c r="E121" s="3">
        <v>1.6</v>
      </c>
      <c r="F121">
        <v>3</v>
      </c>
    </row>
    <row r="122" spans="1:6" x14ac:dyDescent="0.3">
      <c r="A122">
        <v>39.11</v>
      </c>
      <c r="B122">
        <v>1</v>
      </c>
      <c r="E122" s="3">
        <v>1.61</v>
      </c>
      <c r="F122">
        <v>2</v>
      </c>
    </row>
    <row r="123" spans="1:6" x14ac:dyDescent="0.3">
      <c r="A123">
        <v>38.799999999999997</v>
      </c>
      <c r="B123">
        <v>1</v>
      </c>
      <c r="E123" s="3">
        <v>1.62</v>
      </c>
      <c r="F123">
        <v>2</v>
      </c>
    </row>
    <row r="124" spans="1:6" x14ac:dyDescent="0.3">
      <c r="A124">
        <v>38</v>
      </c>
      <c r="B124">
        <v>1</v>
      </c>
      <c r="E124" s="3">
        <v>1.63</v>
      </c>
      <c r="F124">
        <v>1</v>
      </c>
    </row>
    <row r="125" spans="1:6" x14ac:dyDescent="0.3">
      <c r="A125">
        <v>37.96</v>
      </c>
      <c r="B125">
        <v>1</v>
      </c>
      <c r="E125" s="3">
        <v>1.65</v>
      </c>
      <c r="F125">
        <v>3</v>
      </c>
    </row>
    <row r="126" spans="1:6" x14ac:dyDescent="0.3">
      <c r="A126">
        <v>37.96</v>
      </c>
      <c r="B126">
        <v>1</v>
      </c>
      <c r="E126" s="3">
        <v>1.66</v>
      </c>
      <c r="F126">
        <v>2</v>
      </c>
    </row>
    <row r="127" spans="1:6" x14ac:dyDescent="0.3">
      <c r="A127">
        <v>37.67</v>
      </c>
      <c r="B127">
        <v>1</v>
      </c>
      <c r="E127" s="3">
        <v>1.67</v>
      </c>
      <c r="F127">
        <v>4</v>
      </c>
    </row>
    <row r="128" spans="1:6" x14ac:dyDescent="0.3">
      <c r="A128">
        <v>37.520000000000003</v>
      </c>
      <c r="B128">
        <v>1</v>
      </c>
      <c r="E128" s="3">
        <v>1.69</v>
      </c>
      <c r="F128">
        <v>2</v>
      </c>
    </row>
    <row r="129" spans="1:6" x14ac:dyDescent="0.3">
      <c r="A129">
        <v>37.49</v>
      </c>
      <c r="B129">
        <v>1</v>
      </c>
      <c r="E129" s="3">
        <v>1.7</v>
      </c>
      <c r="F129">
        <v>4</v>
      </c>
    </row>
    <row r="130" spans="1:6" x14ac:dyDescent="0.3">
      <c r="A130">
        <v>37.479999999999997</v>
      </c>
      <c r="B130">
        <v>1</v>
      </c>
      <c r="E130" s="3">
        <v>1.71</v>
      </c>
      <c r="F130">
        <v>2</v>
      </c>
    </row>
    <row r="131" spans="1:6" x14ac:dyDescent="0.3">
      <c r="A131">
        <v>37.19</v>
      </c>
      <c r="B131">
        <v>1</v>
      </c>
      <c r="E131" s="3">
        <v>1.72</v>
      </c>
      <c r="F131">
        <v>1</v>
      </c>
    </row>
    <row r="132" spans="1:6" x14ac:dyDescent="0.3">
      <c r="A132">
        <v>36.61</v>
      </c>
      <c r="B132">
        <v>1</v>
      </c>
      <c r="E132" s="3">
        <v>1.73</v>
      </c>
      <c r="F132">
        <v>3</v>
      </c>
    </row>
    <row r="133" spans="1:6" x14ac:dyDescent="0.3">
      <c r="A133">
        <v>36.51</v>
      </c>
      <c r="B133">
        <v>1</v>
      </c>
      <c r="E133" s="3">
        <v>1.74</v>
      </c>
      <c r="F133">
        <v>3</v>
      </c>
    </row>
    <row r="134" spans="1:6" x14ac:dyDescent="0.3">
      <c r="A134">
        <v>36.28</v>
      </c>
      <c r="B134">
        <v>1</v>
      </c>
      <c r="E134" s="3">
        <v>1.75</v>
      </c>
      <c r="F134">
        <v>1</v>
      </c>
    </row>
    <row r="135" spans="1:6" x14ac:dyDescent="0.3">
      <c r="A135">
        <v>35.71</v>
      </c>
      <c r="B135">
        <v>1</v>
      </c>
      <c r="E135" s="3">
        <v>1.76</v>
      </c>
      <c r="F135">
        <v>3</v>
      </c>
    </row>
    <row r="136" spans="1:6" x14ac:dyDescent="0.3">
      <c r="A136">
        <v>35.54</v>
      </c>
      <c r="B136">
        <v>1</v>
      </c>
      <c r="E136" s="3">
        <v>1.77</v>
      </c>
      <c r="F136">
        <v>4</v>
      </c>
    </row>
    <row r="137" spans="1:6" x14ac:dyDescent="0.3">
      <c r="A137">
        <v>35.520000000000003</v>
      </c>
      <c r="B137">
        <v>1</v>
      </c>
      <c r="E137" s="3">
        <v>1.78</v>
      </c>
      <c r="F137">
        <v>1</v>
      </c>
    </row>
    <row r="138" spans="1:6" x14ac:dyDescent="0.3">
      <c r="A138">
        <v>35.380000000000003</v>
      </c>
      <c r="B138">
        <v>1</v>
      </c>
      <c r="E138" s="3">
        <v>1.79</v>
      </c>
      <c r="F138">
        <v>1</v>
      </c>
    </row>
    <row r="139" spans="1:6" x14ac:dyDescent="0.3">
      <c r="A139">
        <v>35.33</v>
      </c>
      <c r="B139">
        <v>1</v>
      </c>
      <c r="E139" s="3">
        <v>1.8</v>
      </c>
      <c r="F139">
        <v>4</v>
      </c>
    </row>
    <row r="140" spans="1:6" x14ac:dyDescent="0.3">
      <c r="A140">
        <v>35.270000000000003</v>
      </c>
      <c r="B140">
        <v>1</v>
      </c>
      <c r="E140" s="3">
        <v>1.82</v>
      </c>
      <c r="F140">
        <v>1</v>
      </c>
    </row>
    <row r="141" spans="1:6" x14ac:dyDescent="0.3">
      <c r="A141">
        <v>35.11</v>
      </c>
      <c r="B141">
        <v>1</v>
      </c>
      <c r="E141" s="3">
        <v>1.84</v>
      </c>
      <c r="F141">
        <v>2</v>
      </c>
    </row>
    <row r="142" spans="1:6" x14ac:dyDescent="0.3">
      <c r="A142">
        <v>35.01</v>
      </c>
      <c r="B142">
        <v>1</v>
      </c>
      <c r="E142" s="3">
        <v>1.85</v>
      </c>
      <c r="F142">
        <v>1</v>
      </c>
    </row>
    <row r="143" spans="1:6" x14ac:dyDescent="0.3">
      <c r="A143">
        <v>34.9</v>
      </c>
      <c r="B143">
        <v>1</v>
      </c>
      <c r="E143" s="3">
        <v>1.86</v>
      </c>
      <c r="F143">
        <v>4</v>
      </c>
    </row>
    <row r="144" spans="1:6" x14ac:dyDescent="0.3">
      <c r="A144">
        <v>34.08</v>
      </c>
      <c r="B144">
        <v>1</v>
      </c>
      <c r="E144" s="3">
        <v>1.87</v>
      </c>
      <c r="F144">
        <v>1</v>
      </c>
    </row>
    <row r="145" spans="1:6" x14ac:dyDescent="0.3">
      <c r="A145">
        <v>33.99</v>
      </c>
      <c r="B145">
        <v>1</v>
      </c>
      <c r="E145" s="3">
        <v>1.89</v>
      </c>
      <c r="F145">
        <v>2</v>
      </c>
    </row>
    <row r="146" spans="1:6" x14ac:dyDescent="0.3">
      <c r="A146">
        <v>33.799999999999997</v>
      </c>
      <c r="B146">
        <v>1</v>
      </c>
      <c r="E146" s="3">
        <v>1.9</v>
      </c>
      <c r="F146">
        <v>2</v>
      </c>
    </row>
    <row r="147" spans="1:6" x14ac:dyDescent="0.3">
      <c r="A147">
        <v>33.53</v>
      </c>
      <c r="B147">
        <v>1</v>
      </c>
      <c r="E147" s="3">
        <v>1.92</v>
      </c>
      <c r="F147">
        <v>2</v>
      </c>
    </row>
    <row r="148" spans="1:6" x14ac:dyDescent="0.3">
      <c r="A148">
        <v>33.49</v>
      </c>
      <c r="B148">
        <v>1</v>
      </c>
      <c r="E148" s="3">
        <v>1.94</v>
      </c>
      <c r="F148">
        <v>3</v>
      </c>
    </row>
    <row r="149" spans="1:6" x14ac:dyDescent="0.3">
      <c r="A149">
        <v>33.020000000000003</v>
      </c>
      <c r="B149">
        <v>1</v>
      </c>
      <c r="E149" s="3">
        <v>1.96</v>
      </c>
      <c r="F149">
        <v>1</v>
      </c>
    </row>
    <row r="150" spans="1:6" x14ac:dyDescent="0.3">
      <c r="A150">
        <v>32.9</v>
      </c>
      <c r="B150">
        <v>1</v>
      </c>
      <c r="E150" s="3">
        <v>1.97</v>
      </c>
      <c r="F150">
        <v>3</v>
      </c>
    </row>
    <row r="151" spans="1:6" x14ac:dyDescent="0.3">
      <c r="A151">
        <v>32.74</v>
      </c>
      <c r="B151">
        <v>1</v>
      </c>
      <c r="E151" s="3">
        <v>1.98</v>
      </c>
      <c r="F151">
        <v>5</v>
      </c>
    </row>
    <row r="152" spans="1:6" x14ac:dyDescent="0.3">
      <c r="A152">
        <v>32.69</v>
      </c>
      <c r="B152">
        <v>1</v>
      </c>
      <c r="E152" s="3">
        <v>1.99</v>
      </c>
      <c r="F152">
        <v>1</v>
      </c>
    </row>
    <row r="153" spans="1:6" x14ac:dyDescent="0.3">
      <c r="A153">
        <v>32.14</v>
      </c>
      <c r="B153">
        <v>1</v>
      </c>
      <c r="E153" s="3">
        <v>2.0099999999999998</v>
      </c>
      <c r="F153">
        <v>1</v>
      </c>
    </row>
    <row r="154" spans="1:6" x14ac:dyDescent="0.3">
      <c r="A154">
        <v>31.95</v>
      </c>
      <c r="B154">
        <v>1</v>
      </c>
      <c r="E154" s="3">
        <v>2.02</v>
      </c>
      <c r="F154">
        <v>4</v>
      </c>
    </row>
    <row r="155" spans="1:6" x14ac:dyDescent="0.3">
      <c r="A155">
        <v>31.87</v>
      </c>
      <c r="B155">
        <v>1</v>
      </c>
      <c r="E155" s="3">
        <v>2.0299999999999998</v>
      </c>
      <c r="F155">
        <v>2</v>
      </c>
    </row>
    <row r="156" spans="1:6" x14ac:dyDescent="0.3">
      <c r="A156">
        <v>31.82</v>
      </c>
      <c r="B156">
        <v>1</v>
      </c>
      <c r="E156" s="3">
        <v>2.0499999999999998</v>
      </c>
      <c r="F156">
        <v>3</v>
      </c>
    </row>
    <row r="157" spans="1:6" x14ac:dyDescent="0.3">
      <c r="A157">
        <v>31.39</v>
      </c>
      <c r="B157">
        <v>1</v>
      </c>
      <c r="E157" s="3">
        <v>2.06</v>
      </c>
      <c r="F157">
        <v>4</v>
      </c>
    </row>
    <row r="158" spans="1:6" x14ac:dyDescent="0.3">
      <c r="A158">
        <v>31.33</v>
      </c>
      <c r="B158">
        <v>1</v>
      </c>
      <c r="E158" s="3">
        <v>2.0699999999999998</v>
      </c>
      <c r="F158">
        <v>4</v>
      </c>
    </row>
    <row r="159" spans="1:6" x14ac:dyDescent="0.3">
      <c r="A159">
        <v>31.06</v>
      </c>
      <c r="B159">
        <v>1</v>
      </c>
      <c r="E159" s="3">
        <v>2.08</v>
      </c>
      <c r="F159">
        <v>1</v>
      </c>
    </row>
    <row r="160" spans="1:6" x14ac:dyDescent="0.3">
      <c r="A160">
        <v>30.87</v>
      </c>
      <c r="B160">
        <v>1</v>
      </c>
      <c r="E160" s="3">
        <v>2.09</v>
      </c>
      <c r="F160">
        <v>3</v>
      </c>
    </row>
    <row r="161" spans="1:6" x14ac:dyDescent="0.3">
      <c r="A161">
        <v>30.63</v>
      </c>
      <c r="B161">
        <v>1</v>
      </c>
      <c r="E161" s="3">
        <v>2.1</v>
      </c>
      <c r="F161">
        <v>2</v>
      </c>
    </row>
    <row r="162" spans="1:6" x14ac:dyDescent="0.3">
      <c r="A162">
        <v>30.59</v>
      </c>
      <c r="B162">
        <v>1</v>
      </c>
      <c r="E162" s="3">
        <v>2.12</v>
      </c>
      <c r="F162">
        <v>3</v>
      </c>
    </row>
    <row r="163" spans="1:6" x14ac:dyDescent="0.3">
      <c r="A163">
        <v>30.5</v>
      </c>
      <c r="B163">
        <v>1</v>
      </c>
      <c r="E163" s="3">
        <v>2.13</v>
      </c>
      <c r="F163">
        <v>3</v>
      </c>
    </row>
    <row r="164" spans="1:6" x14ac:dyDescent="0.3">
      <c r="A164">
        <v>30.19</v>
      </c>
      <c r="B164">
        <v>1</v>
      </c>
      <c r="E164" s="3">
        <v>2.15</v>
      </c>
      <c r="F164">
        <v>2</v>
      </c>
    </row>
    <row r="165" spans="1:6" x14ac:dyDescent="0.3">
      <c r="A165">
        <v>30</v>
      </c>
      <c r="B165">
        <v>1</v>
      </c>
      <c r="E165" s="3">
        <v>2.16</v>
      </c>
      <c r="F165">
        <v>3</v>
      </c>
    </row>
    <row r="166" spans="1:6" x14ac:dyDescent="0.3">
      <c r="A166">
        <v>29.92</v>
      </c>
      <c r="B166">
        <v>1</v>
      </c>
      <c r="E166" s="3">
        <v>2.17</v>
      </c>
      <c r="F166">
        <v>1</v>
      </c>
    </row>
    <row r="167" spans="1:6" x14ac:dyDescent="0.3">
      <c r="A167">
        <v>29.81</v>
      </c>
      <c r="B167">
        <v>1</v>
      </c>
      <c r="E167" s="3">
        <v>2.1800000000000002</v>
      </c>
      <c r="F167">
        <v>1</v>
      </c>
    </row>
    <row r="168" spans="1:6" x14ac:dyDescent="0.3">
      <c r="A168">
        <v>29.56</v>
      </c>
      <c r="B168">
        <v>1</v>
      </c>
      <c r="E168" s="3">
        <v>2.19</v>
      </c>
      <c r="F168">
        <v>3</v>
      </c>
    </row>
    <row r="169" spans="1:6" x14ac:dyDescent="0.3">
      <c r="A169">
        <v>29.12</v>
      </c>
      <c r="B169">
        <v>1</v>
      </c>
      <c r="E169" s="3">
        <v>2.2000000000000002</v>
      </c>
      <c r="F169">
        <v>3</v>
      </c>
    </row>
    <row r="170" spans="1:6" x14ac:dyDescent="0.3">
      <c r="A170">
        <v>29.06</v>
      </c>
      <c r="B170">
        <v>1</v>
      </c>
      <c r="E170" s="3">
        <v>2.21</v>
      </c>
      <c r="F170">
        <v>3</v>
      </c>
    </row>
    <row r="171" spans="1:6" x14ac:dyDescent="0.3">
      <c r="A171">
        <v>29.03</v>
      </c>
      <c r="B171">
        <v>1</v>
      </c>
      <c r="E171" s="3">
        <v>2.2200000000000002</v>
      </c>
      <c r="F171">
        <v>1</v>
      </c>
    </row>
    <row r="172" spans="1:6" x14ac:dyDescent="0.3">
      <c r="A172">
        <v>28.73</v>
      </c>
      <c r="B172">
        <v>1</v>
      </c>
      <c r="E172" s="3">
        <v>2.23</v>
      </c>
      <c r="F172">
        <v>2</v>
      </c>
    </row>
    <row r="173" spans="1:6" x14ac:dyDescent="0.3">
      <c r="A173">
        <v>28.31</v>
      </c>
      <c r="B173">
        <v>1</v>
      </c>
      <c r="E173" s="3">
        <v>2.2400000000000002</v>
      </c>
      <c r="F173">
        <v>4</v>
      </c>
    </row>
    <row r="174" spans="1:6" x14ac:dyDescent="0.3">
      <c r="A174">
        <v>27.86</v>
      </c>
      <c r="B174">
        <v>1</v>
      </c>
      <c r="E174" s="3">
        <v>2.25</v>
      </c>
      <c r="F174">
        <v>1</v>
      </c>
    </row>
    <row r="175" spans="1:6" x14ac:dyDescent="0.3">
      <c r="A175">
        <v>27.47</v>
      </c>
      <c r="B175">
        <v>1</v>
      </c>
      <c r="E175" s="3">
        <v>2.2599999999999998</v>
      </c>
      <c r="F175">
        <v>3</v>
      </c>
    </row>
    <row r="176" spans="1:6" x14ac:dyDescent="0.3">
      <c r="A176">
        <v>27.28</v>
      </c>
      <c r="B176">
        <v>1</v>
      </c>
      <c r="E176" s="3">
        <v>2.2799999999999998</v>
      </c>
      <c r="F176">
        <v>1</v>
      </c>
    </row>
    <row r="177" spans="1:6" x14ac:dyDescent="0.3">
      <c r="A177">
        <v>27.26</v>
      </c>
      <c r="B177">
        <v>1</v>
      </c>
      <c r="E177" s="3">
        <v>2.2999999999999998</v>
      </c>
      <c r="F177">
        <v>4</v>
      </c>
    </row>
    <row r="178" spans="1:6" x14ac:dyDescent="0.3">
      <c r="A178">
        <v>27.26</v>
      </c>
      <c r="B178">
        <v>1</v>
      </c>
      <c r="E178" s="3">
        <v>2.31</v>
      </c>
      <c r="F178">
        <v>4</v>
      </c>
    </row>
    <row r="179" spans="1:6" x14ac:dyDescent="0.3">
      <c r="A179">
        <v>27.05</v>
      </c>
      <c r="B179">
        <v>1</v>
      </c>
      <c r="E179" s="3">
        <v>2.3199999999999998</v>
      </c>
      <c r="F179">
        <v>5</v>
      </c>
    </row>
    <row r="180" spans="1:6" x14ac:dyDescent="0.3">
      <c r="A180">
        <v>26.88</v>
      </c>
      <c r="B180">
        <v>1</v>
      </c>
      <c r="E180" s="3">
        <v>2.33</v>
      </c>
      <c r="F180">
        <v>4</v>
      </c>
    </row>
    <row r="181" spans="1:6" x14ac:dyDescent="0.3">
      <c r="A181">
        <v>26.83</v>
      </c>
      <c r="B181">
        <v>1</v>
      </c>
      <c r="E181" s="3">
        <v>2.34</v>
      </c>
      <c r="F181">
        <v>2</v>
      </c>
    </row>
    <row r="182" spans="1:6" x14ac:dyDescent="0.3">
      <c r="A182">
        <v>26.63</v>
      </c>
      <c r="B182">
        <v>1</v>
      </c>
      <c r="E182" s="3">
        <v>2.36</v>
      </c>
      <c r="F182">
        <v>6</v>
      </c>
    </row>
    <row r="183" spans="1:6" x14ac:dyDescent="0.3">
      <c r="A183">
        <v>26.63</v>
      </c>
      <c r="B183">
        <v>1</v>
      </c>
      <c r="E183" s="3">
        <v>2.37</v>
      </c>
      <c r="F183">
        <v>1</v>
      </c>
    </row>
    <row r="184" spans="1:6" x14ac:dyDescent="0.3">
      <c r="A184">
        <v>26.46</v>
      </c>
      <c r="B184">
        <v>1</v>
      </c>
      <c r="E184" s="3">
        <v>2.38</v>
      </c>
      <c r="F184">
        <v>3</v>
      </c>
    </row>
    <row r="185" spans="1:6" x14ac:dyDescent="0.3">
      <c r="A185">
        <v>26.34</v>
      </c>
      <c r="B185">
        <v>1</v>
      </c>
      <c r="E185" s="3">
        <v>2.39</v>
      </c>
      <c r="F185">
        <v>4</v>
      </c>
    </row>
    <row r="186" spans="1:6" x14ac:dyDescent="0.3">
      <c r="A186">
        <v>26.29</v>
      </c>
      <c r="B186">
        <v>1</v>
      </c>
      <c r="E186" s="3">
        <v>2.4</v>
      </c>
      <c r="F186">
        <v>3</v>
      </c>
    </row>
    <row r="187" spans="1:6" x14ac:dyDescent="0.3">
      <c r="A187">
        <v>26.26</v>
      </c>
      <c r="B187">
        <v>1</v>
      </c>
      <c r="E187" s="3">
        <v>2.41</v>
      </c>
      <c r="F187">
        <v>4</v>
      </c>
    </row>
    <row r="188" spans="1:6" x14ac:dyDescent="0.3">
      <c r="A188">
        <v>26.22</v>
      </c>
      <c r="B188">
        <v>1</v>
      </c>
      <c r="E188" s="3">
        <v>2.42</v>
      </c>
      <c r="F188">
        <v>3</v>
      </c>
    </row>
    <row r="189" spans="1:6" x14ac:dyDescent="0.3">
      <c r="A189">
        <v>25.96</v>
      </c>
      <c r="B189">
        <v>1</v>
      </c>
      <c r="E189" s="3">
        <v>2.4300000000000002</v>
      </c>
      <c r="F189">
        <v>3</v>
      </c>
    </row>
    <row r="190" spans="1:6" x14ac:dyDescent="0.3">
      <c r="A190">
        <v>25.86</v>
      </c>
      <c r="B190">
        <v>1</v>
      </c>
      <c r="E190" s="3">
        <v>2.4500000000000002</v>
      </c>
      <c r="F190">
        <v>3</v>
      </c>
    </row>
    <row r="191" spans="1:6" x14ac:dyDescent="0.3">
      <c r="A191">
        <v>25.27</v>
      </c>
      <c r="B191">
        <v>1</v>
      </c>
      <c r="E191" s="3">
        <v>2.46</v>
      </c>
      <c r="F191">
        <v>5</v>
      </c>
    </row>
    <row r="192" spans="1:6" x14ac:dyDescent="0.3">
      <c r="A192">
        <v>24.92</v>
      </c>
      <c r="B192">
        <v>1</v>
      </c>
      <c r="E192" s="3">
        <v>2.4700000000000002</v>
      </c>
      <c r="F192">
        <v>2</v>
      </c>
    </row>
    <row r="193" spans="1:6" x14ac:dyDescent="0.3">
      <c r="A193">
        <v>24.6</v>
      </c>
      <c r="B193">
        <v>1</v>
      </c>
      <c r="E193" s="3">
        <v>2.48</v>
      </c>
      <c r="F193">
        <v>5</v>
      </c>
    </row>
    <row r="194" spans="1:6" x14ac:dyDescent="0.3">
      <c r="A194">
        <v>24.44</v>
      </c>
      <c r="B194">
        <v>1</v>
      </c>
      <c r="E194" s="3">
        <v>2.4900000000000002</v>
      </c>
      <c r="F194">
        <v>3</v>
      </c>
    </row>
    <row r="195" spans="1:6" x14ac:dyDescent="0.3">
      <c r="A195">
        <v>24.29</v>
      </c>
      <c r="B195">
        <v>1</v>
      </c>
      <c r="E195" s="3">
        <v>2.5</v>
      </c>
      <c r="F195">
        <v>1</v>
      </c>
    </row>
    <row r="196" spans="1:6" x14ac:dyDescent="0.3">
      <c r="A196">
        <v>24.28</v>
      </c>
      <c r="B196">
        <v>1</v>
      </c>
      <c r="E196" s="3">
        <v>2.5099999999999998</v>
      </c>
      <c r="F196">
        <v>5</v>
      </c>
    </row>
    <row r="197" spans="1:6" x14ac:dyDescent="0.3">
      <c r="A197">
        <v>24.11</v>
      </c>
      <c r="B197">
        <v>1</v>
      </c>
      <c r="E197" s="3">
        <v>2.52</v>
      </c>
      <c r="F197">
        <v>1</v>
      </c>
    </row>
    <row r="198" spans="1:6" x14ac:dyDescent="0.3">
      <c r="A198">
        <v>24.02</v>
      </c>
      <c r="B198">
        <v>1</v>
      </c>
      <c r="E198" s="3">
        <v>2.5299999999999998</v>
      </c>
      <c r="F198">
        <v>1</v>
      </c>
    </row>
    <row r="199" spans="1:6" x14ac:dyDescent="0.3">
      <c r="A199">
        <v>23.96</v>
      </c>
      <c r="B199">
        <v>1</v>
      </c>
      <c r="E199" s="3">
        <v>2.54</v>
      </c>
      <c r="F199">
        <v>4</v>
      </c>
    </row>
    <row r="200" spans="1:6" x14ac:dyDescent="0.3">
      <c r="A200">
        <v>23.85</v>
      </c>
      <c r="B200">
        <v>1</v>
      </c>
      <c r="E200" s="3">
        <v>2.5499999999999998</v>
      </c>
      <c r="F200">
        <v>4</v>
      </c>
    </row>
    <row r="201" spans="1:6" x14ac:dyDescent="0.3">
      <c r="A201">
        <v>23.76</v>
      </c>
      <c r="B201">
        <v>1</v>
      </c>
      <c r="E201" s="3">
        <v>2.56</v>
      </c>
      <c r="F201">
        <v>5</v>
      </c>
    </row>
    <row r="202" spans="1:6" x14ac:dyDescent="0.3">
      <c r="A202">
        <v>23.73</v>
      </c>
      <c r="B202">
        <v>1</v>
      </c>
      <c r="E202" s="3">
        <v>2.57</v>
      </c>
      <c r="F202">
        <v>1</v>
      </c>
    </row>
    <row r="203" spans="1:6" x14ac:dyDescent="0.3">
      <c r="A203">
        <v>23.71</v>
      </c>
      <c r="B203">
        <v>1</v>
      </c>
      <c r="E203" s="3">
        <v>2.58</v>
      </c>
      <c r="F203">
        <v>3</v>
      </c>
    </row>
    <row r="204" spans="1:6" x14ac:dyDescent="0.3">
      <c r="A204">
        <v>23.56</v>
      </c>
      <c r="B204">
        <v>1</v>
      </c>
      <c r="E204" s="3">
        <v>2.59</v>
      </c>
      <c r="F204">
        <v>2</v>
      </c>
    </row>
    <row r="205" spans="1:6" x14ac:dyDescent="0.3">
      <c r="A205">
        <v>23.55</v>
      </c>
      <c r="B205">
        <v>1</v>
      </c>
      <c r="E205" s="3">
        <v>2.6</v>
      </c>
      <c r="F205">
        <v>5</v>
      </c>
    </row>
    <row r="206" spans="1:6" x14ac:dyDescent="0.3">
      <c r="A206">
        <v>23.55</v>
      </c>
      <c r="B206">
        <v>1</v>
      </c>
      <c r="E206" s="3">
        <v>2.61</v>
      </c>
      <c r="F206">
        <v>1</v>
      </c>
    </row>
    <row r="207" spans="1:6" x14ac:dyDescent="0.3">
      <c r="A207">
        <v>23.49</v>
      </c>
      <c r="B207">
        <v>1</v>
      </c>
      <c r="E207" s="3">
        <v>2.62</v>
      </c>
      <c r="F207">
        <v>2</v>
      </c>
    </row>
    <row r="208" spans="1:6" x14ac:dyDescent="0.3">
      <c r="A208">
        <v>23.44</v>
      </c>
      <c r="B208">
        <v>1</v>
      </c>
      <c r="E208" s="3">
        <v>2.63</v>
      </c>
      <c r="F208">
        <v>4</v>
      </c>
    </row>
    <row r="209" spans="1:6" x14ac:dyDescent="0.3">
      <c r="A209">
        <v>23.4</v>
      </c>
      <c r="B209">
        <v>1</v>
      </c>
      <c r="E209" s="3">
        <v>2.64</v>
      </c>
      <c r="F209">
        <v>4</v>
      </c>
    </row>
    <row r="210" spans="1:6" x14ac:dyDescent="0.3">
      <c r="A210">
        <v>23.37</v>
      </c>
      <c r="B210">
        <v>1</v>
      </c>
      <c r="E210" s="3">
        <v>2.65</v>
      </c>
      <c r="F210">
        <v>2</v>
      </c>
    </row>
    <row r="211" spans="1:6" x14ac:dyDescent="0.3">
      <c r="A211">
        <v>23.26</v>
      </c>
      <c r="B211">
        <v>1</v>
      </c>
      <c r="E211" s="3">
        <v>2.66</v>
      </c>
      <c r="F211">
        <v>2</v>
      </c>
    </row>
    <row r="212" spans="1:6" x14ac:dyDescent="0.3">
      <c r="A212">
        <v>23.08</v>
      </c>
      <c r="B212">
        <v>1</v>
      </c>
      <c r="E212" s="3">
        <v>2.67</v>
      </c>
      <c r="F212">
        <v>4</v>
      </c>
    </row>
    <row r="213" spans="1:6" x14ac:dyDescent="0.3">
      <c r="A213">
        <v>23.01</v>
      </c>
      <c r="B213">
        <v>1</v>
      </c>
      <c r="E213" s="3">
        <v>2.68</v>
      </c>
      <c r="F213">
        <v>1</v>
      </c>
    </row>
    <row r="214" spans="1:6" x14ac:dyDescent="0.3">
      <c r="A214">
        <v>22.97</v>
      </c>
      <c r="B214">
        <v>1</v>
      </c>
      <c r="E214" s="3">
        <v>2.69</v>
      </c>
      <c r="F214">
        <v>1</v>
      </c>
    </row>
    <row r="215" spans="1:6" x14ac:dyDescent="0.3">
      <c r="A215">
        <v>22.96</v>
      </c>
      <c r="B215">
        <v>1</v>
      </c>
      <c r="E215" s="3">
        <v>2.7</v>
      </c>
      <c r="F215">
        <v>4</v>
      </c>
    </row>
    <row r="216" spans="1:6" x14ac:dyDescent="0.3">
      <c r="A216">
        <v>22.72</v>
      </c>
      <c r="B216">
        <v>1</v>
      </c>
      <c r="E216" s="3">
        <v>2.71</v>
      </c>
      <c r="F216">
        <v>3</v>
      </c>
    </row>
    <row r="217" spans="1:6" x14ac:dyDescent="0.3">
      <c r="A217">
        <v>22.63</v>
      </c>
      <c r="B217">
        <v>1</v>
      </c>
      <c r="E217" s="3">
        <v>2.72</v>
      </c>
      <c r="F217">
        <v>4</v>
      </c>
    </row>
    <row r="218" spans="1:6" x14ac:dyDescent="0.3">
      <c r="A218">
        <v>22.51</v>
      </c>
      <c r="B218">
        <v>1</v>
      </c>
      <c r="E218" s="3">
        <v>2.73</v>
      </c>
      <c r="F218">
        <v>4</v>
      </c>
    </row>
    <row r="219" spans="1:6" x14ac:dyDescent="0.3">
      <c r="A219">
        <v>22.35</v>
      </c>
      <c r="B219">
        <v>1</v>
      </c>
      <c r="E219" s="3">
        <v>2.74</v>
      </c>
      <c r="F219">
        <v>6</v>
      </c>
    </row>
    <row r="220" spans="1:6" x14ac:dyDescent="0.3">
      <c r="A220">
        <v>22.29</v>
      </c>
      <c r="B220">
        <v>1</v>
      </c>
      <c r="E220" s="3">
        <v>2.75</v>
      </c>
      <c r="F220">
        <v>6</v>
      </c>
    </row>
    <row r="221" spans="1:6" x14ac:dyDescent="0.3">
      <c r="A221">
        <v>22.27</v>
      </c>
      <c r="B221">
        <v>1</v>
      </c>
      <c r="E221" s="3">
        <v>2.76</v>
      </c>
      <c r="F221">
        <v>3</v>
      </c>
    </row>
    <row r="222" spans="1:6" x14ac:dyDescent="0.3">
      <c r="A222">
        <v>22.26</v>
      </c>
      <c r="B222">
        <v>1</v>
      </c>
      <c r="E222" s="3">
        <v>2.77</v>
      </c>
      <c r="F222">
        <v>3</v>
      </c>
    </row>
    <row r="223" spans="1:6" x14ac:dyDescent="0.3">
      <c r="A223">
        <v>22.05</v>
      </c>
      <c r="B223">
        <v>1</v>
      </c>
      <c r="E223" s="3">
        <v>2.78</v>
      </c>
      <c r="F223">
        <v>2</v>
      </c>
    </row>
    <row r="224" spans="1:6" x14ac:dyDescent="0.3">
      <c r="A224">
        <v>22.04</v>
      </c>
      <c r="B224">
        <v>1</v>
      </c>
      <c r="E224" s="3">
        <v>2.79</v>
      </c>
      <c r="F224">
        <v>1</v>
      </c>
    </row>
    <row r="225" spans="1:6" x14ac:dyDescent="0.3">
      <c r="A225">
        <v>21.9</v>
      </c>
      <c r="B225">
        <v>1</v>
      </c>
      <c r="E225" s="3">
        <v>2.8</v>
      </c>
      <c r="F225">
        <v>3</v>
      </c>
    </row>
    <row r="226" spans="1:6" x14ac:dyDescent="0.3">
      <c r="A226">
        <v>21.83</v>
      </c>
      <c r="B226">
        <v>1</v>
      </c>
      <c r="E226" s="3">
        <v>2.82</v>
      </c>
      <c r="F226">
        <v>2</v>
      </c>
    </row>
    <row r="227" spans="1:6" x14ac:dyDescent="0.3">
      <c r="A227">
        <v>21.65</v>
      </c>
      <c r="B227">
        <v>1</v>
      </c>
      <c r="E227" s="3">
        <v>2.83</v>
      </c>
      <c r="F227">
        <v>4</v>
      </c>
    </row>
    <row r="228" spans="1:6" x14ac:dyDescent="0.3">
      <c r="A228">
        <v>21.65</v>
      </c>
      <c r="B228">
        <v>1</v>
      </c>
      <c r="E228" s="3">
        <v>2.84</v>
      </c>
      <c r="F228">
        <v>4</v>
      </c>
    </row>
    <row r="229" spans="1:6" x14ac:dyDescent="0.3">
      <c r="A229">
        <v>21.64</v>
      </c>
      <c r="B229">
        <v>1</v>
      </c>
      <c r="E229" s="3">
        <v>2.85</v>
      </c>
      <c r="F229">
        <v>1</v>
      </c>
    </row>
    <row r="230" spans="1:6" x14ac:dyDescent="0.3">
      <c r="A230">
        <v>21.63</v>
      </c>
      <c r="B230">
        <v>1</v>
      </c>
      <c r="E230" s="3">
        <v>2.86</v>
      </c>
      <c r="F230">
        <v>2</v>
      </c>
    </row>
    <row r="231" spans="1:6" x14ac:dyDescent="0.3">
      <c r="A231">
        <v>21.6</v>
      </c>
      <c r="B231">
        <v>1</v>
      </c>
      <c r="E231" s="3">
        <v>2.87</v>
      </c>
      <c r="F231">
        <v>3</v>
      </c>
    </row>
    <row r="232" spans="1:6" x14ac:dyDescent="0.3">
      <c r="A232">
        <v>21.51</v>
      </c>
      <c r="B232">
        <v>1</v>
      </c>
      <c r="E232" s="3">
        <v>2.88</v>
      </c>
      <c r="F232">
        <v>2</v>
      </c>
    </row>
    <row r="233" spans="1:6" x14ac:dyDescent="0.3">
      <c r="A233">
        <v>21.44</v>
      </c>
      <c r="B233">
        <v>1</v>
      </c>
      <c r="E233" s="3">
        <v>2.89</v>
      </c>
      <c r="F233">
        <v>1</v>
      </c>
    </row>
    <row r="234" spans="1:6" x14ac:dyDescent="0.3">
      <c r="A234">
        <v>21.36</v>
      </c>
      <c r="B234">
        <v>1</v>
      </c>
      <c r="E234" s="3">
        <v>2.9</v>
      </c>
      <c r="F234">
        <v>2</v>
      </c>
    </row>
    <row r="235" spans="1:6" x14ac:dyDescent="0.3">
      <c r="A235">
        <v>21.22</v>
      </c>
      <c r="B235">
        <v>1</v>
      </c>
      <c r="E235" s="3">
        <v>2.91</v>
      </c>
      <c r="F235">
        <v>2</v>
      </c>
    </row>
    <row r="236" spans="1:6" x14ac:dyDescent="0.3">
      <c r="A236">
        <v>21.1</v>
      </c>
      <c r="B236">
        <v>1</v>
      </c>
      <c r="E236" s="3">
        <v>2.92</v>
      </c>
      <c r="F236">
        <v>1</v>
      </c>
    </row>
    <row r="237" spans="1:6" x14ac:dyDescent="0.3">
      <c r="A237">
        <v>21.09</v>
      </c>
      <c r="B237">
        <v>1</v>
      </c>
      <c r="E237" s="3">
        <v>2.93</v>
      </c>
      <c r="F237">
        <v>4</v>
      </c>
    </row>
    <row r="238" spans="1:6" x14ac:dyDescent="0.3">
      <c r="A238">
        <v>21.07</v>
      </c>
      <c r="B238">
        <v>1</v>
      </c>
      <c r="E238" s="3">
        <v>2.94</v>
      </c>
      <c r="F238">
        <v>3</v>
      </c>
    </row>
    <row r="239" spans="1:6" x14ac:dyDescent="0.3">
      <c r="A239">
        <v>20.96</v>
      </c>
      <c r="B239">
        <v>1</v>
      </c>
      <c r="E239" s="3">
        <v>2.95</v>
      </c>
      <c r="F239">
        <v>2</v>
      </c>
    </row>
    <row r="240" spans="1:6" x14ac:dyDescent="0.3">
      <c r="A240">
        <v>20.85</v>
      </c>
      <c r="B240">
        <v>1</v>
      </c>
      <c r="E240" s="3">
        <v>2.96</v>
      </c>
      <c r="F240">
        <v>2</v>
      </c>
    </row>
    <row r="241" spans="1:6" x14ac:dyDescent="0.3">
      <c r="A241">
        <v>20.8</v>
      </c>
      <c r="B241">
        <v>1</v>
      </c>
      <c r="E241" s="3">
        <v>2.97</v>
      </c>
      <c r="F241">
        <v>2</v>
      </c>
    </row>
    <row r="242" spans="1:6" x14ac:dyDescent="0.3">
      <c r="A242">
        <v>20.66</v>
      </c>
      <c r="B242">
        <v>1</v>
      </c>
      <c r="E242" s="3">
        <v>2.98</v>
      </c>
      <c r="F242">
        <v>2</v>
      </c>
    </row>
    <row r="243" spans="1:6" x14ac:dyDescent="0.3">
      <c r="A243">
        <v>20.65</v>
      </c>
      <c r="B243">
        <v>1</v>
      </c>
      <c r="E243" s="3">
        <v>2.99</v>
      </c>
      <c r="F243">
        <v>3</v>
      </c>
    </row>
    <row r="244" spans="1:6" x14ac:dyDescent="0.3">
      <c r="A244">
        <v>20.64</v>
      </c>
      <c r="B244">
        <v>1</v>
      </c>
      <c r="E244" s="3">
        <v>3</v>
      </c>
      <c r="F244">
        <v>3</v>
      </c>
    </row>
    <row r="245" spans="1:6" x14ac:dyDescent="0.3">
      <c r="A245">
        <v>20.61</v>
      </c>
      <c r="B245">
        <v>1</v>
      </c>
      <c r="E245" s="3">
        <v>3.01</v>
      </c>
      <c r="F245">
        <v>1</v>
      </c>
    </row>
    <row r="246" spans="1:6" x14ac:dyDescent="0.3">
      <c r="A246">
        <v>20.56</v>
      </c>
      <c r="B246">
        <v>1</v>
      </c>
      <c r="E246" s="3">
        <v>3.02</v>
      </c>
      <c r="F246">
        <v>1</v>
      </c>
    </row>
    <row r="247" spans="1:6" x14ac:dyDescent="0.3">
      <c r="A247">
        <v>20.48</v>
      </c>
      <c r="B247">
        <v>1</v>
      </c>
      <c r="E247" s="3">
        <v>3.03</v>
      </c>
      <c r="F247">
        <v>3</v>
      </c>
    </row>
    <row r="248" spans="1:6" x14ac:dyDescent="0.3">
      <c r="A248">
        <v>20.46</v>
      </c>
      <c r="B248">
        <v>1</v>
      </c>
      <c r="E248" s="3">
        <v>3.04</v>
      </c>
      <c r="F248">
        <v>3</v>
      </c>
    </row>
    <row r="249" spans="1:6" x14ac:dyDescent="0.3">
      <c r="A249">
        <v>20.440000000000001</v>
      </c>
      <c r="B249">
        <v>1</v>
      </c>
      <c r="E249" s="3">
        <v>3.05</v>
      </c>
      <c r="F249">
        <v>2</v>
      </c>
    </row>
    <row r="250" spans="1:6" x14ac:dyDescent="0.3">
      <c r="A250">
        <v>20.43</v>
      </c>
      <c r="B250">
        <v>1</v>
      </c>
      <c r="E250" s="3">
        <v>3.07</v>
      </c>
      <c r="F250">
        <v>3</v>
      </c>
    </row>
    <row r="251" spans="1:6" x14ac:dyDescent="0.3">
      <c r="A251">
        <v>20.43</v>
      </c>
      <c r="B251">
        <v>1</v>
      </c>
      <c r="E251" s="3">
        <v>3.08</v>
      </c>
      <c r="F251">
        <v>2</v>
      </c>
    </row>
    <row r="252" spans="1:6" x14ac:dyDescent="0.3">
      <c r="A252">
        <v>20.2</v>
      </c>
      <c r="B252">
        <v>1</v>
      </c>
      <c r="E252" s="3">
        <v>3.09</v>
      </c>
      <c r="F252">
        <v>3</v>
      </c>
    </row>
    <row r="253" spans="1:6" x14ac:dyDescent="0.3">
      <c r="A253">
        <v>20.149999999999999</v>
      </c>
      <c r="B253">
        <v>1</v>
      </c>
      <c r="E253" s="3">
        <v>3.1</v>
      </c>
      <c r="F253">
        <v>2</v>
      </c>
    </row>
    <row r="254" spans="1:6" x14ac:dyDescent="0.3">
      <c r="A254">
        <v>20.14</v>
      </c>
      <c r="B254">
        <v>1</v>
      </c>
      <c r="E254" s="3">
        <v>3.11</v>
      </c>
      <c r="F254">
        <v>1</v>
      </c>
    </row>
    <row r="255" spans="1:6" x14ac:dyDescent="0.3">
      <c r="A255">
        <v>20.07</v>
      </c>
      <c r="B255">
        <v>1</v>
      </c>
      <c r="E255" s="3">
        <v>3.12</v>
      </c>
      <c r="F255">
        <v>1</v>
      </c>
    </row>
    <row r="256" spans="1:6" x14ac:dyDescent="0.3">
      <c r="A256">
        <v>19.73</v>
      </c>
      <c r="B256">
        <v>1</v>
      </c>
      <c r="E256" s="3">
        <v>3.13</v>
      </c>
      <c r="F256">
        <v>2</v>
      </c>
    </row>
    <row r="257" spans="1:6" x14ac:dyDescent="0.3">
      <c r="A257">
        <v>19.64</v>
      </c>
      <c r="B257">
        <v>1</v>
      </c>
      <c r="E257" s="3">
        <v>3.14</v>
      </c>
      <c r="F257">
        <v>1</v>
      </c>
    </row>
    <row r="258" spans="1:6" x14ac:dyDescent="0.3">
      <c r="A258">
        <v>19.510000000000002</v>
      </c>
      <c r="B258">
        <v>1</v>
      </c>
      <c r="E258" s="3">
        <v>3.15</v>
      </c>
      <c r="F258">
        <v>4</v>
      </c>
    </row>
    <row r="259" spans="1:6" x14ac:dyDescent="0.3">
      <c r="A259">
        <v>19.46</v>
      </c>
      <c r="B259">
        <v>1</v>
      </c>
      <c r="E259" s="3">
        <v>3.16</v>
      </c>
      <c r="F259">
        <v>5</v>
      </c>
    </row>
    <row r="260" spans="1:6" x14ac:dyDescent="0.3">
      <c r="A260">
        <v>19.41</v>
      </c>
      <c r="B260">
        <v>1</v>
      </c>
      <c r="E260" s="3">
        <v>3.17</v>
      </c>
      <c r="F260">
        <v>4</v>
      </c>
    </row>
    <row r="261" spans="1:6" x14ac:dyDescent="0.3">
      <c r="A261">
        <v>19.100000000000001</v>
      </c>
      <c r="B261">
        <v>1</v>
      </c>
      <c r="E261" s="3">
        <v>3.18</v>
      </c>
      <c r="F261">
        <v>2</v>
      </c>
    </row>
    <row r="262" spans="1:6" x14ac:dyDescent="0.3">
      <c r="A262">
        <v>19.03</v>
      </c>
      <c r="B262">
        <v>1</v>
      </c>
      <c r="E262" s="3">
        <v>3.19</v>
      </c>
      <c r="F262">
        <v>3</v>
      </c>
    </row>
    <row r="263" spans="1:6" x14ac:dyDescent="0.3">
      <c r="A263">
        <v>18.989999999999998</v>
      </c>
      <c r="B263">
        <v>1</v>
      </c>
      <c r="E263" s="3">
        <v>3.2</v>
      </c>
      <c r="F263">
        <v>3</v>
      </c>
    </row>
    <row r="264" spans="1:6" x14ac:dyDescent="0.3">
      <c r="A264">
        <v>18.98</v>
      </c>
      <c r="B264">
        <v>1</v>
      </c>
      <c r="E264" s="3">
        <v>3.21</v>
      </c>
      <c r="F264">
        <v>1</v>
      </c>
    </row>
    <row r="265" spans="1:6" x14ac:dyDescent="0.3">
      <c r="A265">
        <v>18.87</v>
      </c>
      <c r="B265">
        <v>1</v>
      </c>
      <c r="E265" s="3">
        <v>3.22</v>
      </c>
      <c r="F265">
        <v>6</v>
      </c>
    </row>
    <row r="266" spans="1:6" x14ac:dyDescent="0.3">
      <c r="A266">
        <v>18.86</v>
      </c>
      <c r="B266">
        <v>1</v>
      </c>
      <c r="E266" s="3">
        <v>3.23</v>
      </c>
      <c r="F266">
        <v>2</v>
      </c>
    </row>
    <row r="267" spans="1:6" x14ac:dyDescent="0.3">
      <c r="A267">
        <v>18.84</v>
      </c>
      <c r="B267">
        <v>1</v>
      </c>
      <c r="E267" s="3">
        <v>3.24</v>
      </c>
      <c r="F267">
        <v>1</v>
      </c>
    </row>
    <row r="268" spans="1:6" x14ac:dyDescent="0.3">
      <c r="A268">
        <v>18.829999999999998</v>
      </c>
      <c r="B268">
        <v>1</v>
      </c>
      <c r="E268" s="3">
        <v>3.25</v>
      </c>
      <c r="F268">
        <v>6</v>
      </c>
    </row>
    <row r="269" spans="1:6" x14ac:dyDescent="0.3">
      <c r="A269">
        <v>18.78</v>
      </c>
      <c r="B269">
        <v>1</v>
      </c>
      <c r="E269" s="3">
        <v>3.26</v>
      </c>
      <c r="F269">
        <v>4</v>
      </c>
    </row>
    <row r="270" spans="1:6" x14ac:dyDescent="0.3">
      <c r="A270">
        <v>18.739999999999998</v>
      </c>
      <c r="B270">
        <v>1</v>
      </c>
      <c r="E270" s="3">
        <v>3.27</v>
      </c>
      <c r="F270">
        <v>2</v>
      </c>
    </row>
    <row r="271" spans="1:6" x14ac:dyDescent="0.3">
      <c r="A271">
        <v>18.73</v>
      </c>
      <c r="B271">
        <v>1</v>
      </c>
      <c r="E271" s="3">
        <v>3.28</v>
      </c>
      <c r="F271">
        <v>3</v>
      </c>
    </row>
    <row r="272" spans="1:6" x14ac:dyDescent="0.3">
      <c r="A272">
        <v>18.71</v>
      </c>
      <c r="B272">
        <v>1</v>
      </c>
      <c r="E272" s="3">
        <v>3.29</v>
      </c>
      <c r="F272">
        <v>5</v>
      </c>
    </row>
    <row r="273" spans="1:6" x14ac:dyDescent="0.3">
      <c r="A273">
        <v>18.559999999999999</v>
      </c>
      <c r="B273">
        <v>1</v>
      </c>
      <c r="E273" s="3">
        <v>3.3</v>
      </c>
      <c r="F273">
        <v>2</v>
      </c>
    </row>
    <row r="274" spans="1:6" x14ac:dyDescent="0.3">
      <c r="A274">
        <v>18.510000000000002</v>
      </c>
      <c r="B274">
        <v>1</v>
      </c>
      <c r="E274" s="3">
        <v>3.31</v>
      </c>
      <c r="F274">
        <v>3</v>
      </c>
    </row>
    <row r="275" spans="1:6" x14ac:dyDescent="0.3">
      <c r="A275">
        <v>18.46</v>
      </c>
      <c r="B275">
        <v>1</v>
      </c>
      <c r="E275" s="3">
        <v>3.32</v>
      </c>
      <c r="F275">
        <v>2</v>
      </c>
    </row>
    <row r="276" spans="1:6" x14ac:dyDescent="0.3">
      <c r="A276">
        <v>18.399999999999999</v>
      </c>
      <c r="B276">
        <v>1</v>
      </c>
      <c r="E276" s="3">
        <v>3.33</v>
      </c>
      <c r="F276">
        <v>1</v>
      </c>
    </row>
    <row r="277" spans="1:6" x14ac:dyDescent="0.3">
      <c r="A277">
        <v>18.39</v>
      </c>
      <c r="B277">
        <v>1</v>
      </c>
      <c r="E277" s="3">
        <v>3.34</v>
      </c>
      <c r="F277">
        <v>3</v>
      </c>
    </row>
    <row r="278" spans="1:6" x14ac:dyDescent="0.3">
      <c r="A278">
        <v>18.36</v>
      </c>
      <c r="B278">
        <v>1</v>
      </c>
      <c r="E278" s="3">
        <v>3.35</v>
      </c>
      <c r="F278">
        <v>1</v>
      </c>
    </row>
    <row r="279" spans="1:6" x14ac:dyDescent="0.3">
      <c r="A279">
        <v>18.27</v>
      </c>
      <c r="B279">
        <v>1</v>
      </c>
      <c r="E279" s="3">
        <v>3.36</v>
      </c>
      <c r="F279">
        <v>4</v>
      </c>
    </row>
    <row r="280" spans="1:6" x14ac:dyDescent="0.3">
      <c r="A280">
        <v>18.21</v>
      </c>
      <c r="B280">
        <v>1</v>
      </c>
      <c r="E280" s="3">
        <v>3.37</v>
      </c>
      <c r="F280">
        <v>3</v>
      </c>
    </row>
    <row r="281" spans="1:6" x14ac:dyDescent="0.3">
      <c r="A281">
        <v>18.21</v>
      </c>
      <c r="B281">
        <v>1</v>
      </c>
      <c r="E281" s="3">
        <v>3.38</v>
      </c>
      <c r="F281">
        <v>2</v>
      </c>
    </row>
    <row r="282" spans="1:6" x14ac:dyDescent="0.3">
      <c r="A282">
        <v>18.170000000000002</v>
      </c>
      <c r="B282">
        <v>1</v>
      </c>
      <c r="E282" s="3">
        <v>3.39</v>
      </c>
      <c r="F282">
        <v>2</v>
      </c>
    </row>
    <row r="283" spans="1:6" x14ac:dyDescent="0.3">
      <c r="A283">
        <v>18.170000000000002</v>
      </c>
      <c r="B283">
        <v>1</v>
      </c>
      <c r="E283" s="3">
        <v>3.4</v>
      </c>
      <c r="F283">
        <v>3</v>
      </c>
    </row>
    <row r="284" spans="1:6" x14ac:dyDescent="0.3">
      <c r="A284">
        <v>18.100000000000001</v>
      </c>
      <c r="B284">
        <v>1</v>
      </c>
      <c r="E284" s="3">
        <v>3.41</v>
      </c>
      <c r="F284">
        <v>5</v>
      </c>
    </row>
    <row r="285" spans="1:6" x14ac:dyDescent="0.3">
      <c r="A285">
        <v>17.989999999999998</v>
      </c>
      <c r="B285">
        <v>1</v>
      </c>
      <c r="E285" s="3">
        <v>3.42</v>
      </c>
      <c r="F285">
        <v>3</v>
      </c>
    </row>
    <row r="286" spans="1:6" x14ac:dyDescent="0.3">
      <c r="A286">
        <v>17.95</v>
      </c>
      <c r="B286">
        <v>1</v>
      </c>
      <c r="E286" s="3">
        <v>3.43</v>
      </c>
      <c r="F286">
        <v>3</v>
      </c>
    </row>
    <row r="287" spans="1:6" x14ac:dyDescent="0.3">
      <c r="A287">
        <v>17.8</v>
      </c>
      <c r="B287">
        <v>1</v>
      </c>
      <c r="E287" s="3">
        <v>3.44</v>
      </c>
      <c r="F287">
        <v>2</v>
      </c>
    </row>
    <row r="288" spans="1:6" x14ac:dyDescent="0.3">
      <c r="A288">
        <v>17.79</v>
      </c>
      <c r="B288">
        <v>1</v>
      </c>
      <c r="E288" s="3">
        <v>3.45</v>
      </c>
      <c r="F288">
        <v>3</v>
      </c>
    </row>
    <row r="289" spans="1:6" x14ac:dyDescent="0.3">
      <c r="A289">
        <v>17.64</v>
      </c>
      <c r="B289">
        <v>1</v>
      </c>
      <c r="E289" s="3">
        <v>3.46</v>
      </c>
      <c r="F289">
        <v>4</v>
      </c>
    </row>
    <row r="290" spans="1:6" x14ac:dyDescent="0.3">
      <c r="A290">
        <v>17.559999999999999</v>
      </c>
      <c r="B290">
        <v>1</v>
      </c>
      <c r="E290" s="3">
        <v>3.47</v>
      </c>
      <c r="F290">
        <v>5</v>
      </c>
    </row>
    <row r="291" spans="1:6" x14ac:dyDescent="0.3">
      <c r="A291">
        <v>17.55</v>
      </c>
      <c r="B291">
        <v>1</v>
      </c>
      <c r="E291" s="3">
        <v>3.48</v>
      </c>
      <c r="F291">
        <v>3</v>
      </c>
    </row>
    <row r="292" spans="1:6" x14ac:dyDescent="0.3">
      <c r="A292">
        <v>17.420000000000002</v>
      </c>
      <c r="B292">
        <v>1</v>
      </c>
      <c r="E292" s="3">
        <v>3.49</v>
      </c>
      <c r="F292">
        <v>5</v>
      </c>
    </row>
    <row r="293" spans="1:6" x14ac:dyDescent="0.3">
      <c r="A293">
        <v>17.420000000000002</v>
      </c>
      <c r="B293">
        <v>1</v>
      </c>
      <c r="E293" s="3">
        <v>3.5</v>
      </c>
      <c r="F293">
        <v>5</v>
      </c>
    </row>
    <row r="294" spans="1:6" x14ac:dyDescent="0.3">
      <c r="A294">
        <v>17.32</v>
      </c>
      <c r="B294">
        <v>1</v>
      </c>
      <c r="E294" s="3">
        <v>3.51</v>
      </c>
      <c r="F294">
        <v>3</v>
      </c>
    </row>
    <row r="295" spans="1:6" x14ac:dyDescent="0.3">
      <c r="A295">
        <v>17.23</v>
      </c>
      <c r="B295">
        <v>1</v>
      </c>
      <c r="E295" s="3">
        <v>3.53</v>
      </c>
      <c r="F295">
        <v>3</v>
      </c>
    </row>
    <row r="296" spans="1:6" x14ac:dyDescent="0.3">
      <c r="A296">
        <v>17.22</v>
      </c>
      <c r="B296">
        <v>1</v>
      </c>
      <c r="E296" s="3">
        <v>3.54</v>
      </c>
      <c r="F296">
        <v>1</v>
      </c>
    </row>
    <row r="297" spans="1:6" x14ac:dyDescent="0.3">
      <c r="A297">
        <v>17.21</v>
      </c>
      <c r="B297">
        <v>1</v>
      </c>
      <c r="E297" s="3">
        <v>3.55</v>
      </c>
      <c r="F297">
        <v>5</v>
      </c>
    </row>
    <row r="298" spans="1:6" x14ac:dyDescent="0.3">
      <c r="A298">
        <v>17.2</v>
      </c>
      <c r="B298">
        <v>1</v>
      </c>
      <c r="E298" s="3">
        <v>3.56</v>
      </c>
      <c r="F298">
        <v>1</v>
      </c>
    </row>
    <row r="299" spans="1:6" x14ac:dyDescent="0.3">
      <c r="A299">
        <v>17.170000000000002</v>
      </c>
      <c r="B299">
        <v>1</v>
      </c>
      <c r="E299" s="3">
        <v>3.57</v>
      </c>
      <c r="F299">
        <v>5</v>
      </c>
    </row>
    <row r="300" spans="1:6" x14ac:dyDescent="0.3">
      <c r="A300">
        <v>17.170000000000002</v>
      </c>
      <c r="B300">
        <v>1</v>
      </c>
      <c r="E300" s="3">
        <v>3.58</v>
      </c>
      <c r="F300">
        <v>2</v>
      </c>
    </row>
    <row r="301" spans="1:6" x14ac:dyDescent="0.3">
      <c r="A301">
        <v>17.09</v>
      </c>
      <c r="B301">
        <v>1</v>
      </c>
      <c r="E301" s="3">
        <v>3.59</v>
      </c>
      <c r="F301">
        <v>3</v>
      </c>
    </row>
    <row r="302" spans="1:6" x14ac:dyDescent="0.3">
      <c r="A302">
        <v>17.079999999999998</v>
      </c>
      <c r="B302">
        <v>1</v>
      </c>
      <c r="E302" s="3">
        <v>3.6</v>
      </c>
      <c r="F302">
        <v>1</v>
      </c>
    </row>
    <row r="303" spans="1:6" x14ac:dyDescent="0.3">
      <c r="A303">
        <v>17.07</v>
      </c>
      <c r="B303">
        <v>1</v>
      </c>
      <c r="E303" s="3">
        <v>3.61</v>
      </c>
      <c r="F303">
        <v>3</v>
      </c>
    </row>
    <row r="304" spans="1:6" x14ac:dyDescent="0.3">
      <c r="A304">
        <v>16.96</v>
      </c>
      <c r="B304">
        <v>1</v>
      </c>
      <c r="E304" s="3">
        <v>3.62</v>
      </c>
      <c r="F304">
        <v>5</v>
      </c>
    </row>
    <row r="305" spans="1:6" x14ac:dyDescent="0.3">
      <c r="A305">
        <v>16.91</v>
      </c>
      <c r="B305">
        <v>1</v>
      </c>
      <c r="E305" s="3">
        <v>3.64</v>
      </c>
      <c r="F305">
        <v>1</v>
      </c>
    </row>
    <row r="306" spans="1:6" x14ac:dyDescent="0.3">
      <c r="A306">
        <v>16.88</v>
      </c>
      <c r="B306">
        <v>1</v>
      </c>
      <c r="E306" s="3">
        <v>3.65</v>
      </c>
      <c r="F306">
        <v>4</v>
      </c>
    </row>
    <row r="307" spans="1:6" x14ac:dyDescent="0.3">
      <c r="A307">
        <v>16.87</v>
      </c>
      <c r="B307">
        <v>1</v>
      </c>
      <c r="E307" s="3">
        <v>3.66</v>
      </c>
      <c r="F307">
        <v>2</v>
      </c>
    </row>
    <row r="308" spans="1:6" x14ac:dyDescent="0.3">
      <c r="A308">
        <v>16.809999999999999</v>
      </c>
      <c r="B308">
        <v>1</v>
      </c>
      <c r="E308" s="3">
        <v>3.67</v>
      </c>
      <c r="F308">
        <v>5</v>
      </c>
    </row>
    <row r="309" spans="1:6" x14ac:dyDescent="0.3">
      <c r="A309">
        <v>16.77</v>
      </c>
      <c r="B309">
        <v>1</v>
      </c>
      <c r="E309" s="3">
        <v>3.68</v>
      </c>
      <c r="F309">
        <v>4</v>
      </c>
    </row>
    <row r="310" spans="1:6" x14ac:dyDescent="0.3">
      <c r="A310">
        <v>16.670000000000002</v>
      </c>
      <c r="B310">
        <v>1</v>
      </c>
      <c r="E310" s="3">
        <v>3.69</v>
      </c>
      <c r="F310">
        <v>4</v>
      </c>
    </row>
    <row r="311" spans="1:6" x14ac:dyDescent="0.3">
      <c r="A311">
        <v>16.600000000000001</v>
      </c>
      <c r="B311">
        <v>1</v>
      </c>
      <c r="E311" s="3">
        <v>3.7</v>
      </c>
      <c r="F311">
        <v>1</v>
      </c>
    </row>
    <row r="312" spans="1:6" x14ac:dyDescent="0.3">
      <c r="A312">
        <v>16.579999999999998</v>
      </c>
      <c r="B312">
        <v>1</v>
      </c>
      <c r="E312" s="3">
        <v>3.71</v>
      </c>
      <c r="F312">
        <v>1</v>
      </c>
    </row>
    <row r="313" spans="1:6" x14ac:dyDescent="0.3">
      <c r="A313">
        <v>16.55</v>
      </c>
      <c r="B313">
        <v>1</v>
      </c>
      <c r="E313" s="3">
        <v>3.72</v>
      </c>
      <c r="F313">
        <v>3</v>
      </c>
    </row>
    <row r="314" spans="1:6" x14ac:dyDescent="0.3">
      <c r="A314">
        <v>16.54</v>
      </c>
      <c r="B314">
        <v>1</v>
      </c>
      <c r="E314" s="3">
        <v>3.74</v>
      </c>
      <c r="F314">
        <v>1</v>
      </c>
    </row>
    <row r="315" spans="1:6" x14ac:dyDescent="0.3">
      <c r="A315">
        <v>16.39</v>
      </c>
      <c r="B315">
        <v>1</v>
      </c>
      <c r="E315" s="3">
        <v>3.75</v>
      </c>
      <c r="F315">
        <v>3</v>
      </c>
    </row>
    <row r="316" spans="1:6" x14ac:dyDescent="0.3">
      <c r="A316">
        <v>16.34</v>
      </c>
      <c r="B316">
        <v>1</v>
      </c>
      <c r="E316" s="3">
        <v>3.76</v>
      </c>
      <c r="F316">
        <v>2</v>
      </c>
    </row>
    <row r="317" spans="1:6" x14ac:dyDescent="0.3">
      <c r="A317">
        <v>16.32</v>
      </c>
      <c r="B317">
        <v>1</v>
      </c>
      <c r="E317" s="3">
        <v>3.77</v>
      </c>
      <c r="F317">
        <v>4</v>
      </c>
    </row>
    <row r="318" spans="1:6" x14ac:dyDescent="0.3">
      <c r="A318">
        <v>16.28</v>
      </c>
      <c r="B318">
        <v>1</v>
      </c>
      <c r="E318" s="3">
        <v>3.78</v>
      </c>
      <c r="F318">
        <v>2</v>
      </c>
    </row>
    <row r="319" spans="1:6" x14ac:dyDescent="0.3">
      <c r="A319">
        <v>16.18</v>
      </c>
      <c r="B319">
        <v>1</v>
      </c>
      <c r="E319" s="3">
        <v>3.79</v>
      </c>
      <c r="F319">
        <v>1</v>
      </c>
    </row>
    <row r="320" spans="1:6" x14ac:dyDescent="0.3">
      <c r="A320">
        <v>16.07</v>
      </c>
      <c r="B320">
        <v>1</v>
      </c>
      <c r="E320" s="3">
        <v>3.8</v>
      </c>
      <c r="F320">
        <v>2</v>
      </c>
    </row>
    <row r="321" spans="1:6" x14ac:dyDescent="0.3">
      <c r="A321">
        <v>15.99</v>
      </c>
      <c r="B321">
        <v>1</v>
      </c>
      <c r="E321" s="3">
        <v>3.81</v>
      </c>
      <c r="F321">
        <v>1</v>
      </c>
    </row>
    <row r="322" spans="1:6" x14ac:dyDescent="0.3">
      <c r="A322">
        <v>15.89</v>
      </c>
      <c r="B322">
        <v>1</v>
      </c>
      <c r="E322" s="3">
        <v>3.82</v>
      </c>
      <c r="F322">
        <v>1</v>
      </c>
    </row>
    <row r="323" spans="1:6" x14ac:dyDescent="0.3">
      <c r="A323">
        <v>15.89</v>
      </c>
      <c r="B323">
        <v>1</v>
      </c>
      <c r="E323" s="3">
        <v>3.83</v>
      </c>
      <c r="F323">
        <v>1</v>
      </c>
    </row>
    <row r="324" spans="1:6" x14ac:dyDescent="0.3">
      <c r="A324">
        <v>15.88</v>
      </c>
      <c r="B324">
        <v>1</v>
      </c>
      <c r="E324" s="3">
        <v>3.84</v>
      </c>
      <c r="F324">
        <v>3</v>
      </c>
    </row>
    <row r="325" spans="1:6" x14ac:dyDescent="0.3">
      <c r="A325">
        <v>15.84</v>
      </c>
      <c r="B325">
        <v>1</v>
      </c>
      <c r="E325" s="3">
        <v>3.85</v>
      </c>
      <c r="F325">
        <v>4</v>
      </c>
    </row>
    <row r="326" spans="1:6" x14ac:dyDescent="0.3">
      <c r="A326">
        <v>15.84</v>
      </c>
      <c r="B326">
        <v>1</v>
      </c>
      <c r="E326" s="3">
        <v>3.88</v>
      </c>
      <c r="F326">
        <v>1</v>
      </c>
    </row>
    <row r="327" spans="1:6" x14ac:dyDescent="0.3">
      <c r="A327">
        <v>15.82</v>
      </c>
      <c r="B327">
        <v>1</v>
      </c>
      <c r="E327" s="3">
        <v>3.89</v>
      </c>
      <c r="F327">
        <v>1</v>
      </c>
    </row>
    <row r="328" spans="1:6" x14ac:dyDescent="0.3">
      <c r="A328">
        <v>15.79</v>
      </c>
      <c r="B328">
        <v>1</v>
      </c>
      <c r="E328" s="3">
        <v>3.91</v>
      </c>
      <c r="F328">
        <v>2</v>
      </c>
    </row>
    <row r="329" spans="1:6" x14ac:dyDescent="0.3">
      <c r="A329">
        <v>15.77</v>
      </c>
      <c r="B329">
        <v>1</v>
      </c>
      <c r="E329" s="3">
        <v>3.92</v>
      </c>
      <c r="F329">
        <v>4</v>
      </c>
    </row>
    <row r="330" spans="1:6" x14ac:dyDescent="0.3">
      <c r="A330">
        <v>15.75</v>
      </c>
      <c r="B330">
        <v>1</v>
      </c>
      <c r="E330" s="3">
        <v>3.93</v>
      </c>
      <c r="F330">
        <v>2</v>
      </c>
    </row>
    <row r="331" spans="1:6" x14ac:dyDescent="0.3">
      <c r="A331">
        <v>15.75</v>
      </c>
      <c r="B331">
        <v>1</v>
      </c>
      <c r="E331" s="3">
        <v>3.94</v>
      </c>
      <c r="F331">
        <v>2</v>
      </c>
    </row>
    <row r="332" spans="1:6" x14ac:dyDescent="0.3">
      <c r="A332">
        <v>15.67</v>
      </c>
      <c r="B332">
        <v>1</v>
      </c>
      <c r="E332" s="3">
        <v>3.95</v>
      </c>
      <c r="F332">
        <v>5</v>
      </c>
    </row>
    <row r="333" spans="1:6" x14ac:dyDescent="0.3">
      <c r="A333">
        <v>15.59</v>
      </c>
      <c r="B333">
        <v>1</v>
      </c>
      <c r="E333" s="3">
        <v>3.96</v>
      </c>
      <c r="F333">
        <v>2</v>
      </c>
    </row>
    <row r="334" spans="1:6" x14ac:dyDescent="0.3">
      <c r="A334">
        <v>15.47</v>
      </c>
      <c r="B334">
        <v>1</v>
      </c>
      <c r="E334" s="3">
        <v>3.97</v>
      </c>
      <c r="F334">
        <v>2</v>
      </c>
    </row>
    <row r="335" spans="1:6" x14ac:dyDescent="0.3">
      <c r="A335">
        <v>15.42</v>
      </c>
      <c r="B335">
        <v>1</v>
      </c>
      <c r="E335" s="3">
        <v>3.99</v>
      </c>
      <c r="F335">
        <v>1</v>
      </c>
    </row>
    <row r="336" spans="1:6" x14ac:dyDescent="0.3">
      <c r="A336">
        <v>15.39</v>
      </c>
      <c r="B336">
        <v>1</v>
      </c>
      <c r="E336" s="3">
        <v>4.0199999999999996</v>
      </c>
      <c r="F336">
        <v>1</v>
      </c>
    </row>
    <row r="337" spans="1:6" x14ac:dyDescent="0.3">
      <c r="A337">
        <v>15.13</v>
      </c>
      <c r="B337">
        <v>1</v>
      </c>
      <c r="E337" s="3">
        <v>4.03</v>
      </c>
      <c r="F337">
        <v>1</v>
      </c>
    </row>
    <row r="338" spans="1:6" x14ac:dyDescent="0.3">
      <c r="A338">
        <v>15.04</v>
      </c>
      <c r="B338">
        <v>1</v>
      </c>
      <c r="E338" s="3">
        <v>4.04</v>
      </c>
      <c r="F338">
        <v>1</v>
      </c>
    </row>
    <row r="339" spans="1:6" x14ac:dyDescent="0.3">
      <c r="A339">
        <v>15</v>
      </c>
      <c r="B339">
        <v>1</v>
      </c>
      <c r="E339" s="3">
        <v>4.05</v>
      </c>
      <c r="F339">
        <v>3</v>
      </c>
    </row>
    <row r="340" spans="1:6" x14ac:dyDescent="0.3">
      <c r="A340">
        <v>14.91</v>
      </c>
      <c r="B340">
        <v>1</v>
      </c>
      <c r="E340" s="3">
        <v>4.07</v>
      </c>
      <c r="F340">
        <v>1</v>
      </c>
    </row>
    <row r="341" spans="1:6" x14ac:dyDescent="0.3">
      <c r="A341">
        <v>14.84</v>
      </c>
      <c r="B341">
        <v>1</v>
      </c>
      <c r="E341" s="3">
        <v>4.08</v>
      </c>
      <c r="F341">
        <v>1</v>
      </c>
    </row>
    <row r="342" spans="1:6" x14ac:dyDescent="0.3">
      <c r="A342">
        <v>14.84</v>
      </c>
      <c r="B342">
        <v>1</v>
      </c>
      <c r="E342" s="3">
        <v>4.09</v>
      </c>
      <c r="F342">
        <v>1</v>
      </c>
    </row>
    <row r="343" spans="1:6" x14ac:dyDescent="0.3">
      <c r="A343">
        <v>14.81</v>
      </c>
      <c r="B343">
        <v>1</v>
      </c>
      <c r="E343" s="3">
        <v>4.1100000000000003</v>
      </c>
      <c r="F343">
        <v>2</v>
      </c>
    </row>
    <row r="344" spans="1:6" x14ac:dyDescent="0.3">
      <c r="A344">
        <v>14.69</v>
      </c>
      <c r="B344">
        <v>1</v>
      </c>
      <c r="E344" s="3">
        <v>4.12</v>
      </c>
      <c r="F344">
        <v>3</v>
      </c>
    </row>
    <row r="345" spans="1:6" x14ac:dyDescent="0.3">
      <c r="A345">
        <v>14.66</v>
      </c>
      <c r="B345">
        <v>1</v>
      </c>
      <c r="E345" s="3">
        <v>4.13</v>
      </c>
      <c r="F345">
        <v>3</v>
      </c>
    </row>
    <row r="346" spans="1:6" x14ac:dyDescent="0.3">
      <c r="A346">
        <v>14.65</v>
      </c>
      <c r="B346">
        <v>1</v>
      </c>
      <c r="E346" s="3">
        <v>4.1399999999999997</v>
      </c>
      <c r="F346">
        <v>2</v>
      </c>
    </row>
    <row r="347" spans="1:6" x14ac:dyDescent="0.3">
      <c r="A347">
        <v>14.63</v>
      </c>
      <c r="B347">
        <v>1</v>
      </c>
      <c r="E347" s="3">
        <v>4.17</v>
      </c>
      <c r="F347">
        <v>1</v>
      </c>
    </row>
    <row r="348" spans="1:6" x14ac:dyDescent="0.3">
      <c r="A348">
        <v>14.54</v>
      </c>
      <c r="B348">
        <v>1</v>
      </c>
      <c r="E348" s="3">
        <v>4.18</v>
      </c>
      <c r="F348">
        <v>3</v>
      </c>
    </row>
    <row r="349" spans="1:6" x14ac:dyDescent="0.3">
      <c r="A349">
        <v>14.54</v>
      </c>
      <c r="B349">
        <v>1</v>
      </c>
      <c r="E349" s="3">
        <v>4.1900000000000004</v>
      </c>
      <c r="F349">
        <v>3</v>
      </c>
    </row>
    <row r="350" spans="1:6" x14ac:dyDescent="0.3">
      <c r="A350">
        <v>14.49</v>
      </c>
      <c r="B350">
        <v>1</v>
      </c>
      <c r="E350" s="3">
        <v>4.21</v>
      </c>
      <c r="F350">
        <v>3</v>
      </c>
    </row>
    <row r="351" spans="1:6" x14ac:dyDescent="0.3">
      <c r="A351">
        <v>14.48</v>
      </c>
      <c r="B351">
        <v>1</v>
      </c>
      <c r="E351" s="3">
        <v>4.22</v>
      </c>
      <c r="F351">
        <v>2</v>
      </c>
    </row>
    <row r="352" spans="1:6" x14ac:dyDescent="0.3">
      <c r="A352">
        <v>14.46</v>
      </c>
      <c r="B352">
        <v>1</v>
      </c>
      <c r="E352" s="3">
        <v>4.2300000000000004</v>
      </c>
      <c r="F352">
        <v>2</v>
      </c>
    </row>
    <row r="353" spans="1:6" x14ac:dyDescent="0.3">
      <c r="A353">
        <v>14.44</v>
      </c>
      <c r="B353">
        <v>1</v>
      </c>
      <c r="E353" s="3">
        <v>4.24</v>
      </c>
      <c r="F353">
        <v>3</v>
      </c>
    </row>
    <row r="354" spans="1:6" x14ac:dyDescent="0.3">
      <c r="A354">
        <v>14.42</v>
      </c>
      <c r="B354">
        <v>1</v>
      </c>
      <c r="E354" s="3">
        <v>4.25</v>
      </c>
      <c r="F354">
        <v>2</v>
      </c>
    </row>
    <row r="355" spans="1:6" x14ac:dyDescent="0.3">
      <c r="A355">
        <v>14.38</v>
      </c>
      <c r="B355">
        <v>1</v>
      </c>
      <c r="E355" s="3">
        <v>4.26</v>
      </c>
      <c r="F355">
        <v>1</v>
      </c>
    </row>
    <row r="356" spans="1:6" x14ac:dyDescent="0.3">
      <c r="A356">
        <v>14.38</v>
      </c>
      <c r="B356">
        <v>1</v>
      </c>
      <c r="E356" s="3">
        <v>4.28</v>
      </c>
      <c r="F356">
        <v>2</v>
      </c>
    </row>
    <row r="357" spans="1:6" x14ac:dyDescent="0.3">
      <c r="A357">
        <v>14.31</v>
      </c>
      <c r="B357">
        <v>1</v>
      </c>
      <c r="E357" s="3">
        <v>4.29</v>
      </c>
      <c r="F357">
        <v>2</v>
      </c>
    </row>
    <row r="358" spans="1:6" x14ac:dyDescent="0.3">
      <c r="A358">
        <v>14.25</v>
      </c>
      <c r="B358">
        <v>1</v>
      </c>
      <c r="E358" s="3">
        <v>4.3</v>
      </c>
      <c r="F358">
        <v>1</v>
      </c>
    </row>
    <row r="359" spans="1:6" x14ac:dyDescent="0.3">
      <c r="A359">
        <v>14.25</v>
      </c>
      <c r="B359">
        <v>1</v>
      </c>
      <c r="E359" s="3">
        <v>4.3099999999999996</v>
      </c>
      <c r="F359">
        <v>4</v>
      </c>
    </row>
    <row r="360" spans="1:6" x14ac:dyDescent="0.3">
      <c r="A360">
        <v>14.25</v>
      </c>
      <c r="B360">
        <v>1</v>
      </c>
      <c r="E360" s="3">
        <v>4.32</v>
      </c>
      <c r="F360">
        <v>1</v>
      </c>
    </row>
    <row r="361" spans="1:6" x14ac:dyDescent="0.3">
      <c r="A361">
        <v>14.21</v>
      </c>
      <c r="B361">
        <v>1</v>
      </c>
      <c r="E361" s="3">
        <v>4.33</v>
      </c>
      <c r="F361">
        <v>1</v>
      </c>
    </row>
    <row r="362" spans="1:6" x14ac:dyDescent="0.3">
      <c r="A362">
        <v>14.17</v>
      </c>
      <c r="B362">
        <v>1</v>
      </c>
      <c r="E362" s="3">
        <v>4.34</v>
      </c>
      <c r="F362">
        <v>3</v>
      </c>
    </row>
    <row r="363" spans="1:6" x14ac:dyDescent="0.3">
      <c r="A363">
        <v>14.12</v>
      </c>
      <c r="B363">
        <v>1</v>
      </c>
      <c r="E363" s="3">
        <v>4.3499999999999996</v>
      </c>
      <c r="F363">
        <v>3</v>
      </c>
    </row>
    <row r="364" spans="1:6" x14ac:dyDescent="0.3">
      <c r="A364">
        <v>14.09</v>
      </c>
      <c r="B364">
        <v>1</v>
      </c>
      <c r="E364" s="3">
        <v>4.3600000000000003</v>
      </c>
      <c r="F364">
        <v>2</v>
      </c>
    </row>
    <row r="365" spans="1:6" x14ac:dyDescent="0.3">
      <c r="A365">
        <v>14.05</v>
      </c>
      <c r="B365">
        <v>1</v>
      </c>
      <c r="E365" s="3">
        <v>4.37</v>
      </c>
      <c r="F365">
        <v>3</v>
      </c>
    </row>
    <row r="366" spans="1:6" x14ac:dyDescent="0.3">
      <c r="A366">
        <v>14.05</v>
      </c>
      <c r="B366">
        <v>1</v>
      </c>
      <c r="E366" s="3">
        <v>4.38</v>
      </c>
      <c r="F366">
        <v>1</v>
      </c>
    </row>
    <row r="367" spans="1:6" x14ac:dyDescent="0.3">
      <c r="A367">
        <v>14.02</v>
      </c>
      <c r="B367">
        <v>1</v>
      </c>
      <c r="E367" s="3">
        <v>4.3899999999999997</v>
      </c>
      <c r="F367">
        <v>2</v>
      </c>
    </row>
    <row r="368" spans="1:6" x14ac:dyDescent="0.3">
      <c r="A368">
        <v>14.02</v>
      </c>
      <c r="B368">
        <v>1</v>
      </c>
      <c r="E368" s="3">
        <v>4.4000000000000004</v>
      </c>
      <c r="F368">
        <v>1</v>
      </c>
    </row>
    <row r="369" spans="1:6" x14ac:dyDescent="0.3">
      <c r="A369">
        <v>13.98</v>
      </c>
      <c r="B369">
        <v>1</v>
      </c>
      <c r="E369" s="3">
        <v>4.41</v>
      </c>
      <c r="F369">
        <v>4</v>
      </c>
    </row>
    <row r="370" spans="1:6" x14ac:dyDescent="0.3">
      <c r="A370">
        <v>13.95</v>
      </c>
      <c r="B370">
        <v>1</v>
      </c>
      <c r="E370" s="3">
        <v>4.42</v>
      </c>
      <c r="F370">
        <v>5</v>
      </c>
    </row>
    <row r="371" spans="1:6" x14ac:dyDescent="0.3">
      <c r="A371">
        <v>13.93</v>
      </c>
      <c r="B371">
        <v>1</v>
      </c>
      <c r="E371" s="3">
        <v>4.43</v>
      </c>
      <c r="F371">
        <v>4</v>
      </c>
    </row>
    <row r="372" spans="1:6" x14ac:dyDescent="0.3">
      <c r="A372">
        <v>13.86</v>
      </c>
      <c r="B372">
        <v>1</v>
      </c>
      <c r="E372" s="3">
        <v>4.4400000000000004</v>
      </c>
      <c r="F372">
        <v>1</v>
      </c>
    </row>
    <row r="373" spans="1:6" x14ac:dyDescent="0.3">
      <c r="A373">
        <v>13.68</v>
      </c>
      <c r="B373">
        <v>1</v>
      </c>
      <c r="E373" s="3">
        <v>4.45</v>
      </c>
      <c r="F373">
        <v>2</v>
      </c>
    </row>
    <row r="374" spans="1:6" x14ac:dyDescent="0.3">
      <c r="A374">
        <v>13.63</v>
      </c>
      <c r="B374">
        <v>1</v>
      </c>
      <c r="E374" s="3">
        <v>4.46</v>
      </c>
      <c r="F374">
        <v>2</v>
      </c>
    </row>
    <row r="375" spans="1:6" x14ac:dyDescent="0.3">
      <c r="A375">
        <v>13.57</v>
      </c>
      <c r="B375">
        <v>1</v>
      </c>
      <c r="E375" s="3">
        <v>4.47</v>
      </c>
      <c r="F375">
        <v>1</v>
      </c>
    </row>
    <row r="376" spans="1:6" x14ac:dyDescent="0.3">
      <c r="A376">
        <v>13.52</v>
      </c>
      <c r="B376">
        <v>1</v>
      </c>
      <c r="E376" s="3">
        <v>4.49</v>
      </c>
      <c r="F376">
        <v>2</v>
      </c>
    </row>
    <row r="377" spans="1:6" x14ac:dyDescent="0.3">
      <c r="A377">
        <v>13.52</v>
      </c>
      <c r="B377">
        <v>1</v>
      </c>
      <c r="E377" s="3">
        <v>4.5</v>
      </c>
      <c r="F377">
        <v>1</v>
      </c>
    </row>
    <row r="378" spans="1:6" x14ac:dyDescent="0.3">
      <c r="A378">
        <v>13.5</v>
      </c>
      <c r="B378">
        <v>1</v>
      </c>
      <c r="E378" s="3">
        <v>4.51</v>
      </c>
      <c r="F378">
        <v>2</v>
      </c>
    </row>
    <row r="379" spans="1:6" x14ac:dyDescent="0.3">
      <c r="A379">
        <v>13.46</v>
      </c>
      <c r="B379">
        <v>1</v>
      </c>
      <c r="E379" s="3">
        <v>4.5199999999999996</v>
      </c>
      <c r="F379">
        <v>1</v>
      </c>
    </row>
    <row r="380" spans="1:6" x14ac:dyDescent="0.3">
      <c r="A380">
        <v>13.43</v>
      </c>
      <c r="B380">
        <v>1</v>
      </c>
      <c r="E380" s="3">
        <v>4.53</v>
      </c>
      <c r="F380">
        <v>1</v>
      </c>
    </row>
    <row r="381" spans="1:6" x14ac:dyDescent="0.3">
      <c r="A381">
        <v>13.41</v>
      </c>
      <c r="B381">
        <v>1</v>
      </c>
      <c r="E381" s="3">
        <v>4.55</v>
      </c>
      <c r="F381">
        <v>1</v>
      </c>
    </row>
    <row r="382" spans="1:6" x14ac:dyDescent="0.3">
      <c r="A382">
        <v>13.38</v>
      </c>
      <c r="B382">
        <v>1</v>
      </c>
      <c r="E382" s="3">
        <v>4.57</v>
      </c>
      <c r="F382">
        <v>1</v>
      </c>
    </row>
    <row r="383" spans="1:6" x14ac:dyDescent="0.3">
      <c r="A383">
        <v>13.37</v>
      </c>
      <c r="B383">
        <v>1</v>
      </c>
      <c r="E383" s="3">
        <v>4.59</v>
      </c>
      <c r="F383">
        <v>1</v>
      </c>
    </row>
    <row r="384" spans="1:6" x14ac:dyDescent="0.3">
      <c r="A384">
        <v>13.3</v>
      </c>
      <c r="B384">
        <v>1</v>
      </c>
      <c r="E384" s="3">
        <v>4.5999999999999996</v>
      </c>
      <c r="F384">
        <v>3</v>
      </c>
    </row>
    <row r="385" spans="1:6" x14ac:dyDescent="0.3">
      <c r="A385">
        <v>13.29</v>
      </c>
      <c r="B385">
        <v>1</v>
      </c>
      <c r="E385" s="3">
        <v>4.6100000000000003</v>
      </c>
      <c r="F385">
        <v>3</v>
      </c>
    </row>
    <row r="386" spans="1:6" x14ac:dyDescent="0.3">
      <c r="A386">
        <v>13.28</v>
      </c>
      <c r="B386">
        <v>1</v>
      </c>
      <c r="E386" s="3">
        <v>4.63</v>
      </c>
      <c r="F386">
        <v>2</v>
      </c>
    </row>
    <row r="387" spans="1:6" x14ac:dyDescent="0.3">
      <c r="A387">
        <v>13.27</v>
      </c>
      <c r="B387">
        <v>1</v>
      </c>
      <c r="E387" s="3">
        <v>4.6399999999999997</v>
      </c>
      <c r="F387">
        <v>1</v>
      </c>
    </row>
    <row r="388" spans="1:6" x14ac:dyDescent="0.3">
      <c r="A388">
        <v>13.27</v>
      </c>
      <c r="B388">
        <v>1</v>
      </c>
      <c r="E388" s="3">
        <v>4.6500000000000004</v>
      </c>
      <c r="F388">
        <v>2</v>
      </c>
    </row>
    <row r="389" spans="1:6" x14ac:dyDescent="0.3">
      <c r="A389">
        <v>13.27</v>
      </c>
      <c r="B389">
        <v>1</v>
      </c>
      <c r="E389" s="3">
        <v>4.66</v>
      </c>
      <c r="F389">
        <v>3</v>
      </c>
    </row>
    <row r="390" spans="1:6" x14ac:dyDescent="0.3">
      <c r="A390">
        <v>13.23</v>
      </c>
      <c r="B390">
        <v>1</v>
      </c>
      <c r="E390" s="3">
        <v>4.68</v>
      </c>
      <c r="F390">
        <v>1</v>
      </c>
    </row>
    <row r="391" spans="1:6" x14ac:dyDescent="0.3">
      <c r="A391">
        <v>13.22</v>
      </c>
      <c r="B391">
        <v>1</v>
      </c>
      <c r="E391" s="3">
        <v>4.6900000000000004</v>
      </c>
      <c r="F391">
        <v>3</v>
      </c>
    </row>
    <row r="392" spans="1:6" x14ac:dyDescent="0.3">
      <c r="A392">
        <v>13.21</v>
      </c>
      <c r="B392">
        <v>1</v>
      </c>
      <c r="E392" s="3">
        <v>4.7</v>
      </c>
      <c r="F392">
        <v>1</v>
      </c>
    </row>
    <row r="393" spans="1:6" x14ac:dyDescent="0.3">
      <c r="A393">
        <v>13.19</v>
      </c>
      <c r="B393">
        <v>1</v>
      </c>
      <c r="E393" s="3">
        <v>4.71</v>
      </c>
      <c r="F393">
        <v>2</v>
      </c>
    </row>
    <row r="394" spans="1:6" x14ac:dyDescent="0.3">
      <c r="A394">
        <v>13.18</v>
      </c>
      <c r="B394">
        <v>1</v>
      </c>
      <c r="E394" s="3">
        <v>4.72</v>
      </c>
      <c r="F394">
        <v>2</v>
      </c>
    </row>
    <row r="395" spans="1:6" x14ac:dyDescent="0.3">
      <c r="A395">
        <v>13.17</v>
      </c>
      <c r="B395">
        <v>1</v>
      </c>
      <c r="E395" s="3">
        <v>4.7300000000000004</v>
      </c>
      <c r="F395">
        <v>3</v>
      </c>
    </row>
    <row r="396" spans="1:6" x14ac:dyDescent="0.3">
      <c r="A396">
        <v>13.17</v>
      </c>
      <c r="B396">
        <v>1</v>
      </c>
      <c r="E396" s="3">
        <v>4.74</v>
      </c>
      <c r="F396">
        <v>3</v>
      </c>
    </row>
    <row r="397" spans="1:6" x14ac:dyDescent="0.3">
      <c r="A397">
        <v>13.07</v>
      </c>
      <c r="B397">
        <v>1</v>
      </c>
      <c r="E397" s="3">
        <v>4.75</v>
      </c>
      <c r="F397">
        <v>1</v>
      </c>
    </row>
    <row r="398" spans="1:6" x14ac:dyDescent="0.3">
      <c r="A398">
        <v>13.07</v>
      </c>
      <c r="B398">
        <v>1</v>
      </c>
      <c r="E398" s="3">
        <v>4.7699999999999996</v>
      </c>
      <c r="F398">
        <v>3</v>
      </c>
    </row>
    <row r="399" spans="1:6" x14ac:dyDescent="0.3">
      <c r="A399">
        <v>13.01</v>
      </c>
      <c r="B399">
        <v>1</v>
      </c>
      <c r="E399" s="3">
        <v>4.78</v>
      </c>
      <c r="F399">
        <v>2</v>
      </c>
    </row>
    <row r="400" spans="1:6" x14ac:dyDescent="0.3">
      <c r="A400">
        <v>12.93</v>
      </c>
      <c r="B400">
        <v>1</v>
      </c>
      <c r="E400" s="3">
        <v>4.79</v>
      </c>
      <c r="F400">
        <v>1</v>
      </c>
    </row>
    <row r="401" spans="1:6" x14ac:dyDescent="0.3">
      <c r="A401">
        <v>12.92</v>
      </c>
      <c r="B401">
        <v>1</v>
      </c>
      <c r="E401" s="3">
        <v>4.8</v>
      </c>
      <c r="F401">
        <v>1</v>
      </c>
    </row>
    <row r="402" spans="1:6" x14ac:dyDescent="0.3">
      <c r="A402">
        <v>12.9</v>
      </c>
      <c r="B402">
        <v>1</v>
      </c>
      <c r="E402" s="3">
        <v>4.8099999999999996</v>
      </c>
      <c r="F402">
        <v>1</v>
      </c>
    </row>
    <row r="403" spans="1:6" x14ac:dyDescent="0.3">
      <c r="A403">
        <v>12.86</v>
      </c>
      <c r="B403">
        <v>1</v>
      </c>
      <c r="E403" s="3">
        <v>4.82</v>
      </c>
      <c r="F403">
        <v>4</v>
      </c>
    </row>
    <row r="404" spans="1:6" x14ac:dyDescent="0.3">
      <c r="A404">
        <v>12.84</v>
      </c>
      <c r="B404">
        <v>1</v>
      </c>
      <c r="E404" s="3">
        <v>4.83</v>
      </c>
      <c r="F404">
        <v>2</v>
      </c>
    </row>
    <row r="405" spans="1:6" x14ac:dyDescent="0.3">
      <c r="A405">
        <v>12.82</v>
      </c>
      <c r="B405">
        <v>1</v>
      </c>
      <c r="E405" s="3">
        <v>4.8499999999999996</v>
      </c>
      <c r="F405">
        <v>2</v>
      </c>
    </row>
    <row r="406" spans="1:6" x14ac:dyDescent="0.3">
      <c r="A406">
        <v>12.81</v>
      </c>
      <c r="B406">
        <v>1</v>
      </c>
      <c r="E406" s="3">
        <v>4.8600000000000003</v>
      </c>
      <c r="F406">
        <v>2</v>
      </c>
    </row>
    <row r="407" spans="1:6" x14ac:dyDescent="0.3">
      <c r="A407">
        <v>12.8</v>
      </c>
      <c r="B407">
        <v>1</v>
      </c>
      <c r="E407" s="3">
        <v>4.87</v>
      </c>
      <c r="F407">
        <v>2</v>
      </c>
    </row>
    <row r="408" spans="1:6" x14ac:dyDescent="0.3">
      <c r="A408">
        <v>12.77</v>
      </c>
      <c r="B408">
        <v>1</v>
      </c>
      <c r="E408" s="3">
        <v>4.91</v>
      </c>
      <c r="F408">
        <v>2</v>
      </c>
    </row>
    <row r="409" spans="1:6" x14ac:dyDescent="0.3">
      <c r="A409">
        <v>12.77</v>
      </c>
      <c r="B409">
        <v>1</v>
      </c>
      <c r="E409" s="3">
        <v>4.92</v>
      </c>
      <c r="F409">
        <v>2</v>
      </c>
    </row>
    <row r="410" spans="1:6" x14ac:dyDescent="0.3">
      <c r="A410">
        <v>12.76</v>
      </c>
      <c r="B410">
        <v>1</v>
      </c>
      <c r="E410" s="3">
        <v>4.93</v>
      </c>
      <c r="F410">
        <v>1</v>
      </c>
    </row>
    <row r="411" spans="1:6" x14ac:dyDescent="0.3">
      <c r="A411">
        <v>12.74</v>
      </c>
      <c r="B411">
        <v>1</v>
      </c>
      <c r="E411" s="3">
        <v>4.9400000000000004</v>
      </c>
      <c r="F411">
        <v>1</v>
      </c>
    </row>
    <row r="412" spans="1:6" x14ac:dyDescent="0.3">
      <c r="A412">
        <v>12.72</v>
      </c>
      <c r="B412">
        <v>1</v>
      </c>
      <c r="E412" s="3">
        <v>4.95</v>
      </c>
      <c r="F412">
        <v>2</v>
      </c>
    </row>
    <row r="413" spans="1:6" x14ac:dyDescent="0.3">
      <c r="A413">
        <v>12.71</v>
      </c>
      <c r="B413">
        <v>1</v>
      </c>
      <c r="E413" s="3">
        <v>4.9800000000000004</v>
      </c>
      <c r="F413">
        <v>2</v>
      </c>
    </row>
    <row r="414" spans="1:6" x14ac:dyDescent="0.3">
      <c r="A414">
        <v>12.64</v>
      </c>
      <c r="B414">
        <v>1</v>
      </c>
      <c r="E414" s="3">
        <v>4.99</v>
      </c>
      <c r="F414">
        <v>3</v>
      </c>
    </row>
    <row r="415" spans="1:6" x14ac:dyDescent="0.3">
      <c r="A415">
        <v>12.6</v>
      </c>
      <c r="B415">
        <v>1</v>
      </c>
      <c r="E415" s="3">
        <v>5</v>
      </c>
      <c r="F415">
        <v>2</v>
      </c>
    </row>
    <row r="416" spans="1:6" x14ac:dyDescent="0.3">
      <c r="A416">
        <v>12.52</v>
      </c>
      <c r="B416">
        <v>1</v>
      </c>
      <c r="E416" s="3">
        <v>5.01</v>
      </c>
      <c r="F416">
        <v>3</v>
      </c>
    </row>
    <row r="417" spans="1:6" x14ac:dyDescent="0.3">
      <c r="A417">
        <v>12.51</v>
      </c>
      <c r="B417">
        <v>1</v>
      </c>
      <c r="E417" s="3">
        <v>5.0199999999999996</v>
      </c>
      <c r="F417">
        <v>2</v>
      </c>
    </row>
    <row r="418" spans="1:6" x14ac:dyDescent="0.3">
      <c r="A418">
        <v>12.49</v>
      </c>
      <c r="B418">
        <v>1</v>
      </c>
      <c r="E418" s="3">
        <v>5.03</v>
      </c>
      <c r="F418">
        <v>1</v>
      </c>
    </row>
    <row r="419" spans="1:6" x14ac:dyDescent="0.3">
      <c r="A419">
        <v>12.41</v>
      </c>
      <c r="B419">
        <v>1</v>
      </c>
      <c r="E419" s="3">
        <v>5.04</v>
      </c>
      <c r="F419">
        <v>3</v>
      </c>
    </row>
    <row r="420" spans="1:6" x14ac:dyDescent="0.3">
      <c r="A420">
        <v>12.38</v>
      </c>
      <c r="B420">
        <v>1</v>
      </c>
      <c r="E420" s="3">
        <v>5.05</v>
      </c>
      <c r="F420">
        <v>1</v>
      </c>
    </row>
    <row r="421" spans="1:6" x14ac:dyDescent="0.3">
      <c r="A421">
        <v>12.37</v>
      </c>
      <c r="B421">
        <v>1</v>
      </c>
      <c r="E421" s="3">
        <v>5.07</v>
      </c>
      <c r="F421">
        <v>2</v>
      </c>
    </row>
    <row r="422" spans="1:6" x14ac:dyDescent="0.3">
      <c r="A422">
        <v>12.37</v>
      </c>
      <c r="B422">
        <v>1</v>
      </c>
      <c r="E422" s="3">
        <v>5.08</v>
      </c>
      <c r="F422">
        <v>1</v>
      </c>
    </row>
    <row r="423" spans="1:6" x14ac:dyDescent="0.3">
      <c r="A423">
        <v>12.36</v>
      </c>
      <c r="B423">
        <v>1</v>
      </c>
      <c r="E423" s="3">
        <v>5.09</v>
      </c>
      <c r="F423">
        <v>1</v>
      </c>
    </row>
    <row r="424" spans="1:6" x14ac:dyDescent="0.3">
      <c r="A424">
        <v>12.35</v>
      </c>
      <c r="B424">
        <v>1</v>
      </c>
      <c r="E424" s="3">
        <v>5.1100000000000003</v>
      </c>
      <c r="F424">
        <v>1</v>
      </c>
    </row>
    <row r="425" spans="1:6" x14ac:dyDescent="0.3">
      <c r="A425">
        <v>12.35</v>
      </c>
      <c r="B425">
        <v>1</v>
      </c>
      <c r="E425" s="3">
        <v>5.14</v>
      </c>
      <c r="F425">
        <v>4</v>
      </c>
    </row>
    <row r="426" spans="1:6" x14ac:dyDescent="0.3">
      <c r="A426">
        <v>12.34</v>
      </c>
      <c r="B426">
        <v>1</v>
      </c>
      <c r="E426" s="3">
        <v>5.15</v>
      </c>
      <c r="F426">
        <v>3</v>
      </c>
    </row>
    <row r="427" spans="1:6" x14ac:dyDescent="0.3">
      <c r="A427">
        <v>12.32</v>
      </c>
      <c r="B427">
        <v>1</v>
      </c>
      <c r="E427" s="3">
        <v>5.16</v>
      </c>
      <c r="F427">
        <v>2</v>
      </c>
    </row>
    <row r="428" spans="1:6" x14ac:dyDescent="0.3">
      <c r="A428">
        <v>12.31</v>
      </c>
      <c r="B428">
        <v>1</v>
      </c>
      <c r="E428" s="3">
        <v>5.17</v>
      </c>
      <c r="F428">
        <v>1</v>
      </c>
    </row>
    <row r="429" spans="1:6" x14ac:dyDescent="0.3">
      <c r="A429">
        <v>12.3</v>
      </c>
      <c r="B429">
        <v>1</v>
      </c>
      <c r="E429" s="3">
        <v>5.19</v>
      </c>
      <c r="F429">
        <v>2</v>
      </c>
    </row>
    <row r="430" spans="1:6" x14ac:dyDescent="0.3">
      <c r="A430">
        <v>12.3</v>
      </c>
      <c r="B430">
        <v>1</v>
      </c>
      <c r="E430" s="3">
        <v>5.2</v>
      </c>
      <c r="F430">
        <v>3</v>
      </c>
    </row>
    <row r="431" spans="1:6" x14ac:dyDescent="0.3">
      <c r="A431">
        <v>12.22</v>
      </c>
      <c r="B431">
        <v>1</v>
      </c>
      <c r="E431" s="3">
        <v>5.21</v>
      </c>
      <c r="F431">
        <v>4</v>
      </c>
    </row>
    <row r="432" spans="1:6" x14ac:dyDescent="0.3">
      <c r="A432">
        <v>12.22</v>
      </c>
      <c r="B432">
        <v>1</v>
      </c>
      <c r="E432" s="3">
        <v>5.22</v>
      </c>
      <c r="F432">
        <v>5</v>
      </c>
    </row>
    <row r="433" spans="1:6" x14ac:dyDescent="0.3">
      <c r="A433">
        <v>12.16</v>
      </c>
      <c r="B433">
        <v>1</v>
      </c>
      <c r="E433" s="3">
        <v>5.24</v>
      </c>
      <c r="F433">
        <v>2</v>
      </c>
    </row>
    <row r="434" spans="1:6" x14ac:dyDescent="0.3">
      <c r="A434">
        <v>12.16</v>
      </c>
      <c r="B434">
        <v>1</v>
      </c>
      <c r="E434" s="3">
        <v>5.25</v>
      </c>
      <c r="F434">
        <v>3</v>
      </c>
    </row>
    <row r="435" spans="1:6" x14ac:dyDescent="0.3">
      <c r="A435">
        <v>12.12</v>
      </c>
      <c r="B435">
        <v>1</v>
      </c>
      <c r="E435" s="3">
        <v>5.26</v>
      </c>
      <c r="F435">
        <v>3</v>
      </c>
    </row>
    <row r="436" spans="1:6" x14ac:dyDescent="0.3">
      <c r="A436">
        <v>12.12</v>
      </c>
      <c r="B436">
        <v>1</v>
      </c>
      <c r="E436" s="3">
        <v>5.29</v>
      </c>
      <c r="F436">
        <v>1</v>
      </c>
    </row>
    <row r="437" spans="1:6" x14ac:dyDescent="0.3">
      <c r="A437">
        <v>12.09</v>
      </c>
      <c r="B437">
        <v>1</v>
      </c>
      <c r="E437" s="3">
        <v>5.3</v>
      </c>
      <c r="F437">
        <v>3</v>
      </c>
    </row>
    <row r="438" spans="1:6" x14ac:dyDescent="0.3">
      <c r="A438">
        <v>12.03</v>
      </c>
      <c r="B438">
        <v>1</v>
      </c>
      <c r="E438" s="3">
        <v>5.31</v>
      </c>
      <c r="F438">
        <v>2</v>
      </c>
    </row>
    <row r="439" spans="1:6" x14ac:dyDescent="0.3">
      <c r="A439">
        <v>11.99</v>
      </c>
      <c r="B439">
        <v>1</v>
      </c>
      <c r="E439" s="3">
        <v>5.32</v>
      </c>
      <c r="F439">
        <v>3</v>
      </c>
    </row>
    <row r="440" spans="1:6" x14ac:dyDescent="0.3">
      <c r="A440">
        <v>11.98</v>
      </c>
      <c r="B440">
        <v>1</v>
      </c>
      <c r="E440" s="3">
        <v>5.33</v>
      </c>
      <c r="F440">
        <v>2</v>
      </c>
    </row>
    <row r="441" spans="1:6" x14ac:dyDescent="0.3">
      <c r="A441">
        <v>11.95</v>
      </c>
      <c r="B441">
        <v>1</v>
      </c>
      <c r="E441" s="3">
        <v>5.35</v>
      </c>
      <c r="F441">
        <v>4</v>
      </c>
    </row>
    <row r="442" spans="1:6" x14ac:dyDescent="0.3">
      <c r="A442">
        <v>11.93</v>
      </c>
      <c r="B442">
        <v>1</v>
      </c>
      <c r="E442" s="3">
        <v>5.36</v>
      </c>
      <c r="F442">
        <v>1</v>
      </c>
    </row>
    <row r="443" spans="1:6" x14ac:dyDescent="0.3">
      <c r="A443">
        <v>11.89</v>
      </c>
      <c r="B443">
        <v>1</v>
      </c>
      <c r="E443" s="3">
        <v>5.39</v>
      </c>
      <c r="F443">
        <v>1</v>
      </c>
    </row>
    <row r="444" spans="1:6" x14ac:dyDescent="0.3">
      <c r="A444">
        <v>11.86</v>
      </c>
      <c r="B444">
        <v>1</v>
      </c>
      <c r="E444" s="3">
        <v>5.4</v>
      </c>
      <c r="F444">
        <v>1</v>
      </c>
    </row>
    <row r="445" spans="1:6" x14ac:dyDescent="0.3">
      <c r="A445">
        <v>11.84</v>
      </c>
      <c r="B445">
        <v>1</v>
      </c>
      <c r="E445" s="3">
        <v>5.42</v>
      </c>
      <c r="F445">
        <v>3</v>
      </c>
    </row>
    <row r="446" spans="1:6" x14ac:dyDescent="0.3">
      <c r="A446">
        <v>11.84</v>
      </c>
      <c r="B446">
        <v>1</v>
      </c>
      <c r="E446" s="3">
        <v>5.43</v>
      </c>
      <c r="F446">
        <v>1</v>
      </c>
    </row>
    <row r="447" spans="1:6" x14ac:dyDescent="0.3">
      <c r="A447">
        <v>11.82</v>
      </c>
      <c r="B447">
        <v>1</v>
      </c>
      <c r="E447" s="3">
        <v>5.44</v>
      </c>
      <c r="F447">
        <v>1</v>
      </c>
    </row>
    <row r="448" spans="1:6" x14ac:dyDescent="0.3">
      <c r="A448">
        <v>11.82</v>
      </c>
      <c r="B448">
        <v>1</v>
      </c>
      <c r="E448" s="3">
        <v>5.46</v>
      </c>
      <c r="F448">
        <v>4</v>
      </c>
    </row>
    <row r="449" spans="1:6" x14ac:dyDescent="0.3">
      <c r="A449">
        <v>11.81</v>
      </c>
      <c r="B449">
        <v>1</v>
      </c>
      <c r="E449" s="3">
        <v>5.47</v>
      </c>
      <c r="F449">
        <v>1</v>
      </c>
    </row>
    <row r="450" spans="1:6" x14ac:dyDescent="0.3">
      <c r="A450">
        <v>11.74</v>
      </c>
      <c r="B450">
        <v>1</v>
      </c>
      <c r="E450" s="3">
        <v>5.48</v>
      </c>
      <c r="F450">
        <v>3</v>
      </c>
    </row>
    <row r="451" spans="1:6" x14ac:dyDescent="0.3">
      <c r="A451">
        <v>11.73</v>
      </c>
      <c r="B451">
        <v>1</v>
      </c>
      <c r="E451" s="3">
        <v>5.49</v>
      </c>
      <c r="F451">
        <v>1</v>
      </c>
    </row>
    <row r="452" spans="1:6" x14ac:dyDescent="0.3">
      <c r="A452">
        <v>11.72</v>
      </c>
      <c r="B452">
        <v>1</v>
      </c>
      <c r="E452" s="3">
        <v>5.5</v>
      </c>
      <c r="F452">
        <v>2</v>
      </c>
    </row>
    <row r="453" spans="1:6" x14ac:dyDescent="0.3">
      <c r="A453">
        <v>11.71</v>
      </c>
      <c r="B453">
        <v>1</v>
      </c>
      <c r="E453" s="3">
        <v>5.52</v>
      </c>
      <c r="F453">
        <v>3</v>
      </c>
    </row>
    <row r="454" spans="1:6" x14ac:dyDescent="0.3">
      <c r="A454">
        <v>11.71</v>
      </c>
      <c r="B454">
        <v>1</v>
      </c>
      <c r="E454" s="3">
        <v>5.53</v>
      </c>
      <c r="F454">
        <v>1</v>
      </c>
    </row>
    <row r="455" spans="1:6" x14ac:dyDescent="0.3">
      <c r="A455">
        <v>11.7</v>
      </c>
      <c r="B455">
        <v>1</v>
      </c>
      <c r="E455" s="3">
        <v>5.54</v>
      </c>
      <c r="F455">
        <v>1</v>
      </c>
    </row>
    <row r="456" spans="1:6" x14ac:dyDescent="0.3">
      <c r="A456">
        <v>11.69</v>
      </c>
      <c r="B456">
        <v>1</v>
      </c>
      <c r="E456" s="3">
        <v>5.55</v>
      </c>
      <c r="F456">
        <v>1</v>
      </c>
    </row>
    <row r="457" spans="1:6" x14ac:dyDescent="0.3">
      <c r="A457">
        <v>11.64</v>
      </c>
      <c r="B457">
        <v>1</v>
      </c>
      <c r="E457" s="3">
        <v>5.58</v>
      </c>
      <c r="F457">
        <v>4</v>
      </c>
    </row>
    <row r="458" spans="1:6" x14ac:dyDescent="0.3">
      <c r="A458">
        <v>11.64</v>
      </c>
      <c r="B458">
        <v>1</v>
      </c>
      <c r="E458" s="3">
        <v>5.6</v>
      </c>
      <c r="F458">
        <v>2</v>
      </c>
    </row>
    <row r="459" spans="1:6" x14ac:dyDescent="0.3">
      <c r="A459">
        <v>11.62</v>
      </c>
      <c r="B459">
        <v>1</v>
      </c>
      <c r="E459" s="3">
        <v>5.61</v>
      </c>
      <c r="F459">
        <v>1</v>
      </c>
    </row>
    <row r="460" spans="1:6" x14ac:dyDescent="0.3">
      <c r="A460">
        <v>11.61</v>
      </c>
      <c r="B460">
        <v>1</v>
      </c>
      <c r="E460" s="3">
        <v>5.62</v>
      </c>
      <c r="F460">
        <v>2</v>
      </c>
    </row>
    <row r="461" spans="1:6" x14ac:dyDescent="0.3">
      <c r="A461">
        <v>11.56</v>
      </c>
      <c r="B461">
        <v>1</v>
      </c>
      <c r="E461" s="3">
        <v>5.63</v>
      </c>
      <c r="F461">
        <v>1</v>
      </c>
    </row>
    <row r="462" spans="1:6" x14ac:dyDescent="0.3">
      <c r="A462">
        <v>11.55</v>
      </c>
      <c r="B462">
        <v>1</v>
      </c>
      <c r="E462" s="3">
        <v>5.64</v>
      </c>
      <c r="F462">
        <v>2</v>
      </c>
    </row>
    <row r="463" spans="1:6" x14ac:dyDescent="0.3">
      <c r="A463">
        <v>11.54</v>
      </c>
      <c r="B463">
        <v>1</v>
      </c>
      <c r="E463" s="3">
        <v>5.65</v>
      </c>
      <c r="F463">
        <v>2</v>
      </c>
    </row>
    <row r="464" spans="1:6" x14ac:dyDescent="0.3">
      <c r="A464">
        <v>11.51</v>
      </c>
      <c r="B464">
        <v>1</v>
      </c>
      <c r="E464" s="3">
        <v>5.66</v>
      </c>
      <c r="F464">
        <v>1</v>
      </c>
    </row>
    <row r="465" spans="1:6" x14ac:dyDescent="0.3">
      <c r="A465">
        <v>11.49</v>
      </c>
      <c r="B465">
        <v>1</v>
      </c>
      <c r="E465" s="3">
        <v>5.67</v>
      </c>
      <c r="F465">
        <v>3</v>
      </c>
    </row>
    <row r="466" spans="1:6" x14ac:dyDescent="0.3">
      <c r="A466">
        <v>11.46</v>
      </c>
      <c r="B466">
        <v>1</v>
      </c>
      <c r="E466" s="3">
        <v>5.68</v>
      </c>
      <c r="F466">
        <v>2</v>
      </c>
    </row>
    <row r="467" spans="1:6" x14ac:dyDescent="0.3">
      <c r="A467">
        <v>11.43</v>
      </c>
      <c r="B467">
        <v>1</v>
      </c>
      <c r="E467" s="3">
        <v>5.7</v>
      </c>
      <c r="F467">
        <v>1</v>
      </c>
    </row>
    <row r="468" spans="1:6" x14ac:dyDescent="0.3">
      <c r="A468">
        <v>11.43</v>
      </c>
      <c r="B468">
        <v>1</v>
      </c>
      <c r="E468" s="3">
        <v>5.71</v>
      </c>
      <c r="F468">
        <v>3</v>
      </c>
    </row>
    <row r="469" spans="1:6" x14ac:dyDescent="0.3">
      <c r="A469">
        <v>11.38</v>
      </c>
      <c r="B469">
        <v>1</v>
      </c>
      <c r="E469" s="3">
        <v>5.72</v>
      </c>
      <c r="F469">
        <v>3</v>
      </c>
    </row>
    <row r="470" spans="1:6" x14ac:dyDescent="0.3">
      <c r="A470">
        <v>11.37</v>
      </c>
      <c r="B470">
        <v>1</v>
      </c>
      <c r="E470" s="3">
        <v>5.73</v>
      </c>
      <c r="F470">
        <v>4</v>
      </c>
    </row>
    <row r="471" spans="1:6" x14ac:dyDescent="0.3">
      <c r="A471">
        <v>11.35</v>
      </c>
      <c r="B471">
        <v>1</v>
      </c>
      <c r="E471" s="3">
        <v>5.74</v>
      </c>
      <c r="F471">
        <v>1</v>
      </c>
    </row>
    <row r="472" spans="1:6" x14ac:dyDescent="0.3">
      <c r="A472">
        <v>11.35</v>
      </c>
      <c r="B472">
        <v>1</v>
      </c>
      <c r="E472" s="3">
        <v>5.77</v>
      </c>
      <c r="F472">
        <v>1</v>
      </c>
    </row>
    <row r="473" spans="1:6" x14ac:dyDescent="0.3">
      <c r="A473">
        <v>11.31</v>
      </c>
      <c r="B473">
        <v>1</v>
      </c>
      <c r="E473" s="3">
        <v>5.78</v>
      </c>
      <c r="F473">
        <v>3</v>
      </c>
    </row>
    <row r="474" spans="1:6" x14ac:dyDescent="0.3">
      <c r="A474">
        <v>11.28</v>
      </c>
      <c r="B474">
        <v>1</v>
      </c>
      <c r="E474" s="3">
        <v>5.79</v>
      </c>
      <c r="F474">
        <v>4</v>
      </c>
    </row>
    <row r="475" spans="1:6" x14ac:dyDescent="0.3">
      <c r="A475">
        <v>11.24</v>
      </c>
      <c r="B475">
        <v>1</v>
      </c>
      <c r="E475" s="3">
        <v>5.81</v>
      </c>
      <c r="F475">
        <v>5</v>
      </c>
    </row>
    <row r="476" spans="1:6" x14ac:dyDescent="0.3">
      <c r="A476">
        <v>11.19</v>
      </c>
      <c r="B476">
        <v>1</v>
      </c>
      <c r="E476" s="3">
        <v>5.82</v>
      </c>
      <c r="F476">
        <v>2</v>
      </c>
    </row>
    <row r="477" spans="1:6" x14ac:dyDescent="0.3">
      <c r="A477">
        <v>11.16</v>
      </c>
      <c r="B477">
        <v>1</v>
      </c>
      <c r="E477" s="3">
        <v>5.83</v>
      </c>
      <c r="F477">
        <v>2</v>
      </c>
    </row>
    <row r="478" spans="1:6" x14ac:dyDescent="0.3">
      <c r="A478">
        <v>11.16</v>
      </c>
      <c r="B478">
        <v>1</v>
      </c>
      <c r="E478" s="3">
        <v>5.84</v>
      </c>
      <c r="F478">
        <v>2</v>
      </c>
    </row>
    <row r="479" spans="1:6" x14ac:dyDescent="0.3">
      <c r="A479">
        <v>11.14</v>
      </c>
      <c r="B479">
        <v>1</v>
      </c>
      <c r="E479" s="3">
        <v>5.86</v>
      </c>
      <c r="F479">
        <v>1</v>
      </c>
    </row>
    <row r="480" spans="1:6" x14ac:dyDescent="0.3">
      <c r="A480">
        <v>11.12</v>
      </c>
      <c r="B480">
        <v>1</v>
      </c>
      <c r="E480" s="3">
        <v>5.88</v>
      </c>
      <c r="F480">
        <v>2</v>
      </c>
    </row>
    <row r="481" spans="1:6" x14ac:dyDescent="0.3">
      <c r="A481">
        <v>11.1</v>
      </c>
      <c r="B481">
        <v>1</v>
      </c>
      <c r="E481" s="3">
        <v>5.9</v>
      </c>
      <c r="F481">
        <v>2</v>
      </c>
    </row>
    <row r="482" spans="1:6" x14ac:dyDescent="0.3">
      <c r="A482">
        <v>11.02</v>
      </c>
      <c r="B482">
        <v>1</v>
      </c>
      <c r="E482" s="3">
        <v>5.91</v>
      </c>
      <c r="F482">
        <v>2</v>
      </c>
    </row>
    <row r="483" spans="1:6" x14ac:dyDescent="0.3">
      <c r="A483">
        <v>11.02</v>
      </c>
      <c r="B483">
        <v>1</v>
      </c>
      <c r="E483" s="3">
        <v>5.93</v>
      </c>
      <c r="F483">
        <v>1</v>
      </c>
    </row>
    <row r="484" spans="1:6" x14ac:dyDescent="0.3">
      <c r="A484">
        <v>11</v>
      </c>
      <c r="B484">
        <v>1</v>
      </c>
      <c r="E484" s="3">
        <v>5.94</v>
      </c>
      <c r="F484">
        <v>2</v>
      </c>
    </row>
    <row r="485" spans="1:6" x14ac:dyDescent="0.3">
      <c r="A485">
        <v>10.99</v>
      </c>
      <c r="B485">
        <v>1</v>
      </c>
      <c r="E485" s="3">
        <v>5.95</v>
      </c>
      <c r="F485">
        <v>2</v>
      </c>
    </row>
    <row r="486" spans="1:6" x14ac:dyDescent="0.3">
      <c r="A486">
        <v>10.98</v>
      </c>
      <c r="B486">
        <v>1</v>
      </c>
      <c r="E486" s="3">
        <v>5.99</v>
      </c>
      <c r="F486">
        <v>2</v>
      </c>
    </row>
    <row r="487" spans="1:6" x14ac:dyDescent="0.3">
      <c r="A487">
        <v>10.93</v>
      </c>
      <c r="B487">
        <v>1</v>
      </c>
      <c r="E487" s="3">
        <v>6</v>
      </c>
      <c r="F487">
        <v>2</v>
      </c>
    </row>
    <row r="488" spans="1:6" x14ac:dyDescent="0.3">
      <c r="A488">
        <v>10.92</v>
      </c>
      <c r="B488">
        <v>1</v>
      </c>
      <c r="E488" s="3">
        <v>6.01</v>
      </c>
      <c r="F488">
        <v>2</v>
      </c>
    </row>
    <row r="489" spans="1:6" x14ac:dyDescent="0.3">
      <c r="A489">
        <v>10.79</v>
      </c>
      <c r="B489">
        <v>1</v>
      </c>
      <c r="E489" s="3">
        <v>6.02</v>
      </c>
      <c r="F489">
        <v>3</v>
      </c>
    </row>
    <row r="490" spans="1:6" x14ac:dyDescent="0.3">
      <c r="A490">
        <v>10.79</v>
      </c>
      <c r="B490">
        <v>1</v>
      </c>
      <c r="E490" s="3">
        <v>6.04</v>
      </c>
      <c r="F490">
        <v>1</v>
      </c>
    </row>
    <row r="491" spans="1:6" x14ac:dyDescent="0.3">
      <c r="A491">
        <v>10.78</v>
      </c>
      <c r="B491">
        <v>1</v>
      </c>
      <c r="E491" s="3">
        <v>6.06</v>
      </c>
      <c r="F491">
        <v>1</v>
      </c>
    </row>
    <row r="492" spans="1:6" x14ac:dyDescent="0.3">
      <c r="A492">
        <v>10.76</v>
      </c>
      <c r="B492">
        <v>1</v>
      </c>
      <c r="E492" s="3">
        <v>6.07</v>
      </c>
      <c r="F492">
        <v>2</v>
      </c>
    </row>
    <row r="493" spans="1:6" x14ac:dyDescent="0.3">
      <c r="A493">
        <v>10.76</v>
      </c>
      <c r="B493">
        <v>1</v>
      </c>
      <c r="E493" s="3">
        <v>6.08</v>
      </c>
      <c r="F493">
        <v>2</v>
      </c>
    </row>
    <row r="494" spans="1:6" x14ac:dyDescent="0.3">
      <c r="A494">
        <v>10.75</v>
      </c>
      <c r="B494">
        <v>1</v>
      </c>
      <c r="E494" s="3">
        <v>6.1</v>
      </c>
      <c r="F494">
        <v>1</v>
      </c>
    </row>
    <row r="495" spans="1:6" x14ac:dyDescent="0.3">
      <c r="A495">
        <v>10.74</v>
      </c>
      <c r="B495">
        <v>1</v>
      </c>
      <c r="E495" s="3">
        <v>6.11</v>
      </c>
      <c r="F495">
        <v>1</v>
      </c>
    </row>
    <row r="496" spans="1:6" x14ac:dyDescent="0.3">
      <c r="A496">
        <v>10.73</v>
      </c>
      <c r="B496">
        <v>1</v>
      </c>
      <c r="E496" s="3">
        <v>6.12</v>
      </c>
      <c r="F496">
        <v>1</v>
      </c>
    </row>
    <row r="497" spans="1:6" x14ac:dyDescent="0.3">
      <c r="A497">
        <v>10.69</v>
      </c>
      <c r="B497">
        <v>1</v>
      </c>
      <c r="E497" s="3">
        <v>6.13</v>
      </c>
      <c r="F497">
        <v>2</v>
      </c>
    </row>
    <row r="498" spans="1:6" x14ac:dyDescent="0.3">
      <c r="A498">
        <v>10.67</v>
      </c>
      <c r="B498">
        <v>1</v>
      </c>
      <c r="E498" s="3">
        <v>6.14</v>
      </c>
      <c r="F498">
        <v>1</v>
      </c>
    </row>
    <row r="499" spans="1:6" x14ac:dyDescent="0.3">
      <c r="A499">
        <v>10.64</v>
      </c>
      <c r="B499">
        <v>1</v>
      </c>
      <c r="E499" s="3">
        <v>6.15</v>
      </c>
      <c r="F499">
        <v>1</v>
      </c>
    </row>
    <row r="500" spans="1:6" x14ac:dyDescent="0.3">
      <c r="A500">
        <v>10.63</v>
      </c>
      <c r="B500">
        <v>1</v>
      </c>
      <c r="E500" s="3">
        <v>6.16</v>
      </c>
      <c r="F500">
        <v>1</v>
      </c>
    </row>
    <row r="501" spans="1:6" x14ac:dyDescent="0.3">
      <c r="A501">
        <v>10.61</v>
      </c>
      <c r="B501">
        <v>1</v>
      </c>
      <c r="E501" s="3">
        <v>6.17</v>
      </c>
      <c r="F501">
        <v>2</v>
      </c>
    </row>
    <row r="502" spans="1:6" x14ac:dyDescent="0.3">
      <c r="A502">
        <v>10.6</v>
      </c>
      <c r="B502">
        <v>1</v>
      </c>
      <c r="E502" s="3">
        <v>6.2</v>
      </c>
      <c r="F502">
        <v>2</v>
      </c>
    </row>
    <row r="503" spans="1:6" x14ac:dyDescent="0.3">
      <c r="A503">
        <v>10.51</v>
      </c>
      <c r="B503">
        <v>1</v>
      </c>
      <c r="E503" s="3">
        <v>6.22</v>
      </c>
      <c r="F503">
        <v>1</v>
      </c>
    </row>
    <row r="504" spans="1:6" x14ac:dyDescent="0.3">
      <c r="A504">
        <v>10.51</v>
      </c>
      <c r="B504">
        <v>1</v>
      </c>
      <c r="E504" s="3">
        <v>6.24</v>
      </c>
      <c r="F504">
        <v>2</v>
      </c>
    </row>
    <row r="505" spans="1:6" x14ac:dyDescent="0.3">
      <c r="A505">
        <v>10.42</v>
      </c>
      <c r="B505">
        <v>1</v>
      </c>
      <c r="E505" s="3">
        <v>6.27</v>
      </c>
      <c r="F505">
        <v>1</v>
      </c>
    </row>
    <row r="506" spans="1:6" x14ac:dyDescent="0.3">
      <c r="A506">
        <v>10.39</v>
      </c>
      <c r="B506">
        <v>1</v>
      </c>
      <c r="E506" s="3">
        <v>6.29</v>
      </c>
      <c r="F506">
        <v>2</v>
      </c>
    </row>
    <row r="507" spans="1:6" x14ac:dyDescent="0.3">
      <c r="A507">
        <v>10.39</v>
      </c>
      <c r="B507">
        <v>1</v>
      </c>
      <c r="E507" s="3">
        <v>6.31</v>
      </c>
      <c r="F507">
        <v>2</v>
      </c>
    </row>
    <row r="508" spans="1:6" x14ac:dyDescent="0.3">
      <c r="A508">
        <v>10.37</v>
      </c>
      <c r="B508">
        <v>1</v>
      </c>
      <c r="E508" s="3">
        <v>6.32</v>
      </c>
      <c r="F508">
        <v>1</v>
      </c>
    </row>
    <row r="509" spans="1:6" x14ac:dyDescent="0.3">
      <c r="A509">
        <v>10.37</v>
      </c>
      <c r="B509">
        <v>1</v>
      </c>
      <c r="E509" s="3">
        <v>6.34</v>
      </c>
      <c r="F509">
        <v>1</v>
      </c>
    </row>
    <row r="510" spans="1:6" x14ac:dyDescent="0.3">
      <c r="A510">
        <v>10.34</v>
      </c>
      <c r="B510">
        <v>1</v>
      </c>
      <c r="E510" s="3">
        <v>6.35</v>
      </c>
      <c r="F510">
        <v>3</v>
      </c>
    </row>
    <row r="511" spans="1:6" x14ac:dyDescent="0.3">
      <c r="A511">
        <v>10.34</v>
      </c>
      <c r="B511">
        <v>1</v>
      </c>
      <c r="E511" s="3">
        <v>6.36</v>
      </c>
      <c r="F511">
        <v>2</v>
      </c>
    </row>
    <row r="512" spans="1:6" x14ac:dyDescent="0.3">
      <c r="A512">
        <v>10.32</v>
      </c>
      <c r="B512">
        <v>1</v>
      </c>
      <c r="E512" s="3">
        <v>6.37</v>
      </c>
      <c r="F512">
        <v>2</v>
      </c>
    </row>
    <row r="513" spans="1:6" x14ac:dyDescent="0.3">
      <c r="A513">
        <v>10.3</v>
      </c>
      <c r="B513">
        <v>1</v>
      </c>
      <c r="E513" s="3">
        <v>6.38</v>
      </c>
      <c r="F513">
        <v>1</v>
      </c>
    </row>
    <row r="514" spans="1:6" x14ac:dyDescent="0.3">
      <c r="A514">
        <v>10.3</v>
      </c>
      <c r="B514">
        <v>1</v>
      </c>
      <c r="E514" s="3">
        <v>6.41</v>
      </c>
      <c r="F514">
        <v>1</v>
      </c>
    </row>
    <row r="515" spans="1:6" x14ac:dyDescent="0.3">
      <c r="A515">
        <v>10.28</v>
      </c>
      <c r="B515">
        <v>1</v>
      </c>
      <c r="E515" s="3">
        <v>6.42</v>
      </c>
      <c r="F515">
        <v>1</v>
      </c>
    </row>
    <row r="516" spans="1:6" x14ac:dyDescent="0.3">
      <c r="A516">
        <v>10.27</v>
      </c>
      <c r="B516">
        <v>1</v>
      </c>
      <c r="E516" s="3">
        <v>6.44</v>
      </c>
      <c r="F516">
        <v>1</v>
      </c>
    </row>
    <row r="517" spans="1:6" x14ac:dyDescent="0.3">
      <c r="A517">
        <v>10.26</v>
      </c>
      <c r="B517">
        <v>1</v>
      </c>
      <c r="E517" s="3">
        <v>6.45</v>
      </c>
      <c r="F517">
        <v>1</v>
      </c>
    </row>
    <row r="518" spans="1:6" x14ac:dyDescent="0.3">
      <c r="A518">
        <v>10.23</v>
      </c>
      <c r="B518">
        <v>1</v>
      </c>
      <c r="E518" s="3">
        <v>6.46</v>
      </c>
      <c r="F518">
        <v>1</v>
      </c>
    </row>
    <row r="519" spans="1:6" x14ac:dyDescent="0.3">
      <c r="A519">
        <v>10.23</v>
      </c>
      <c r="B519">
        <v>1</v>
      </c>
      <c r="E519" s="3">
        <v>6.47</v>
      </c>
      <c r="F519">
        <v>1</v>
      </c>
    </row>
    <row r="520" spans="1:6" x14ac:dyDescent="0.3">
      <c r="A520">
        <v>10.220000000000001</v>
      </c>
      <c r="B520">
        <v>1</v>
      </c>
      <c r="E520" s="3">
        <v>6.48</v>
      </c>
      <c r="F520">
        <v>1</v>
      </c>
    </row>
    <row r="521" spans="1:6" x14ac:dyDescent="0.3">
      <c r="A521">
        <v>10.220000000000001</v>
      </c>
      <c r="B521">
        <v>1</v>
      </c>
      <c r="E521" s="3">
        <v>6.49</v>
      </c>
      <c r="F521">
        <v>2</v>
      </c>
    </row>
    <row r="522" spans="1:6" x14ac:dyDescent="0.3">
      <c r="A522">
        <v>10.210000000000001</v>
      </c>
      <c r="B522">
        <v>1</v>
      </c>
      <c r="E522" s="3">
        <v>6.52</v>
      </c>
      <c r="F522">
        <v>4</v>
      </c>
    </row>
    <row r="523" spans="1:6" x14ac:dyDescent="0.3">
      <c r="A523">
        <v>10.17</v>
      </c>
      <c r="B523">
        <v>1</v>
      </c>
      <c r="E523" s="3">
        <v>6.53</v>
      </c>
      <c r="F523">
        <v>1</v>
      </c>
    </row>
    <row r="524" spans="1:6" x14ac:dyDescent="0.3">
      <c r="A524">
        <v>10.16</v>
      </c>
      <c r="B524">
        <v>1</v>
      </c>
      <c r="E524" s="3">
        <v>6.54</v>
      </c>
      <c r="F524">
        <v>2</v>
      </c>
    </row>
    <row r="525" spans="1:6" x14ac:dyDescent="0.3">
      <c r="A525">
        <v>10.11</v>
      </c>
      <c r="B525">
        <v>1</v>
      </c>
      <c r="E525" s="3">
        <v>6.55</v>
      </c>
      <c r="F525">
        <v>2</v>
      </c>
    </row>
    <row r="526" spans="1:6" x14ac:dyDescent="0.3">
      <c r="A526">
        <v>10.11</v>
      </c>
      <c r="B526">
        <v>1</v>
      </c>
      <c r="E526" s="3">
        <v>6.56</v>
      </c>
      <c r="F526">
        <v>1</v>
      </c>
    </row>
    <row r="527" spans="1:6" x14ac:dyDescent="0.3">
      <c r="A527">
        <v>10.08</v>
      </c>
      <c r="B527">
        <v>1</v>
      </c>
      <c r="E527" s="3">
        <v>6.58</v>
      </c>
      <c r="F527">
        <v>1</v>
      </c>
    </row>
    <row r="528" spans="1:6" x14ac:dyDescent="0.3">
      <c r="A528">
        <v>10.07</v>
      </c>
      <c r="B528">
        <v>1</v>
      </c>
      <c r="E528" s="3">
        <v>6.6</v>
      </c>
      <c r="F528">
        <v>1</v>
      </c>
    </row>
    <row r="529" spans="1:6" x14ac:dyDescent="0.3">
      <c r="A529">
        <v>10.039999999999999</v>
      </c>
      <c r="B529">
        <v>1</v>
      </c>
      <c r="E529" s="3">
        <v>6.61</v>
      </c>
      <c r="F529">
        <v>3</v>
      </c>
    </row>
    <row r="530" spans="1:6" x14ac:dyDescent="0.3">
      <c r="A530">
        <v>10.029999999999999</v>
      </c>
      <c r="B530">
        <v>1</v>
      </c>
      <c r="E530" s="3">
        <v>6.62</v>
      </c>
      <c r="F530">
        <v>1</v>
      </c>
    </row>
    <row r="531" spans="1:6" x14ac:dyDescent="0.3">
      <c r="A531">
        <v>9.98</v>
      </c>
      <c r="B531">
        <v>1</v>
      </c>
      <c r="E531" s="3">
        <v>6.63</v>
      </c>
      <c r="F531">
        <v>1</v>
      </c>
    </row>
    <row r="532" spans="1:6" x14ac:dyDescent="0.3">
      <c r="A532">
        <v>9.9499999999999993</v>
      </c>
      <c r="B532">
        <v>1</v>
      </c>
      <c r="E532" s="3">
        <v>6.64</v>
      </c>
      <c r="F532">
        <v>2</v>
      </c>
    </row>
    <row r="533" spans="1:6" x14ac:dyDescent="0.3">
      <c r="A533">
        <v>9.94</v>
      </c>
      <c r="B533">
        <v>1</v>
      </c>
      <c r="E533" s="3">
        <v>6.65</v>
      </c>
      <c r="F533">
        <v>1</v>
      </c>
    </row>
    <row r="534" spans="1:6" x14ac:dyDescent="0.3">
      <c r="A534">
        <v>9.94</v>
      </c>
      <c r="B534">
        <v>1</v>
      </c>
      <c r="E534" s="3">
        <v>6.67</v>
      </c>
      <c r="F534">
        <v>3</v>
      </c>
    </row>
    <row r="535" spans="1:6" x14ac:dyDescent="0.3">
      <c r="A535">
        <v>9.93</v>
      </c>
      <c r="B535">
        <v>1</v>
      </c>
      <c r="E535" s="3">
        <v>6.68</v>
      </c>
      <c r="F535">
        <v>3</v>
      </c>
    </row>
    <row r="536" spans="1:6" x14ac:dyDescent="0.3">
      <c r="A536">
        <v>9.92</v>
      </c>
      <c r="B536">
        <v>1</v>
      </c>
      <c r="E536" s="3">
        <v>6.69</v>
      </c>
      <c r="F536">
        <v>2</v>
      </c>
    </row>
    <row r="537" spans="1:6" x14ac:dyDescent="0.3">
      <c r="A537">
        <v>9.9</v>
      </c>
      <c r="B537">
        <v>1</v>
      </c>
      <c r="E537" s="3">
        <v>6.7</v>
      </c>
      <c r="F537">
        <v>4</v>
      </c>
    </row>
    <row r="538" spans="1:6" x14ac:dyDescent="0.3">
      <c r="A538">
        <v>9.86</v>
      </c>
      <c r="B538">
        <v>1</v>
      </c>
      <c r="E538" s="3">
        <v>6.71</v>
      </c>
      <c r="F538">
        <v>2</v>
      </c>
    </row>
    <row r="539" spans="1:6" x14ac:dyDescent="0.3">
      <c r="A539">
        <v>9.86</v>
      </c>
      <c r="B539">
        <v>1</v>
      </c>
      <c r="E539" s="3">
        <v>6.73</v>
      </c>
      <c r="F539">
        <v>1</v>
      </c>
    </row>
    <row r="540" spans="1:6" x14ac:dyDescent="0.3">
      <c r="A540">
        <v>9.82</v>
      </c>
      <c r="B540">
        <v>1</v>
      </c>
      <c r="E540" s="3">
        <v>6.74</v>
      </c>
      <c r="F540">
        <v>1</v>
      </c>
    </row>
    <row r="541" spans="1:6" x14ac:dyDescent="0.3">
      <c r="A541">
        <v>9.8000000000000007</v>
      </c>
      <c r="B541">
        <v>1</v>
      </c>
      <c r="E541" s="3">
        <v>6.76</v>
      </c>
      <c r="F541">
        <v>3</v>
      </c>
    </row>
    <row r="542" spans="1:6" x14ac:dyDescent="0.3">
      <c r="A542">
        <v>9.7799999999999994</v>
      </c>
      <c r="B542">
        <v>1</v>
      </c>
      <c r="E542" s="3">
        <v>6.79</v>
      </c>
      <c r="F542">
        <v>2</v>
      </c>
    </row>
    <row r="543" spans="1:6" x14ac:dyDescent="0.3">
      <c r="A543">
        <v>9.77</v>
      </c>
      <c r="B543">
        <v>1</v>
      </c>
      <c r="E543" s="3">
        <v>6.8</v>
      </c>
      <c r="F543">
        <v>3</v>
      </c>
    </row>
    <row r="544" spans="1:6" x14ac:dyDescent="0.3">
      <c r="A544">
        <v>9.76</v>
      </c>
      <c r="B544">
        <v>1</v>
      </c>
      <c r="E544" s="3">
        <v>6.83</v>
      </c>
      <c r="F544">
        <v>1</v>
      </c>
    </row>
    <row r="545" spans="1:6" x14ac:dyDescent="0.3">
      <c r="A545">
        <v>9.74</v>
      </c>
      <c r="B545">
        <v>1</v>
      </c>
      <c r="E545" s="3">
        <v>6.84</v>
      </c>
      <c r="F545">
        <v>1</v>
      </c>
    </row>
    <row r="546" spans="1:6" x14ac:dyDescent="0.3">
      <c r="A546">
        <v>9.68</v>
      </c>
      <c r="B546">
        <v>1</v>
      </c>
      <c r="E546" s="3">
        <v>6.85</v>
      </c>
      <c r="F546">
        <v>1</v>
      </c>
    </row>
    <row r="547" spans="1:6" x14ac:dyDescent="0.3">
      <c r="A547">
        <v>9.68</v>
      </c>
      <c r="B547">
        <v>1</v>
      </c>
      <c r="E547" s="3">
        <v>6.88</v>
      </c>
      <c r="F547">
        <v>3</v>
      </c>
    </row>
    <row r="548" spans="1:6" x14ac:dyDescent="0.3">
      <c r="A548">
        <v>9.66</v>
      </c>
      <c r="B548">
        <v>1</v>
      </c>
      <c r="E548" s="3">
        <v>6.89</v>
      </c>
      <c r="F548">
        <v>4</v>
      </c>
    </row>
    <row r="549" spans="1:6" x14ac:dyDescent="0.3">
      <c r="A549">
        <v>9.6300000000000008</v>
      </c>
      <c r="B549">
        <v>1</v>
      </c>
      <c r="E549" s="3">
        <v>6.9</v>
      </c>
      <c r="F549">
        <v>2</v>
      </c>
    </row>
    <row r="550" spans="1:6" x14ac:dyDescent="0.3">
      <c r="A550">
        <v>9.6199999999999992</v>
      </c>
      <c r="B550">
        <v>1</v>
      </c>
      <c r="E550" s="3">
        <v>6.91</v>
      </c>
      <c r="F550">
        <v>1</v>
      </c>
    </row>
    <row r="551" spans="1:6" x14ac:dyDescent="0.3">
      <c r="A551">
        <v>9.6199999999999992</v>
      </c>
      <c r="B551">
        <v>1</v>
      </c>
      <c r="E551" s="3">
        <v>6.92</v>
      </c>
      <c r="F551">
        <v>2</v>
      </c>
    </row>
    <row r="552" spans="1:6" x14ac:dyDescent="0.3">
      <c r="A552">
        <v>9.61</v>
      </c>
      <c r="B552">
        <v>1</v>
      </c>
      <c r="E552" s="3">
        <v>6.93</v>
      </c>
      <c r="F552">
        <v>2</v>
      </c>
    </row>
    <row r="553" spans="1:6" x14ac:dyDescent="0.3">
      <c r="A553">
        <v>9.6</v>
      </c>
      <c r="B553">
        <v>1</v>
      </c>
      <c r="E553" s="3">
        <v>6.94</v>
      </c>
      <c r="F553">
        <v>2</v>
      </c>
    </row>
    <row r="554" spans="1:6" x14ac:dyDescent="0.3">
      <c r="A554">
        <v>9.59</v>
      </c>
      <c r="B554">
        <v>1</v>
      </c>
      <c r="E554" s="3">
        <v>6.95</v>
      </c>
      <c r="F554">
        <v>2</v>
      </c>
    </row>
    <row r="555" spans="1:6" x14ac:dyDescent="0.3">
      <c r="A555">
        <v>9.58</v>
      </c>
      <c r="B555">
        <v>1</v>
      </c>
      <c r="E555" s="3">
        <v>7.02</v>
      </c>
      <c r="F555">
        <v>1</v>
      </c>
    </row>
    <row r="556" spans="1:6" x14ac:dyDescent="0.3">
      <c r="A556">
        <v>9.57</v>
      </c>
      <c r="B556">
        <v>1</v>
      </c>
      <c r="E556" s="3">
        <v>7.03</v>
      </c>
      <c r="F556">
        <v>1</v>
      </c>
    </row>
    <row r="557" spans="1:6" x14ac:dyDescent="0.3">
      <c r="A557">
        <v>9.56</v>
      </c>
      <c r="B557">
        <v>1</v>
      </c>
      <c r="E557" s="3">
        <v>7.04</v>
      </c>
      <c r="F557">
        <v>2</v>
      </c>
    </row>
    <row r="558" spans="1:6" x14ac:dyDescent="0.3">
      <c r="A558">
        <v>9.5399999999999991</v>
      </c>
      <c r="B558">
        <v>1</v>
      </c>
      <c r="E558" s="3">
        <v>7.05</v>
      </c>
      <c r="F558">
        <v>1</v>
      </c>
    </row>
    <row r="559" spans="1:6" x14ac:dyDescent="0.3">
      <c r="A559">
        <v>9.52</v>
      </c>
      <c r="B559">
        <v>1</v>
      </c>
      <c r="E559" s="3">
        <v>7.06</v>
      </c>
      <c r="F559">
        <v>1</v>
      </c>
    </row>
    <row r="560" spans="1:6" x14ac:dyDescent="0.3">
      <c r="A560">
        <v>9.48</v>
      </c>
      <c r="B560">
        <v>1</v>
      </c>
      <c r="E560" s="3">
        <v>7.07</v>
      </c>
      <c r="F560">
        <v>2</v>
      </c>
    </row>
    <row r="561" spans="1:6" x14ac:dyDescent="0.3">
      <c r="A561">
        <v>9.4700000000000006</v>
      </c>
      <c r="B561">
        <v>1</v>
      </c>
      <c r="E561" s="3">
        <v>7.08</v>
      </c>
      <c r="F561">
        <v>2</v>
      </c>
    </row>
    <row r="562" spans="1:6" x14ac:dyDescent="0.3">
      <c r="A562">
        <v>9.4499999999999993</v>
      </c>
      <c r="B562">
        <v>1</v>
      </c>
      <c r="E562" s="3">
        <v>7.09</v>
      </c>
      <c r="F562">
        <v>1</v>
      </c>
    </row>
    <row r="563" spans="1:6" x14ac:dyDescent="0.3">
      <c r="A563">
        <v>9.44</v>
      </c>
      <c r="B563">
        <v>1</v>
      </c>
      <c r="E563" s="3">
        <v>7.1</v>
      </c>
      <c r="F563">
        <v>3</v>
      </c>
    </row>
    <row r="564" spans="1:6" x14ac:dyDescent="0.3">
      <c r="A564">
        <v>9.43</v>
      </c>
      <c r="B564">
        <v>1</v>
      </c>
      <c r="E564" s="3">
        <v>7.11</v>
      </c>
      <c r="F564">
        <v>1</v>
      </c>
    </row>
    <row r="565" spans="1:6" x14ac:dyDescent="0.3">
      <c r="A565">
        <v>9.43</v>
      </c>
      <c r="B565">
        <v>1</v>
      </c>
      <c r="E565" s="3">
        <v>7.12</v>
      </c>
      <c r="F565">
        <v>1</v>
      </c>
    </row>
    <row r="566" spans="1:6" x14ac:dyDescent="0.3">
      <c r="A566">
        <v>9.3699999999999992</v>
      </c>
      <c r="B566">
        <v>1</v>
      </c>
      <c r="E566" s="3">
        <v>7.14</v>
      </c>
      <c r="F566">
        <v>1</v>
      </c>
    </row>
    <row r="567" spans="1:6" x14ac:dyDescent="0.3">
      <c r="A567">
        <v>9.3699999999999992</v>
      </c>
      <c r="B567">
        <v>1</v>
      </c>
      <c r="E567" s="3">
        <v>7.15</v>
      </c>
      <c r="F567">
        <v>2</v>
      </c>
    </row>
    <row r="568" spans="1:6" x14ac:dyDescent="0.3">
      <c r="A568">
        <v>9.35</v>
      </c>
      <c r="B568">
        <v>1</v>
      </c>
      <c r="E568" s="3">
        <v>7.16</v>
      </c>
      <c r="F568">
        <v>1</v>
      </c>
    </row>
    <row r="569" spans="1:6" x14ac:dyDescent="0.3">
      <c r="A569">
        <v>9.34</v>
      </c>
      <c r="B569">
        <v>1</v>
      </c>
      <c r="E569" s="3">
        <v>7.17</v>
      </c>
      <c r="F569">
        <v>1</v>
      </c>
    </row>
    <row r="570" spans="1:6" x14ac:dyDescent="0.3">
      <c r="A570">
        <v>9.33</v>
      </c>
      <c r="B570">
        <v>1</v>
      </c>
      <c r="E570" s="3">
        <v>7.24</v>
      </c>
      <c r="F570">
        <v>1</v>
      </c>
    </row>
    <row r="571" spans="1:6" x14ac:dyDescent="0.3">
      <c r="A571">
        <v>9.2899999999999991</v>
      </c>
      <c r="B571">
        <v>1</v>
      </c>
      <c r="E571" s="3">
        <v>7.31</v>
      </c>
      <c r="F571">
        <v>1</v>
      </c>
    </row>
    <row r="572" spans="1:6" x14ac:dyDescent="0.3">
      <c r="A572">
        <v>9.27</v>
      </c>
      <c r="B572">
        <v>1</v>
      </c>
      <c r="E572" s="3">
        <v>7.32</v>
      </c>
      <c r="F572">
        <v>1</v>
      </c>
    </row>
    <row r="573" spans="1:6" x14ac:dyDescent="0.3">
      <c r="A573">
        <v>9.26</v>
      </c>
      <c r="B573">
        <v>1</v>
      </c>
      <c r="E573" s="3">
        <v>7.33</v>
      </c>
      <c r="F573">
        <v>1</v>
      </c>
    </row>
    <row r="574" spans="1:6" x14ac:dyDescent="0.3">
      <c r="A574">
        <v>9.23</v>
      </c>
      <c r="B574">
        <v>1</v>
      </c>
      <c r="E574" s="3">
        <v>7.34</v>
      </c>
      <c r="F574">
        <v>2</v>
      </c>
    </row>
    <row r="575" spans="1:6" x14ac:dyDescent="0.3">
      <c r="A575">
        <v>9.19</v>
      </c>
      <c r="B575">
        <v>1</v>
      </c>
      <c r="E575" s="3">
        <v>7.35</v>
      </c>
      <c r="F575">
        <v>1</v>
      </c>
    </row>
    <row r="576" spans="1:6" x14ac:dyDescent="0.3">
      <c r="A576">
        <v>9.18</v>
      </c>
      <c r="B576">
        <v>1</v>
      </c>
      <c r="E576" s="3">
        <v>7.37</v>
      </c>
      <c r="F576">
        <v>1</v>
      </c>
    </row>
    <row r="577" spans="1:6" x14ac:dyDescent="0.3">
      <c r="A577">
        <v>9.14</v>
      </c>
      <c r="B577">
        <v>1</v>
      </c>
      <c r="E577" s="3">
        <v>7.38</v>
      </c>
      <c r="F577">
        <v>1</v>
      </c>
    </row>
    <row r="578" spans="1:6" x14ac:dyDescent="0.3">
      <c r="A578">
        <v>9.1</v>
      </c>
      <c r="B578">
        <v>1</v>
      </c>
      <c r="E578" s="3">
        <v>7.4</v>
      </c>
      <c r="F578">
        <v>2</v>
      </c>
    </row>
    <row r="579" spans="1:6" x14ac:dyDescent="0.3">
      <c r="A579">
        <v>9.08</v>
      </c>
      <c r="B579">
        <v>1</v>
      </c>
      <c r="E579" s="3">
        <v>7.42</v>
      </c>
      <c r="F579">
        <v>2</v>
      </c>
    </row>
    <row r="580" spans="1:6" x14ac:dyDescent="0.3">
      <c r="A580">
        <v>9.06</v>
      </c>
      <c r="B580">
        <v>1</v>
      </c>
      <c r="E580" s="3">
        <v>7.43</v>
      </c>
      <c r="F580">
        <v>3</v>
      </c>
    </row>
    <row r="581" spans="1:6" x14ac:dyDescent="0.3">
      <c r="A581">
        <v>9.0500000000000007</v>
      </c>
      <c r="B581">
        <v>1</v>
      </c>
      <c r="E581" s="3">
        <v>7.45</v>
      </c>
      <c r="F581">
        <v>1</v>
      </c>
    </row>
    <row r="582" spans="1:6" x14ac:dyDescent="0.3">
      <c r="A582">
        <v>9.0500000000000007</v>
      </c>
      <c r="B582">
        <v>1</v>
      </c>
      <c r="E582" s="3">
        <v>7.48</v>
      </c>
      <c r="F582">
        <v>1</v>
      </c>
    </row>
    <row r="583" spans="1:6" x14ac:dyDescent="0.3">
      <c r="A583">
        <v>9.0399999999999991</v>
      </c>
      <c r="B583">
        <v>1</v>
      </c>
      <c r="E583" s="3">
        <v>7.49</v>
      </c>
      <c r="F583">
        <v>2</v>
      </c>
    </row>
    <row r="584" spans="1:6" x14ac:dyDescent="0.3">
      <c r="A584">
        <v>9.01</v>
      </c>
      <c r="B584">
        <v>1</v>
      </c>
      <c r="E584" s="3">
        <v>7.5</v>
      </c>
      <c r="F584">
        <v>2</v>
      </c>
    </row>
    <row r="585" spans="1:6" x14ac:dyDescent="0.3">
      <c r="A585">
        <v>8.99</v>
      </c>
      <c r="B585">
        <v>1</v>
      </c>
      <c r="E585" s="3">
        <v>7.51</v>
      </c>
      <c r="F585">
        <v>1</v>
      </c>
    </row>
    <row r="586" spans="1:6" x14ac:dyDescent="0.3">
      <c r="A586">
        <v>8.98</v>
      </c>
      <c r="B586">
        <v>1</v>
      </c>
      <c r="E586" s="3">
        <v>7.53</v>
      </c>
      <c r="F586">
        <v>3</v>
      </c>
    </row>
    <row r="587" spans="1:6" x14ac:dyDescent="0.3">
      <c r="A587">
        <v>8.9499999999999993</v>
      </c>
      <c r="B587">
        <v>1</v>
      </c>
      <c r="E587" s="3">
        <v>7.54</v>
      </c>
      <c r="F587">
        <v>2</v>
      </c>
    </row>
    <row r="588" spans="1:6" x14ac:dyDescent="0.3">
      <c r="A588">
        <v>8.92</v>
      </c>
      <c r="B588">
        <v>1</v>
      </c>
      <c r="E588" s="3">
        <v>7.55</v>
      </c>
      <c r="F588">
        <v>2</v>
      </c>
    </row>
    <row r="589" spans="1:6" x14ac:dyDescent="0.3">
      <c r="A589">
        <v>8.92</v>
      </c>
      <c r="B589">
        <v>1</v>
      </c>
      <c r="E589" s="3">
        <v>7.56</v>
      </c>
      <c r="F589">
        <v>1</v>
      </c>
    </row>
    <row r="590" spans="1:6" x14ac:dyDescent="0.3">
      <c r="A590">
        <v>8.86</v>
      </c>
      <c r="B590">
        <v>1</v>
      </c>
      <c r="E590" s="3">
        <v>7.57</v>
      </c>
      <c r="F590">
        <v>1</v>
      </c>
    </row>
    <row r="591" spans="1:6" x14ac:dyDescent="0.3">
      <c r="A591">
        <v>8.86</v>
      </c>
      <c r="B591">
        <v>1</v>
      </c>
      <c r="E591" s="3">
        <v>7.58</v>
      </c>
      <c r="F591">
        <v>1</v>
      </c>
    </row>
    <row r="592" spans="1:6" x14ac:dyDescent="0.3">
      <c r="A592">
        <v>8.85</v>
      </c>
      <c r="B592">
        <v>1</v>
      </c>
      <c r="E592" s="3">
        <v>7.59</v>
      </c>
      <c r="F592">
        <v>1</v>
      </c>
    </row>
    <row r="593" spans="1:6" x14ac:dyDescent="0.3">
      <c r="A593">
        <v>8.85</v>
      </c>
      <c r="B593">
        <v>1</v>
      </c>
      <c r="E593" s="3">
        <v>7.6</v>
      </c>
      <c r="F593">
        <v>1</v>
      </c>
    </row>
    <row r="594" spans="1:6" x14ac:dyDescent="0.3">
      <c r="A594">
        <v>8.83</v>
      </c>
      <c r="B594">
        <v>1</v>
      </c>
      <c r="E594" s="3">
        <v>7.62</v>
      </c>
      <c r="F594">
        <v>1</v>
      </c>
    </row>
    <row r="595" spans="1:6" x14ac:dyDescent="0.3">
      <c r="A595">
        <v>8.82</v>
      </c>
      <c r="B595">
        <v>1</v>
      </c>
      <c r="E595" s="3">
        <v>7.64</v>
      </c>
      <c r="F595">
        <v>1</v>
      </c>
    </row>
    <row r="596" spans="1:6" x14ac:dyDescent="0.3">
      <c r="A596">
        <v>8.8000000000000007</v>
      </c>
      <c r="B596">
        <v>1</v>
      </c>
      <c r="E596" s="3">
        <v>7.65</v>
      </c>
      <c r="F596">
        <v>1</v>
      </c>
    </row>
    <row r="597" spans="1:6" x14ac:dyDescent="0.3">
      <c r="A597">
        <v>8.7899999999999991</v>
      </c>
      <c r="B597">
        <v>1</v>
      </c>
      <c r="E597" s="3">
        <v>7.68</v>
      </c>
      <c r="F597">
        <v>3</v>
      </c>
    </row>
    <row r="598" spans="1:6" x14ac:dyDescent="0.3">
      <c r="A598">
        <v>8.7799999999999994</v>
      </c>
      <c r="B598">
        <v>1</v>
      </c>
      <c r="E598" s="3">
        <v>7.69</v>
      </c>
      <c r="F598">
        <v>1</v>
      </c>
    </row>
    <row r="599" spans="1:6" x14ac:dyDescent="0.3">
      <c r="A599">
        <v>8.7799999999999994</v>
      </c>
      <c r="B599">
        <v>1</v>
      </c>
      <c r="E599" s="3">
        <v>7.7</v>
      </c>
      <c r="F599">
        <v>2</v>
      </c>
    </row>
    <row r="600" spans="1:6" x14ac:dyDescent="0.3">
      <c r="A600">
        <v>8.7799999999999994</v>
      </c>
      <c r="B600">
        <v>1</v>
      </c>
      <c r="E600" s="3">
        <v>7.71</v>
      </c>
      <c r="F600">
        <v>2</v>
      </c>
    </row>
    <row r="601" spans="1:6" x14ac:dyDescent="0.3">
      <c r="A601">
        <v>8.75</v>
      </c>
      <c r="B601">
        <v>1</v>
      </c>
      <c r="E601" s="3">
        <v>7.74</v>
      </c>
      <c r="F601">
        <v>1</v>
      </c>
    </row>
    <row r="602" spans="1:6" x14ac:dyDescent="0.3">
      <c r="A602">
        <v>8.7100000000000009</v>
      </c>
      <c r="B602">
        <v>1</v>
      </c>
      <c r="E602" s="3">
        <v>7.75</v>
      </c>
      <c r="F602">
        <v>2</v>
      </c>
    </row>
    <row r="603" spans="1:6" x14ac:dyDescent="0.3">
      <c r="A603">
        <v>8.68</v>
      </c>
      <c r="B603">
        <v>1</v>
      </c>
      <c r="E603" s="3">
        <v>7.76</v>
      </c>
      <c r="F603">
        <v>2</v>
      </c>
    </row>
    <row r="604" spans="1:6" x14ac:dyDescent="0.3">
      <c r="A604">
        <v>8.68</v>
      </c>
      <c r="B604">
        <v>1</v>
      </c>
      <c r="E604" s="3">
        <v>7.77</v>
      </c>
      <c r="F604">
        <v>1</v>
      </c>
    </row>
    <row r="605" spans="1:6" x14ac:dyDescent="0.3">
      <c r="A605">
        <v>8.67</v>
      </c>
      <c r="B605">
        <v>1</v>
      </c>
      <c r="E605" s="3">
        <v>7.78</v>
      </c>
      <c r="F605">
        <v>1</v>
      </c>
    </row>
    <row r="606" spans="1:6" x14ac:dyDescent="0.3">
      <c r="A606">
        <v>8.67</v>
      </c>
      <c r="B606">
        <v>1</v>
      </c>
      <c r="E606" s="3">
        <v>7.79</v>
      </c>
      <c r="F606">
        <v>2</v>
      </c>
    </row>
    <row r="607" spans="1:6" x14ac:dyDescent="0.3">
      <c r="A607">
        <v>8.66</v>
      </c>
      <c r="B607">
        <v>1</v>
      </c>
      <c r="E607" s="3">
        <v>7.8</v>
      </c>
      <c r="F607">
        <v>1</v>
      </c>
    </row>
    <row r="608" spans="1:6" x14ac:dyDescent="0.3">
      <c r="A608">
        <v>8.6300000000000008</v>
      </c>
      <c r="B608">
        <v>1</v>
      </c>
      <c r="E608" s="3">
        <v>7.81</v>
      </c>
      <c r="F608">
        <v>1</v>
      </c>
    </row>
    <row r="609" spans="1:6" x14ac:dyDescent="0.3">
      <c r="A609">
        <v>8.6</v>
      </c>
      <c r="B609">
        <v>1</v>
      </c>
      <c r="E609" s="3">
        <v>7.85</v>
      </c>
      <c r="F609">
        <v>1</v>
      </c>
    </row>
    <row r="610" spans="1:6" x14ac:dyDescent="0.3">
      <c r="A610">
        <v>8.6</v>
      </c>
      <c r="B610">
        <v>1</v>
      </c>
      <c r="E610" s="3">
        <v>7.86</v>
      </c>
      <c r="F610">
        <v>2</v>
      </c>
    </row>
    <row r="611" spans="1:6" x14ac:dyDescent="0.3">
      <c r="A611">
        <v>8.58</v>
      </c>
      <c r="B611">
        <v>1</v>
      </c>
      <c r="E611" s="3">
        <v>7.89</v>
      </c>
      <c r="F611">
        <v>2</v>
      </c>
    </row>
    <row r="612" spans="1:6" x14ac:dyDescent="0.3">
      <c r="A612">
        <v>8.58</v>
      </c>
      <c r="B612">
        <v>1</v>
      </c>
      <c r="E612" s="3">
        <v>7.9</v>
      </c>
      <c r="F612">
        <v>3</v>
      </c>
    </row>
    <row r="613" spans="1:6" x14ac:dyDescent="0.3">
      <c r="A613">
        <v>8.52</v>
      </c>
      <c r="B613">
        <v>1</v>
      </c>
      <c r="E613" s="3">
        <v>7.91</v>
      </c>
      <c r="F613">
        <v>2</v>
      </c>
    </row>
    <row r="614" spans="1:6" x14ac:dyDescent="0.3">
      <c r="A614">
        <v>8.52</v>
      </c>
      <c r="B614">
        <v>1</v>
      </c>
      <c r="E614" s="3">
        <v>7.96</v>
      </c>
      <c r="F614">
        <v>1</v>
      </c>
    </row>
    <row r="615" spans="1:6" x14ac:dyDescent="0.3">
      <c r="A615">
        <v>8.51</v>
      </c>
      <c r="B615">
        <v>1</v>
      </c>
      <c r="E615" s="3">
        <v>8</v>
      </c>
      <c r="F615">
        <v>1</v>
      </c>
    </row>
    <row r="616" spans="1:6" x14ac:dyDescent="0.3">
      <c r="A616">
        <v>8.5</v>
      </c>
      <c r="B616">
        <v>1</v>
      </c>
      <c r="E616" s="3">
        <v>8.01</v>
      </c>
      <c r="F616">
        <v>2</v>
      </c>
    </row>
    <row r="617" spans="1:6" x14ac:dyDescent="0.3">
      <c r="A617">
        <v>8.48</v>
      </c>
      <c r="B617">
        <v>1</v>
      </c>
      <c r="E617" s="3">
        <v>8.0399999999999991</v>
      </c>
      <c r="F617">
        <v>3</v>
      </c>
    </row>
    <row r="618" spans="1:6" x14ac:dyDescent="0.3">
      <c r="A618">
        <v>8.48</v>
      </c>
      <c r="B618">
        <v>1</v>
      </c>
      <c r="E618" s="3">
        <v>8.0500000000000007</v>
      </c>
      <c r="F618">
        <v>1</v>
      </c>
    </row>
    <row r="619" spans="1:6" x14ac:dyDescent="0.3">
      <c r="A619">
        <v>8.4600000000000009</v>
      </c>
      <c r="B619">
        <v>1</v>
      </c>
      <c r="E619" s="3">
        <v>8.06</v>
      </c>
      <c r="F619">
        <v>3</v>
      </c>
    </row>
    <row r="620" spans="1:6" x14ac:dyDescent="0.3">
      <c r="A620">
        <v>8.4600000000000009</v>
      </c>
      <c r="B620">
        <v>1</v>
      </c>
      <c r="E620" s="3">
        <v>8.07</v>
      </c>
      <c r="F620">
        <v>2</v>
      </c>
    </row>
    <row r="621" spans="1:6" x14ac:dyDescent="0.3">
      <c r="A621">
        <v>8.4499999999999993</v>
      </c>
      <c r="B621">
        <v>1</v>
      </c>
      <c r="E621" s="3">
        <v>8.08</v>
      </c>
      <c r="F621">
        <v>1</v>
      </c>
    </row>
    <row r="622" spans="1:6" x14ac:dyDescent="0.3">
      <c r="A622">
        <v>8.44</v>
      </c>
      <c r="B622">
        <v>1</v>
      </c>
      <c r="E622" s="3">
        <v>8.09</v>
      </c>
      <c r="F622">
        <v>3</v>
      </c>
    </row>
    <row r="623" spans="1:6" x14ac:dyDescent="0.3">
      <c r="A623">
        <v>8.43</v>
      </c>
      <c r="B623">
        <v>1</v>
      </c>
      <c r="E623" s="3">
        <v>8.1</v>
      </c>
      <c r="F623">
        <v>1</v>
      </c>
    </row>
    <row r="624" spans="1:6" x14ac:dyDescent="0.3">
      <c r="A624">
        <v>8.42</v>
      </c>
      <c r="B624">
        <v>1</v>
      </c>
      <c r="E624" s="3">
        <v>8.11</v>
      </c>
      <c r="F624">
        <v>1</v>
      </c>
    </row>
    <row r="625" spans="1:6" x14ac:dyDescent="0.3">
      <c r="A625">
        <v>8.39</v>
      </c>
      <c r="B625">
        <v>1</v>
      </c>
      <c r="E625" s="3">
        <v>8.1199999999999992</v>
      </c>
      <c r="F625">
        <v>1</v>
      </c>
    </row>
    <row r="626" spans="1:6" x14ac:dyDescent="0.3">
      <c r="A626">
        <v>8.3800000000000008</v>
      </c>
      <c r="B626">
        <v>1</v>
      </c>
      <c r="E626" s="3">
        <v>8.15</v>
      </c>
      <c r="F626">
        <v>1</v>
      </c>
    </row>
    <row r="627" spans="1:6" x14ac:dyDescent="0.3">
      <c r="A627">
        <v>8.36</v>
      </c>
      <c r="B627">
        <v>1</v>
      </c>
      <c r="E627" s="3">
        <v>8.17</v>
      </c>
      <c r="F627">
        <v>1</v>
      </c>
    </row>
    <row r="628" spans="1:6" x14ac:dyDescent="0.3">
      <c r="A628">
        <v>8.35</v>
      </c>
      <c r="B628">
        <v>1</v>
      </c>
      <c r="E628" s="3">
        <v>8.1999999999999993</v>
      </c>
      <c r="F628">
        <v>1</v>
      </c>
    </row>
    <row r="629" spans="1:6" x14ac:dyDescent="0.3">
      <c r="A629">
        <v>8.33</v>
      </c>
      <c r="B629">
        <v>1</v>
      </c>
      <c r="E629" s="3">
        <v>8.2200000000000006</v>
      </c>
      <c r="F629">
        <v>1</v>
      </c>
    </row>
    <row r="630" spans="1:6" x14ac:dyDescent="0.3">
      <c r="A630">
        <v>8.33</v>
      </c>
      <c r="B630">
        <v>1</v>
      </c>
      <c r="E630" s="3">
        <v>8.23</v>
      </c>
      <c r="F630">
        <v>2</v>
      </c>
    </row>
    <row r="631" spans="1:6" x14ac:dyDescent="0.3">
      <c r="A631">
        <v>8.32</v>
      </c>
      <c r="B631">
        <v>1</v>
      </c>
      <c r="E631" s="3">
        <v>8.24</v>
      </c>
      <c r="F631">
        <v>1</v>
      </c>
    </row>
    <row r="632" spans="1:6" x14ac:dyDescent="0.3">
      <c r="A632">
        <v>8.3000000000000007</v>
      </c>
      <c r="B632">
        <v>1</v>
      </c>
      <c r="E632" s="3">
        <v>8.25</v>
      </c>
      <c r="F632">
        <v>2</v>
      </c>
    </row>
    <row r="633" spans="1:6" x14ac:dyDescent="0.3">
      <c r="A633">
        <v>8.3000000000000007</v>
      </c>
      <c r="B633">
        <v>1</v>
      </c>
      <c r="E633" s="3">
        <v>8.27</v>
      </c>
      <c r="F633">
        <v>1</v>
      </c>
    </row>
    <row r="634" spans="1:6" x14ac:dyDescent="0.3">
      <c r="A634">
        <v>8.2899999999999991</v>
      </c>
      <c r="B634">
        <v>1</v>
      </c>
      <c r="E634" s="3">
        <v>8.2799999999999994</v>
      </c>
      <c r="F634">
        <v>1</v>
      </c>
    </row>
    <row r="635" spans="1:6" x14ac:dyDescent="0.3">
      <c r="A635">
        <v>8.2799999999999994</v>
      </c>
      <c r="B635">
        <v>1</v>
      </c>
      <c r="E635" s="3">
        <v>8.2899999999999991</v>
      </c>
      <c r="F635">
        <v>1</v>
      </c>
    </row>
    <row r="636" spans="1:6" x14ac:dyDescent="0.3">
      <c r="A636">
        <v>8.27</v>
      </c>
      <c r="B636">
        <v>1</v>
      </c>
      <c r="E636" s="3">
        <v>8.3000000000000007</v>
      </c>
      <c r="F636">
        <v>2</v>
      </c>
    </row>
    <row r="637" spans="1:6" x14ac:dyDescent="0.3">
      <c r="A637">
        <v>8.25</v>
      </c>
      <c r="B637">
        <v>1</v>
      </c>
      <c r="E637" s="3">
        <v>8.32</v>
      </c>
      <c r="F637">
        <v>1</v>
      </c>
    </row>
    <row r="638" spans="1:6" x14ac:dyDescent="0.3">
      <c r="A638">
        <v>8.25</v>
      </c>
      <c r="B638">
        <v>1</v>
      </c>
      <c r="E638" s="3">
        <v>8.33</v>
      </c>
      <c r="F638">
        <v>2</v>
      </c>
    </row>
    <row r="639" spans="1:6" x14ac:dyDescent="0.3">
      <c r="A639">
        <v>8.24</v>
      </c>
      <c r="B639">
        <v>1</v>
      </c>
      <c r="E639" s="3">
        <v>8.35</v>
      </c>
      <c r="F639">
        <v>1</v>
      </c>
    </row>
    <row r="640" spans="1:6" x14ac:dyDescent="0.3">
      <c r="A640">
        <v>8.23</v>
      </c>
      <c r="B640">
        <v>1</v>
      </c>
      <c r="E640" s="3">
        <v>8.36</v>
      </c>
      <c r="F640">
        <v>1</v>
      </c>
    </row>
    <row r="641" spans="1:6" x14ac:dyDescent="0.3">
      <c r="A641">
        <v>8.23</v>
      </c>
      <c r="B641">
        <v>1</v>
      </c>
      <c r="E641" s="3">
        <v>8.3800000000000008</v>
      </c>
      <c r="F641">
        <v>1</v>
      </c>
    </row>
    <row r="642" spans="1:6" x14ac:dyDescent="0.3">
      <c r="A642">
        <v>8.2200000000000006</v>
      </c>
      <c r="B642">
        <v>1</v>
      </c>
      <c r="E642" s="3">
        <v>8.39</v>
      </c>
      <c r="F642">
        <v>1</v>
      </c>
    </row>
    <row r="643" spans="1:6" x14ac:dyDescent="0.3">
      <c r="A643">
        <v>8.1999999999999993</v>
      </c>
      <c r="B643">
        <v>1</v>
      </c>
      <c r="E643" s="3">
        <v>8.42</v>
      </c>
      <c r="F643">
        <v>1</v>
      </c>
    </row>
    <row r="644" spans="1:6" x14ac:dyDescent="0.3">
      <c r="A644">
        <v>8.17</v>
      </c>
      <c r="B644">
        <v>1</v>
      </c>
      <c r="E644" s="3">
        <v>8.43</v>
      </c>
      <c r="F644">
        <v>1</v>
      </c>
    </row>
    <row r="645" spans="1:6" x14ac:dyDescent="0.3">
      <c r="A645">
        <v>8.15</v>
      </c>
      <c r="B645">
        <v>1</v>
      </c>
      <c r="E645" s="3">
        <v>8.44</v>
      </c>
      <c r="F645">
        <v>1</v>
      </c>
    </row>
    <row r="646" spans="1:6" x14ac:dyDescent="0.3">
      <c r="A646">
        <v>8.1199999999999992</v>
      </c>
      <c r="B646">
        <v>1</v>
      </c>
      <c r="E646" s="3">
        <v>8.4499999999999993</v>
      </c>
      <c r="F646">
        <v>1</v>
      </c>
    </row>
    <row r="647" spans="1:6" x14ac:dyDescent="0.3">
      <c r="A647">
        <v>8.11</v>
      </c>
      <c r="B647">
        <v>1</v>
      </c>
      <c r="E647" s="3">
        <v>8.4600000000000009</v>
      </c>
      <c r="F647">
        <v>2</v>
      </c>
    </row>
    <row r="648" spans="1:6" x14ac:dyDescent="0.3">
      <c r="A648">
        <v>8.1</v>
      </c>
      <c r="B648">
        <v>1</v>
      </c>
      <c r="E648" s="3">
        <v>8.48</v>
      </c>
      <c r="F648">
        <v>2</v>
      </c>
    </row>
    <row r="649" spans="1:6" x14ac:dyDescent="0.3">
      <c r="A649">
        <v>8.09</v>
      </c>
      <c r="B649">
        <v>1</v>
      </c>
      <c r="E649" s="3">
        <v>8.5</v>
      </c>
      <c r="F649">
        <v>1</v>
      </c>
    </row>
    <row r="650" spans="1:6" x14ac:dyDescent="0.3">
      <c r="A650">
        <v>8.09</v>
      </c>
      <c r="B650">
        <v>1</v>
      </c>
      <c r="E650" s="3">
        <v>8.51</v>
      </c>
      <c r="F650">
        <v>1</v>
      </c>
    </row>
    <row r="651" spans="1:6" x14ac:dyDescent="0.3">
      <c r="A651">
        <v>8.09</v>
      </c>
      <c r="B651">
        <v>1</v>
      </c>
      <c r="E651" s="3">
        <v>8.52</v>
      </c>
      <c r="F651">
        <v>2</v>
      </c>
    </row>
    <row r="652" spans="1:6" x14ac:dyDescent="0.3">
      <c r="A652">
        <v>8.08</v>
      </c>
      <c r="B652">
        <v>1</v>
      </c>
      <c r="E652" s="3">
        <v>8.58</v>
      </c>
      <c r="F652">
        <v>2</v>
      </c>
    </row>
    <row r="653" spans="1:6" x14ac:dyDescent="0.3">
      <c r="A653">
        <v>8.07</v>
      </c>
      <c r="B653">
        <v>1</v>
      </c>
      <c r="E653" s="3">
        <v>8.6</v>
      </c>
      <c r="F653">
        <v>2</v>
      </c>
    </row>
    <row r="654" spans="1:6" x14ac:dyDescent="0.3">
      <c r="A654">
        <v>8.07</v>
      </c>
      <c r="B654">
        <v>1</v>
      </c>
      <c r="E654" s="3">
        <v>8.6300000000000008</v>
      </c>
      <c r="F654">
        <v>1</v>
      </c>
    </row>
    <row r="655" spans="1:6" x14ac:dyDescent="0.3">
      <c r="A655">
        <v>8.06</v>
      </c>
      <c r="B655">
        <v>1</v>
      </c>
      <c r="E655" s="3">
        <v>8.66</v>
      </c>
      <c r="F655">
        <v>1</v>
      </c>
    </row>
    <row r="656" spans="1:6" x14ac:dyDescent="0.3">
      <c r="A656">
        <v>8.06</v>
      </c>
      <c r="B656">
        <v>1</v>
      </c>
      <c r="E656" s="3">
        <v>8.67</v>
      </c>
      <c r="F656">
        <v>2</v>
      </c>
    </row>
    <row r="657" spans="1:6" x14ac:dyDescent="0.3">
      <c r="A657">
        <v>8.06</v>
      </c>
      <c r="B657">
        <v>1</v>
      </c>
      <c r="E657" s="3">
        <v>8.68</v>
      </c>
      <c r="F657">
        <v>2</v>
      </c>
    </row>
    <row r="658" spans="1:6" x14ac:dyDescent="0.3">
      <c r="A658">
        <v>8.0500000000000007</v>
      </c>
      <c r="B658">
        <v>1</v>
      </c>
      <c r="E658" s="3">
        <v>8.7100000000000009</v>
      </c>
      <c r="F658">
        <v>1</v>
      </c>
    </row>
    <row r="659" spans="1:6" x14ac:dyDescent="0.3">
      <c r="A659">
        <v>8.0399999999999991</v>
      </c>
      <c r="B659">
        <v>1</v>
      </c>
      <c r="E659" s="3">
        <v>8.75</v>
      </c>
      <c r="F659">
        <v>1</v>
      </c>
    </row>
    <row r="660" spans="1:6" x14ac:dyDescent="0.3">
      <c r="A660">
        <v>8.0399999999999991</v>
      </c>
      <c r="B660">
        <v>1</v>
      </c>
      <c r="E660" s="3">
        <v>8.7799999999999994</v>
      </c>
      <c r="F660">
        <v>3</v>
      </c>
    </row>
    <row r="661" spans="1:6" x14ac:dyDescent="0.3">
      <c r="A661">
        <v>8.0399999999999991</v>
      </c>
      <c r="B661">
        <v>1</v>
      </c>
      <c r="E661" s="3">
        <v>8.7899999999999991</v>
      </c>
      <c r="F661">
        <v>1</v>
      </c>
    </row>
    <row r="662" spans="1:6" x14ac:dyDescent="0.3">
      <c r="A662">
        <v>8.01</v>
      </c>
      <c r="B662">
        <v>1</v>
      </c>
      <c r="E662" s="3">
        <v>8.8000000000000007</v>
      </c>
      <c r="F662">
        <v>1</v>
      </c>
    </row>
    <row r="663" spans="1:6" x14ac:dyDescent="0.3">
      <c r="A663">
        <v>8.01</v>
      </c>
      <c r="B663">
        <v>1</v>
      </c>
      <c r="E663" s="3">
        <v>8.82</v>
      </c>
      <c r="F663">
        <v>1</v>
      </c>
    </row>
    <row r="664" spans="1:6" x14ac:dyDescent="0.3">
      <c r="A664">
        <v>8</v>
      </c>
      <c r="B664">
        <v>1</v>
      </c>
      <c r="E664" s="3">
        <v>8.83</v>
      </c>
      <c r="F664">
        <v>1</v>
      </c>
    </row>
    <row r="665" spans="1:6" x14ac:dyDescent="0.3">
      <c r="A665">
        <v>7.96</v>
      </c>
      <c r="B665">
        <v>1</v>
      </c>
      <c r="E665" s="3">
        <v>8.85</v>
      </c>
      <c r="F665">
        <v>2</v>
      </c>
    </row>
    <row r="666" spans="1:6" x14ac:dyDescent="0.3">
      <c r="A666">
        <v>7.91</v>
      </c>
      <c r="B666">
        <v>1</v>
      </c>
      <c r="E666" s="3">
        <v>8.86</v>
      </c>
      <c r="F666">
        <v>2</v>
      </c>
    </row>
    <row r="667" spans="1:6" x14ac:dyDescent="0.3">
      <c r="A667">
        <v>7.91</v>
      </c>
      <c r="B667">
        <v>1</v>
      </c>
      <c r="E667" s="3">
        <v>8.92</v>
      </c>
      <c r="F667">
        <v>2</v>
      </c>
    </row>
    <row r="668" spans="1:6" x14ac:dyDescent="0.3">
      <c r="A668">
        <v>7.9</v>
      </c>
      <c r="B668">
        <v>1</v>
      </c>
      <c r="E668" s="3">
        <v>8.9499999999999993</v>
      </c>
      <c r="F668">
        <v>1</v>
      </c>
    </row>
    <row r="669" spans="1:6" x14ac:dyDescent="0.3">
      <c r="A669">
        <v>7.9</v>
      </c>
      <c r="B669">
        <v>1</v>
      </c>
      <c r="E669" s="3">
        <v>8.98</v>
      </c>
      <c r="F669">
        <v>1</v>
      </c>
    </row>
    <row r="670" spans="1:6" x14ac:dyDescent="0.3">
      <c r="A670">
        <v>7.9</v>
      </c>
      <c r="B670">
        <v>1</v>
      </c>
      <c r="E670" s="3">
        <v>8.99</v>
      </c>
      <c r="F670">
        <v>1</v>
      </c>
    </row>
    <row r="671" spans="1:6" x14ac:dyDescent="0.3">
      <c r="A671">
        <v>7.89</v>
      </c>
      <c r="B671">
        <v>1</v>
      </c>
      <c r="E671" s="3">
        <v>9.01</v>
      </c>
      <c r="F671">
        <v>1</v>
      </c>
    </row>
    <row r="672" spans="1:6" x14ac:dyDescent="0.3">
      <c r="A672">
        <v>7.89</v>
      </c>
      <c r="B672">
        <v>1</v>
      </c>
      <c r="E672" s="3">
        <v>9.0399999999999991</v>
      </c>
      <c r="F672">
        <v>1</v>
      </c>
    </row>
    <row r="673" spans="1:6" x14ac:dyDescent="0.3">
      <c r="A673">
        <v>7.86</v>
      </c>
      <c r="B673">
        <v>1</v>
      </c>
      <c r="E673" s="3">
        <v>9.0500000000000007</v>
      </c>
      <c r="F673">
        <v>2</v>
      </c>
    </row>
    <row r="674" spans="1:6" x14ac:dyDescent="0.3">
      <c r="A674">
        <v>7.86</v>
      </c>
      <c r="B674">
        <v>1</v>
      </c>
      <c r="E674" s="3">
        <v>9.06</v>
      </c>
      <c r="F674">
        <v>1</v>
      </c>
    </row>
    <row r="675" spans="1:6" x14ac:dyDescent="0.3">
      <c r="A675">
        <v>7.85</v>
      </c>
      <c r="B675">
        <v>1</v>
      </c>
      <c r="E675" s="3">
        <v>9.08</v>
      </c>
      <c r="F675">
        <v>1</v>
      </c>
    </row>
    <row r="676" spans="1:6" x14ac:dyDescent="0.3">
      <c r="A676">
        <v>7.81</v>
      </c>
      <c r="B676">
        <v>1</v>
      </c>
      <c r="E676" s="3">
        <v>9.1</v>
      </c>
      <c r="F676">
        <v>1</v>
      </c>
    </row>
    <row r="677" spans="1:6" x14ac:dyDescent="0.3">
      <c r="A677">
        <v>7.8</v>
      </c>
      <c r="B677">
        <v>1</v>
      </c>
      <c r="E677" s="3">
        <v>9.14</v>
      </c>
      <c r="F677">
        <v>1</v>
      </c>
    </row>
    <row r="678" spans="1:6" x14ac:dyDescent="0.3">
      <c r="A678">
        <v>7.79</v>
      </c>
      <c r="B678">
        <v>1</v>
      </c>
      <c r="E678" s="3">
        <v>9.18</v>
      </c>
      <c r="F678">
        <v>1</v>
      </c>
    </row>
    <row r="679" spans="1:6" x14ac:dyDescent="0.3">
      <c r="A679">
        <v>7.79</v>
      </c>
      <c r="B679">
        <v>1</v>
      </c>
      <c r="E679" s="3">
        <v>9.19</v>
      </c>
      <c r="F679">
        <v>1</v>
      </c>
    </row>
    <row r="680" spans="1:6" x14ac:dyDescent="0.3">
      <c r="A680">
        <v>7.78</v>
      </c>
      <c r="B680">
        <v>1</v>
      </c>
      <c r="E680" s="3">
        <v>9.23</v>
      </c>
      <c r="F680">
        <v>1</v>
      </c>
    </row>
    <row r="681" spans="1:6" x14ac:dyDescent="0.3">
      <c r="A681">
        <v>7.77</v>
      </c>
      <c r="B681">
        <v>1</v>
      </c>
      <c r="E681" s="3">
        <v>9.26</v>
      </c>
      <c r="F681">
        <v>1</v>
      </c>
    </row>
    <row r="682" spans="1:6" x14ac:dyDescent="0.3">
      <c r="A682">
        <v>7.76</v>
      </c>
      <c r="B682">
        <v>1</v>
      </c>
      <c r="E682" s="3">
        <v>9.27</v>
      </c>
      <c r="F682">
        <v>1</v>
      </c>
    </row>
    <row r="683" spans="1:6" x14ac:dyDescent="0.3">
      <c r="A683">
        <v>7.76</v>
      </c>
      <c r="B683">
        <v>1</v>
      </c>
      <c r="E683" s="3">
        <v>9.2899999999999991</v>
      </c>
      <c r="F683">
        <v>1</v>
      </c>
    </row>
    <row r="684" spans="1:6" x14ac:dyDescent="0.3">
      <c r="A684">
        <v>7.75</v>
      </c>
      <c r="B684">
        <v>1</v>
      </c>
      <c r="E684" s="3">
        <v>9.33</v>
      </c>
      <c r="F684">
        <v>1</v>
      </c>
    </row>
    <row r="685" spans="1:6" x14ac:dyDescent="0.3">
      <c r="A685">
        <v>7.75</v>
      </c>
      <c r="B685">
        <v>1</v>
      </c>
      <c r="E685" s="3">
        <v>9.34</v>
      </c>
      <c r="F685">
        <v>1</v>
      </c>
    </row>
    <row r="686" spans="1:6" x14ac:dyDescent="0.3">
      <c r="A686">
        <v>7.74</v>
      </c>
      <c r="B686">
        <v>1</v>
      </c>
      <c r="E686" s="3">
        <v>9.35</v>
      </c>
      <c r="F686">
        <v>1</v>
      </c>
    </row>
    <row r="687" spans="1:6" x14ac:dyDescent="0.3">
      <c r="A687">
        <v>7.71</v>
      </c>
      <c r="B687">
        <v>1</v>
      </c>
      <c r="E687" s="3">
        <v>9.3699999999999992</v>
      </c>
      <c r="F687">
        <v>2</v>
      </c>
    </row>
    <row r="688" spans="1:6" x14ac:dyDescent="0.3">
      <c r="A688">
        <v>7.71</v>
      </c>
      <c r="B688">
        <v>1</v>
      </c>
      <c r="E688" s="3">
        <v>9.43</v>
      </c>
      <c r="F688">
        <v>2</v>
      </c>
    </row>
    <row r="689" spans="1:6" x14ac:dyDescent="0.3">
      <c r="A689">
        <v>7.7</v>
      </c>
      <c r="B689">
        <v>1</v>
      </c>
      <c r="E689" s="3">
        <v>9.44</v>
      </c>
      <c r="F689">
        <v>1</v>
      </c>
    </row>
    <row r="690" spans="1:6" x14ac:dyDescent="0.3">
      <c r="A690">
        <v>7.7</v>
      </c>
      <c r="B690">
        <v>1</v>
      </c>
      <c r="E690" s="3">
        <v>9.4499999999999993</v>
      </c>
      <c r="F690">
        <v>1</v>
      </c>
    </row>
    <row r="691" spans="1:6" x14ac:dyDescent="0.3">
      <c r="A691">
        <v>7.69</v>
      </c>
      <c r="B691">
        <v>1</v>
      </c>
      <c r="E691" s="3">
        <v>9.4700000000000006</v>
      </c>
      <c r="F691">
        <v>1</v>
      </c>
    </row>
    <row r="692" spans="1:6" x14ac:dyDescent="0.3">
      <c r="A692">
        <v>7.68</v>
      </c>
      <c r="B692">
        <v>1</v>
      </c>
      <c r="E692" s="3">
        <v>9.48</v>
      </c>
      <c r="F692">
        <v>1</v>
      </c>
    </row>
    <row r="693" spans="1:6" x14ac:dyDescent="0.3">
      <c r="A693">
        <v>7.68</v>
      </c>
      <c r="B693">
        <v>1</v>
      </c>
      <c r="E693" s="3">
        <v>9.52</v>
      </c>
      <c r="F693">
        <v>1</v>
      </c>
    </row>
    <row r="694" spans="1:6" x14ac:dyDescent="0.3">
      <c r="A694">
        <v>7.68</v>
      </c>
      <c r="B694">
        <v>1</v>
      </c>
      <c r="E694" s="3">
        <v>9.5399999999999991</v>
      </c>
      <c r="F694">
        <v>1</v>
      </c>
    </row>
    <row r="695" spans="1:6" x14ac:dyDescent="0.3">
      <c r="A695">
        <v>7.65</v>
      </c>
      <c r="B695">
        <v>1</v>
      </c>
      <c r="E695" s="3">
        <v>9.56</v>
      </c>
      <c r="F695">
        <v>1</v>
      </c>
    </row>
    <row r="696" spans="1:6" x14ac:dyDescent="0.3">
      <c r="A696">
        <v>7.64</v>
      </c>
      <c r="B696">
        <v>1</v>
      </c>
      <c r="E696" s="3">
        <v>9.57</v>
      </c>
      <c r="F696">
        <v>1</v>
      </c>
    </row>
    <row r="697" spans="1:6" x14ac:dyDescent="0.3">
      <c r="A697">
        <v>7.62</v>
      </c>
      <c r="B697">
        <v>1</v>
      </c>
      <c r="E697" s="3">
        <v>9.58</v>
      </c>
      <c r="F697">
        <v>1</v>
      </c>
    </row>
    <row r="698" spans="1:6" x14ac:dyDescent="0.3">
      <c r="A698">
        <v>7.6</v>
      </c>
      <c r="B698">
        <v>1</v>
      </c>
      <c r="E698" s="3">
        <v>9.59</v>
      </c>
      <c r="F698">
        <v>1</v>
      </c>
    </row>
    <row r="699" spans="1:6" x14ac:dyDescent="0.3">
      <c r="A699">
        <v>7.59</v>
      </c>
      <c r="B699">
        <v>1</v>
      </c>
      <c r="E699" s="3">
        <v>9.6</v>
      </c>
      <c r="F699">
        <v>1</v>
      </c>
    </row>
    <row r="700" spans="1:6" x14ac:dyDescent="0.3">
      <c r="A700">
        <v>7.58</v>
      </c>
      <c r="B700">
        <v>1</v>
      </c>
      <c r="E700" s="3">
        <v>9.61</v>
      </c>
      <c r="F700">
        <v>1</v>
      </c>
    </row>
    <row r="701" spans="1:6" x14ac:dyDescent="0.3">
      <c r="A701">
        <v>7.57</v>
      </c>
      <c r="B701">
        <v>1</v>
      </c>
      <c r="E701" s="3">
        <v>9.6199999999999992</v>
      </c>
      <c r="F701">
        <v>2</v>
      </c>
    </row>
    <row r="702" spans="1:6" x14ac:dyDescent="0.3">
      <c r="A702">
        <v>7.56</v>
      </c>
      <c r="B702">
        <v>1</v>
      </c>
      <c r="E702" s="3">
        <v>9.6300000000000008</v>
      </c>
      <c r="F702">
        <v>1</v>
      </c>
    </row>
    <row r="703" spans="1:6" x14ac:dyDescent="0.3">
      <c r="A703">
        <v>7.55</v>
      </c>
      <c r="B703">
        <v>1</v>
      </c>
      <c r="E703" s="3">
        <v>9.66</v>
      </c>
      <c r="F703">
        <v>1</v>
      </c>
    </row>
    <row r="704" spans="1:6" x14ac:dyDescent="0.3">
      <c r="A704">
        <v>7.55</v>
      </c>
      <c r="B704">
        <v>1</v>
      </c>
      <c r="E704" s="3">
        <v>9.68</v>
      </c>
      <c r="F704">
        <v>2</v>
      </c>
    </row>
    <row r="705" spans="1:6" x14ac:dyDescent="0.3">
      <c r="A705">
        <v>7.54</v>
      </c>
      <c r="B705">
        <v>1</v>
      </c>
      <c r="E705" s="3">
        <v>9.74</v>
      </c>
      <c r="F705">
        <v>1</v>
      </c>
    </row>
    <row r="706" spans="1:6" x14ac:dyDescent="0.3">
      <c r="A706">
        <v>7.54</v>
      </c>
      <c r="B706">
        <v>1</v>
      </c>
      <c r="E706" s="3">
        <v>9.76</v>
      </c>
      <c r="F706">
        <v>1</v>
      </c>
    </row>
    <row r="707" spans="1:6" x14ac:dyDescent="0.3">
      <c r="A707">
        <v>7.53</v>
      </c>
      <c r="B707">
        <v>1</v>
      </c>
      <c r="E707" s="3">
        <v>9.77</v>
      </c>
      <c r="F707">
        <v>1</v>
      </c>
    </row>
    <row r="708" spans="1:6" x14ac:dyDescent="0.3">
      <c r="A708">
        <v>7.53</v>
      </c>
      <c r="B708">
        <v>1</v>
      </c>
      <c r="E708" s="3">
        <v>9.7799999999999994</v>
      </c>
      <c r="F708">
        <v>1</v>
      </c>
    </row>
    <row r="709" spans="1:6" x14ac:dyDescent="0.3">
      <c r="A709">
        <v>7.53</v>
      </c>
      <c r="B709">
        <v>1</v>
      </c>
      <c r="E709" s="3">
        <v>9.8000000000000007</v>
      </c>
      <c r="F709">
        <v>1</v>
      </c>
    </row>
    <row r="710" spans="1:6" x14ac:dyDescent="0.3">
      <c r="A710">
        <v>7.51</v>
      </c>
      <c r="B710">
        <v>1</v>
      </c>
      <c r="E710" s="3">
        <v>9.82</v>
      </c>
      <c r="F710">
        <v>1</v>
      </c>
    </row>
    <row r="711" spans="1:6" x14ac:dyDescent="0.3">
      <c r="A711">
        <v>7.5</v>
      </c>
      <c r="B711">
        <v>1</v>
      </c>
      <c r="E711" s="3">
        <v>9.86</v>
      </c>
      <c r="F711">
        <v>2</v>
      </c>
    </row>
    <row r="712" spans="1:6" x14ac:dyDescent="0.3">
      <c r="A712">
        <v>7.5</v>
      </c>
      <c r="B712">
        <v>1</v>
      </c>
      <c r="E712" s="3">
        <v>9.9</v>
      </c>
      <c r="F712">
        <v>1</v>
      </c>
    </row>
    <row r="713" spans="1:6" x14ac:dyDescent="0.3">
      <c r="A713">
        <v>7.49</v>
      </c>
      <c r="B713">
        <v>1</v>
      </c>
      <c r="E713" s="3">
        <v>9.92</v>
      </c>
      <c r="F713">
        <v>1</v>
      </c>
    </row>
    <row r="714" spans="1:6" x14ac:dyDescent="0.3">
      <c r="A714">
        <v>7.49</v>
      </c>
      <c r="B714">
        <v>1</v>
      </c>
      <c r="E714" s="3">
        <v>9.93</v>
      </c>
      <c r="F714">
        <v>1</v>
      </c>
    </row>
    <row r="715" spans="1:6" x14ac:dyDescent="0.3">
      <c r="A715">
        <v>7.48</v>
      </c>
      <c r="B715">
        <v>1</v>
      </c>
      <c r="E715" s="3">
        <v>9.94</v>
      </c>
      <c r="F715">
        <v>2</v>
      </c>
    </row>
    <row r="716" spans="1:6" x14ac:dyDescent="0.3">
      <c r="A716">
        <v>7.45</v>
      </c>
      <c r="B716">
        <v>1</v>
      </c>
      <c r="E716" s="3">
        <v>9.9499999999999993</v>
      </c>
      <c r="F716">
        <v>1</v>
      </c>
    </row>
    <row r="717" spans="1:6" x14ac:dyDescent="0.3">
      <c r="A717">
        <v>7.43</v>
      </c>
      <c r="B717">
        <v>1</v>
      </c>
      <c r="E717" s="3">
        <v>9.98</v>
      </c>
      <c r="F717">
        <v>1</v>
      </c>
    </row>
    <row r="718" spans="1:6" x14ac:dyDescent="0.3">
      <c r="A718">
        <v>7.43</v>
      </c>
      <c r="B718">
        <v>1</v>
      </c>
      <c r="E718" s="3">
        <v>10.029999999999999</v>
      </c>
      <c r="F718">
        <v>1</v>
      </c>
    </row>
    <row r="719" spans="1:6" x14ac:dyDescent="0.3">
      <c r="A719">
        <v>7.43</v>
      </c>
      <c r="B719">
        <v>1</v>
      </c>
      <c r="E719" s="3">
        <v>10.039999999999999</v>
      </c>
      <c r="F719">
        <v>1</v>
      </c>
    </row>
    <row r="720" spans="1:6" x14ac:dyDescent="0.3">
      <c r="A720">
        <v>7.42</v>
      </c>
      <c r="B720">
        <v>1</v>
      </c>
      <c r="E720" s="3">
        <v>10.07</v>
      </c>
      <c r="F720">
        <v>1</v>
      </c>
    </row>
    <row r="721" spans="1:6" x14ac:dyDescent="0.3">
      <c r="A721">
        <v>7.42</v>
      </c>
      <c r="B721">
        <v>1</v>
      </c>
      <c r="E721" s="3">
        <v>10.08</v>
      </c>
      <c r="F721">
        <v>1</v>
      </c>
    </row>
    <row r="722" spans="1:6" x14ac:dyDescent="0.3">
      <c r="A722">
        <v>7.4</v>
      </c>
      <c r="B722">
        <v>1</v>
      </c>
      <c r="E722" s="3">
        <v>10.11</v>
      </c>
      <c r="F722">
        <v>2</v>
      </c>
    </row>
    <row r="723" spans="1:6" x14ac:dyDescent="0.3">
      <c r="A723">
        <v>7.4</v>
      </c>
      <c r="B723">
        <v>1</v>
      </c>
      <c r="E723" s="3">
        <v>10.16</v>
      </c>
      <c r="F723">
        <v>1</v>
      </c>
    </row>
    <row r="724" spans="1:6" x14ac:dyDescent="0.3">
      <c r="A724">
        <v>7.38</v>
      </c>
      <c r="B724">
        <v>1</v>
      </c>
      <c r="E724" s="3">
        <v>10.17</v>
      </c>
      <c r="F724">
        <v>1</v>
      </c>
    </row>
    <row r="725" spans="1:6" x14ac:dyDescent="0.3">
      <c r="A725">
        <v>7.37</v>
      </c>
      <c r="B725">
        <v>1</v>
      </c>
      <c r="E725" s="3">
        <v>10.210000000000001</v>
      </c>
      <c r="F725">
        <v>1</v>
      </c>
    </row>
    <row r="726" spans="1:6" x14ac:dyDescent="0.3">
      <c r="A726">
        <v>7.35</v>
      </c>
      <c r="B726">
        <v>1</v>
      </c>
      <c r="E726" s="3">
        <v>10.220000000000001</v>
      </c>
      <c r="F726">
        <v>2</v>
      </c>
    </row>
    <row r="727" spans="1:6" x14ac:dyDescent="0.3">
      <c r="A727">
        <v>7.34</v>
      </c>
      <c r="B727">
        <v>1</v>
      </c>
      <c r="E727" s="3">
        <v>10.23</v>
      </c>
      <c r="F727">
        <v>2</v>
      </c>
    </row>
    <row r="728" spans="1:6" x14ac:dyDescent="0.3">
      <c r="A728">
        <v>7.34</v>
      </c>
      <c r="B728">
        <v>1</v>
      </c>
      <c r="E728" s="3">
        <v>10.26</v>
      </c>
      <c r="F728">
        <v>1</v>
      </c>
    </row>
    <row r="729" spans="1:6" x14ac:dyDescent="0.3">
      <c r="A729">
        <v>7.33</v>
      </c>
      <c r="B729">
        <v>1</v>
      </c>
      <c r="E729" s="3">
        <v>10.27</v>
      </c>
      <c r="F729">
        <v>1</v>
      </c>
    </row>
    <row r="730" spans="1:6" x14ac:dyDescent="0.3">
      <c r="A730">
        <v>7.32</v>
      </c>
      <c r="B730">
        <v>1</v>
      </c>
      <c r="E730" s="3">
        <v>10.28</v>
      </c>
      <c r="F730">
        <v>1</v>
      </c>
    </row>
    <row r="731" spans="1:6" x14ac:dyDescent="0.3">
      <c r="A731">
        <v>7.31</v>
      </c>
      <c r="B731">
        <v>1</v>
      </c>
      <c r="E731" s="3">
        <v>10.3</v>
      </c>
      <c r="F731">
        <v>2</v>
      </c>
    </row>
    <row r="732" spans="1:6" x14ac:dyDescent="0.3">
      <c r="A732">
        <v>7.24</v>
      </c>
      <c r="B732">
        <v>1</v>
      </c>
      <c r="E732" s="3">
        <v>10.32</v>
      </c>
      <c r="F732">
        <v>1</v>
      </c>
    </row>
    <row r="733" spans="1:6" x14ac:dyDescent="0.3">
      <c r="A733">
        <v>7.17</v>
      </c>
      <c r="B733">
        <v>1</v>
      </c>
      <c r="E733" s="3">
        <v>10.34</v>
      </c>
      <c r="F733">
        <v>2</v>
      </c>
    </row>
    <row r="734" spans="1:6" x14ac:dyDescent="0.3">
      <c r="A734">
        <v>7.16</v>
      </c>
      <c r="B734">
        <v>1</v>
      </c>
      <c r="E734" s="3">
        <v>10.37</v>
      </c>
      <c r="F734">
        <v>2</v>
      </c>
    </row>
    <row r="735" spans="1:6" x14ac:dyDescent="0.3">
      <c r="A735">
        <v>7.15</v>
      </c>
      <c r="B735">
        <v>1</v>
      </c>
      <c r="E735" s="3">
        <v>10.39</v>
      </c>
      <c r="F735">
        <v>2</v>
      </c>
    </row>
    <row r="736" spans="1:6" x14ac:dyDescent="0.3">
      <c r="A736">
        <v>7.15</v>
      </c>
      <c r="B736">
        <v>1</v>
      </c>
      <c r="E736" s="3">
        <v>10.42</v>
      </c>
      <c r="F736">
        <v>1</v>
      </c>
    </row>
    <row r="737" spans="1:6" x14ac:dyDescent="0.3">
      <c r="A737">
        <v>7.14</v>
      </c>
      <c r="B737">
        <v>1</v>
      </c>
      <c r="E737" s="3">
        <v>10.51</v>
      </c>
      <c r="F737">
        <v>2</v>
      </c>
    </row>
    <row r="738" spans="1:6" x14ac:dyDescent="0.3">
      <c r="A738">
        <v>7.12</v>
      </c>
      <c r="B738">
        <v>1</v>
      </c>
      <c r="E738" s="3">
        <v>10.6</v>
      </c>
      <c r="F738">
        <v>1</v>
      </c>
    </row>
    <row r="739" spans="1:6" x14ac:dyDescent="0.3">
      <c r="A739">
        <v>7.11</v>
      </c>
      <c r="B739">
        <v>1</v>
      </c>
      <c r="E739" s="3">
        <v>10.61</v>
      </c>
      <c r="F739">
        <v>1</v>
      </c>
    </row>
    <row r="740" spans="1:6" x14ac:dyDescent="0.3">
      <c r="A740">
        <v>7.1</v>
      </c>
      <c r="B740">
        <v>1</v>
      </c>
      <c r="E740" s="3">
        <v>10.63</v>
      </c>
      <c r="F740">
        <v>1</v>
      </c>
    </row>
    <row r="741" spans="1:6" x14ac:dyDescent="0.3">
      <c r="A741">
        <v>7.1</v>
      </c>
      <c r="B741">
        <v>1</v>
      </c>
      <c r="E741" s="3">
        <v>10.64</v>
      </c>
      <c r="F741">
        <v>1</v>
      </c>
    </row>
    <row r="742" spans="1:6" x14ac:dyDescent="0.3">
      <c r="A742">
        <v>7.1</v>
      </c>
      <c r="B742">
        <v>1</v>
      </c>
      <c r="E742" s="3">
        <v>10.67</v>
      </c>
      <c r="F742">
        <v>1</v>
      </c>
    </row>
    <row r="743" spans="1:6" x14ac:dyDescent="0.3">
      <c r="A743">
        <v>7.09</v>
      </c>
      <c r="B743">
        <v>1</v>
      </c>
      <c r="E743" s="3">
        <v>10.69</v>
      </c>
      <c r="F743">
        <v>1</v>
      </c>
    </row>
    <row r="744" spans="1:6" x14ac:dyDescent="0.3">
      <c r="A744">
        <v>7.08</v>
      </c>
      <c r="B744">
        <v>1</v>
      </c>
      <c r="E744" s="3">
        <v>10.73</v>
      </c>
      <c r="F744">
        <v>1</v>
      </c>
    </row>
    <row r="745" spans="1:6" x14ac:dyDescent="0.3">
      <c r="A745">
        <v>7.08</v>
      </c>
      <c r="B745">
        <v>1</v>
      </c>
      <c r="E745" s="3">
        <v>10.74</v>
      </c>
      <c r="F745">
        <v>1</v>
      </c>
    </row>
    <row r="746" spans="1:6" x14ac:dyDescent="0.3">
      <c r="A746">
        <v>7.07</v>
      </c>
      <c r="B746">
        <v>1</v>
      </c>
      <c r="E746" s="3">
        <v>10.75</v>
      </c>
      <c r="F746">
        <v>1</v>
      </c>
    </row>
    <row r="747" spans="1:6" x14ac:dyDescent="0.3">
      <c r="A747">
        <v>7.07</v>
      </c>
      <c r="B747">
        <v>1</v>
      </c>
      <c r="E747" s="3">
        <v>10.76</v>
      </c>
      <c r="F747">
        <v>2</v>
      </c>
    </row>
    <row r="748" spans="1:6" x14ac:dyDescent="0.3">
      <c r="A748">
        <v>7.06</v>
      </c>
      <c r="B748">
        <v>1</v>
      </c>
      <c r="E748" s="3">
        <v>10.78</v>
      </c>
      <c r="F748">
        <v>1</v>
      </c>
    </row>
    <row r="749" spans="1:6" x14ac:dyDescent="0.3">
      <c r="A749">
        <v>7.05</v>
      </c>
      <c r="B749">
        <v>1</v>
      </c>
      <c r="E749" s="3">
        <v>10.79</v>
      </c>
      <c r="F749">
        <v>2</v>
      </c>
    </row>
    <row r="750" spans="1:6" x14ac:dyDescent="0.3">
      <c r="A750">
        <v>7.04</v>
      </c>
      <c r="B750">
        <v>1</v>
      </c>
      <c r="E750" s="3">
        <v>10.92</v>
      </c>
      <c r="F750">
        <v>1</v>
      </c>
    </row>
    <row r="751" spans="1:6" x14ac:dyDescent="0.3">
      <c r="A751">
        <v>7.04</v>
      </c>
      <c r="B751">
        <v>1</v>
      </c>
      <c r="E751" s="3">
        <v>10.93</v>
      </c>
      <c r="F751">
        <v>1</v>
      </c>
    </row>
    <row r="752" spans="1:6" x14ac:dyDescent="0.3">
      <c r="A752">
        <v>7.03</v>
      </c>
      <c r="B752">
        <v>1</v>
      </c>
      <c r="E752" s="3">
        <v>10.98</v>
      </c>
      <c r="F752">
        <v>1</v>
      </c>
    </row>
    <row r="753" spans="1:6" x14ac:dyDescent="0.3">
      <c r="A753">
        <v>7.02</v>
      </c>
      <c r="B753">
        <v>1</v>
      </c>
      <c r="E753" s="3">
        <v>10.99</v>
      </c>
      <c r="F753">
        <v>1</v>
      </c>
    </row>
    <row r="754" spans="1:6" x14ac:dyDescent="0.3">
      <c r="A754">
        <v>6.95</v>
      </c>
      <c r="B754">
        <v>1</v>
      </c>
      <c r="E754" s="3">
        <v>11</v>
      </c>
      <c r="F754">
        <v>1</v>
      </c>
    </row>
    <row r="755" spans="1:6" x14ac:dyDescent="0.3">
      <c r="A755">
        <v>6.95</v>
      </c>
      <c r="B755">
        <v>1</v>
      </c>
      <c r="E755" s="3">
        <v>11.02</v>
      </c>
      <c r="F755">
        <v>2</v>
      </c>
    </row>
    <row r="756" spans="1:6" x14ac:dyDescent="0.3">
      <c r="A756">
        <v>6.94</v>
      </c>
      <c r="B756">
        <v>1</v>
      </c>
      <c r="E756" s="3">
        <v>11.1</v>
      </c>
      <c r="F756">
        <v>1</v>
      </c>
    </row>
    <row r="757" spans="1:6" x14ac:dyDescent="0.3">
      <c r="A757">
        <v>6.94</v>
      </c>
      <c r="B757">
        <v>1</v>
      </c>
      <c r="E757" s="3">
        <v>11.12</v>
      </c>
      <c r="F757">
        <v>1</v>
      </c>
    </row>
    <row r="758" spans="1:6" x14ac:dyDescent="0.3">
      <c r="A758">
        <v>6.93</v>
      </c>
      <c r="B758">
        <v>1</v>
      </c>
      <c r="E758" s="3">
        <v>11.14</v>
      </c>
      <c r="F758">
        <v>1</v>
      </c>
    </row>
    <row r="759" spans="1:6" x14ac:dyDescent="0.3">
      <c r="A759">
        <v>6.93</v>
      </c>
      <c r="B759">
        <v>1</v>
      </c>
      <c r="E759" s="3">
        <v>11.16</v>
      </c>
      <c r="F759">
        <v>2</v>
      </c>
    </row>
    <row r="760" spans="1:6" x14ac:dyDescent="0.3">
      <c r="A760">
        <v>6.92</v>
      </c>
      <c r="B760">
        <v>1</v>
      </c>
      <c r="E760" s="3">
        <v>11.19</v>
      </c>
      <c r="F760">
        <v>1</v>
      </c>
    </row>
    <row r="761" spans="1:6" x14ac:dyDescent="0.3">
      <c r="A761">
        <v>6.92</v>
      </c>
      <c r="B761">
        <v>1</v>
      </c>
      <c r="E761" s="3">
        <v>11.24</v>
      </c>
      <c r="F761">
        <v>1</v>
      </c>
    </row>
    <row r="762" spans="1:6" x14ac:dyDescent="0.3">
      <c r="A762">
        <v>6.91</v>
      </c>
      <c r="B762">
        <v>1</v>
      </c>
      <c r="E762" s="3">
        <v>11.28</v>
      </c>
      <c r="F762">
        <v>1</v>
      </c>
    </row>
    <row r="763" spans="1:6" x14ac:dyDescent="0.3">
      <c r="A763">
        <v>6.9</v>
      </c>
      <c r="B763">
        <v>1</v>
      </c>
      <c r="E763" s="3">
        <v>11.31</v>
      </c>
      <c r="F763">
        <v>1</v>
      </c>
    </row>
    <row r="764" spans="1:6" x14ac:dyDescent="0.3">
      <c r="A764">
        <v>6.9</v>
      </c>
      <c r="B764">
        <v>1</v>
      </c>
      <c r="E764" s="3">
        <v>11.35</v>
      </c>
      <c r="F764">
        <v>2</v>
      </c>
    </row>
    <row r="765" spans="1:6" x14ac:dyDescent="0.3">
      <c r="A765">
        <v>6.89</v>
      </c>
      <c r="B765">
        <v>1</v>
      </c>
      <c r="E765" s="3">
        <v>11.37</v>
      </c>
      <c r="F765">
        <v>1</v>
      </c>
    </row>
    <row r="766" spans="1:6" x14ac:dyDescent="0.3">
      <c r="A766">
        <v>6.89</v>
      </c>
      <c r="B766">
        <v>1</v>
      </c>
      <c r="E766" s="3">
        <v>11.38</v>
      </c>
      <c r="F766">
        <v>1</v>
      </c>
    </row>
    <row r="767" spans="1:6" x14ac:dyDescent="0.3">
      <c r="A767">
        <v>6.89</v>
      </c>
      <c r="B767">
        <v>1</v>
      </c>
      <c r="E767" s="3">
        <v>11.43</v>
      </c>
      <c r="F767">
        <v>2</v>
      </c>
    </row>
    <row r="768" spans="1:6" x14ac:dyDescent="0.3">
      <c r="A768">
        <v>6.89</v>
      </c>
      <c r="B768">
        <v>1</v>
      </c>
      <c r="E768" s="3">
        <v>11.46</v>
      </c>
      <c r="F768">
        <v>1</v>
      </c>
    </row>
    <row r="769" spans="1:6" x14ac:dyDescent="0.3">
      <c r="A769">
        <v>6.88</v>
      </c>
      <c r="B769">
        <v>1</v>
      </c>
      <c r="E769" s="3">
        <v>11.49</v>
      </c>
      <c r="F769">
        <v>1</v>
      </c>
    </row>
    <row r="770" spans="1:6" x14ac:dyDescent="0.3">
      <c r="A770">
        <v>6.88</v>
      </c>
      <c r="B770">
        <v>1</v>
      </c>
      <c r="E770" s="3">
        <v>11.51</v>
      </c>
      <c r="F770">
        <v>1</v>
      </c>
    </row>
    <row r="771" spans="1:6" x14ac:dyDescent="0.3">
      <c r="A771">
        <v>6.88</v>
      </c>
      <c r="B771">
        <v>1</v>
      </c>
      <c r="E771" s="3">
        <v>11.54</v>
      </c>
      <c r="F771">
        <v>1</v>
      </c>
    </row>
    <row r="772" spans="1:6" x14ac:dyDescent="0.3">
      <c r="A772">
        <v>6.85</v>
      </c>
      <c r="B772">
        <v>1</v>
      </c>
      <c r="E772" s="3">
        <v>11.55</v>
      </c>
      <c r="F772">
        <v>1</v>
      </c>
    </row>
    <row r="773" spans="1:6" x14ac:dyDescent="0.3">
      <c r="A773">
        <v>6.84</v>
      </c>
      <c r="B773">
        <v>1</v>
      </c>
      <c r="E773" s="3">
        <v>11.56</v>
      </c>
      <c r="F773">
        <v>1</v>
      </c>
    </row>
    <row r="774" spans="1:6" x14ac:dyDescent="0.3">
      <c r="A774">
        <v>6.83</v>
      </c>
      <c r="B774">
        <v>1</v>
      </c>
      <c r="E774" s="3">
        <v>11.61</v>
      </c>
      <c r="F774">
        <v>1</v>
      </c>
    </row>
    <row r="775" spans="1:6" x14ac:dyDescent="0.3">
      <c r="A775">
        <v>6.8</v>
      </c>
      <c r="B775">
        <v>1</v>
      </c>
      <c r="E775" s="3">
        <v>11.62</v>
      </c>
      <c r="F775">
        <v>1</v>
      </c>
    </row>
    <row r="776" spans="1:6" x14ac:dyDescent="0.3">
      <c r="A776">
        <v>6.8</v>
      </c>
      <c r="B776">
        <v>1</v>
      </c>
      <c r="E776" s="3">
        <v>11.64</v>
      </c>
      <c r="F776">
        <v>2</v>
      </c>
    </row>
    <row r="777" spans="1:6" x14ac:dyDescent="0.3">
      <c r="A777">
        <v>6.8</v>
      </c>
      <c r="B777">
        <v>1</v>
      </c>
      <c r="E777" s="3">
        <v>11.69</v>
      </c>
      <c r="F777">
        <v>1</v>
      </c>
    </row>
    <row r="778" spans="1:6" x14ac:dyDescent="0.3">
      <c r="A778">
        <v>6.79</v>
      </c>
      <c r="B778">
        <v>1</v>
      </c>
      <c r="E778" s="3">
        <v>11.7</v>
      </c>
      <c r="F778">
        <v>1</v>
      </c>
    </row>
    <row r="779" spans="1:6" x14ac:dyDescent="0.3">
      <c r="A779">
        <v>6.79</v>
      </c>
      <c r="B779">
        <v>1</v>
      </c>
      <c r="E779" s="3">
        <v>11.71</v>
      </c>
      <c r="F779">
        <v>2</v>
      </c>
    </row>
    <row r="780" spans="1:6" x14ac:dyDescent="0.3">
      <c r="A780">
        <v>6.76</v>
      </c>
      <c r="B780">
        <v>1</v>
      </c>
      <c r="E780" s="3">
        <v>11.72</v>
      </c>
      <c r="F780">
        <v>1</v>
      </c>
    </row>
    <row r="781" spans="1:6" x14ac:dyDescent="0.3">
      <c r="A781">
        <v>6.76</v>
      </c>
      <c r="B781">
        <v>1</v>
      </c>
      <c r="E781" s="3">
        <v>11.73</v>
      </c>
      <c r="F781">
        <v>1</v>
      </c>
    </row>
    <row r="782" spans="1:6" x14ac:dyDescent="0.3">
      <c r="A782">
        <v>6.76</v>
      </c>
      <c r="B782">
        <v>1</v>
      </c>
      <c r="E782" s="3">
        <v>11.74</v>
      </c>
      <c r="F782">
        <v>1</v>
      </c>
    </row>
    <row r="783" spans="1:6" x14ac:dyDescent="0.3">
      <c r="A783">
        <v>6.74</v>
      </c>
      <c r="B783">
        <v>1</v>
      </c>
      <c r="E783" s="3">
        <v>11.81</v>
      </c>
      <c r="F783">
        <v>1</v>
      </c>
    </row>
    <row r="784" spans="1:6" x14ac:dyDescent="0.3">
      <c r="A784">
        <v>6.73</v>
      </c>
      <c r="B784">
        <v>1</v>
      </c>
      <c r="E784" s="3">
        <v>11.82</v>
      </c>
      <c r="F784">
        <v>2</v>
      </c>
    </row>
    <row r="785" spans="1:6" x14ac:dyDescent="0.3">
      <c r="A785">
        <v>6.71</v>
      </c>
      <c r="B785">
        <v>1</v>
      </c>
      <c r="E785" s="3">
        <v>11.84</v>
      </c>
      <c r="F785">
        <v>2</v>
      </c>
    </row>
    <row r="786" spans="1:6" x14ac:dyDescent="0.3">
      <c r="A786">
        <v>6.71</v>
      </c>
      <c r="B786">
        <v>1</v>
      </c>
      <c r="E786" s="3">
        <v>11.86</v>
      </c>
      <c r="F786">
        <v>1</v>
      </c>
    </row>
    <row r="787" spans="1:6" x14ac:dyDescent="0.3">
      <c r="A787">
        <v>6.7</v>
      </c>
      <c r="B787">
        <v>1</v>
      </c>
      <c r="E787" s="3">
        <v>11.89</v>
      </c>
      <c r="F787">
        <v>1</v>
      </c>
    </row>
    <row r="788" spans="1:6" x14ac:dyDescent="0.3">
      <c r="A788">
        <v>6.7</v>
      </c>
      <c r="B788">
        <v>1</v>
      </c>
      <c r="E788" s="3">
        <v>11.93</v>
      </c>
      <c r="F788">
        <v>1</v>
      </c>
    </row>
    <row r="789" spans="1:6" x14ac:dyDescent="0.3">
      <c r="A789">
        <v>6.7</v>
      </c>
      <c r="B789">
        <v>1</v>
      </c>
      <c r="E789" s="3">
        <v>11.95</v>
      </c>
      <c r="F789">
        <v>1</v>
      </c>
    </row>
    <row r="790" spans="1:6" x14ac:dyDescent="0.3">
      <c r="A790">
        <v>6.7</v>
      </c>
      <c r="B790">
        <v>1</v>
      </c>
      <c r="E790" s="3">
        <v>11.98</v>
      </c>
      <c r="F790">
        <v>1</v>
      </c>
    </row>
    <row r="791" spans="1:6" x14ac:dyDescent="0.3">
      <c r="A791">
        <v>6.69</v>
      </c>
      <c r="B791">
        <v>1</v>
      </c>
      <c r="E791" s="3">
        <v>11.99</v>
      </c>
      <c r="F791">
        <v>1</v>
      </c>
    </row>
    <row r="792" spans="1:6" x14ac:dyDescent="0.3">
      <c r="A792">
        <v>6.69</v>
      </c>
      <c r="B792">
        <v>1</v>
      </c>
      <c r="E792" s="3">
        <v>12.03</v>
      </c>
      <c r="F792">
        <v>1</v>
      </c>
    </row>
    <row r="793" spans="1:6" x14ac:dyDescent="0.3">
      <c r="A793">
        <v>6.68</v>
      </c>
      <c r="B793">
        <v>1</v>
      </c>
      <c r="E793" s="3">
        <v>12.09</v>
      </c>
      <c r="F793">
        <v>1</v>
      </c>
    </row>
    <row r="794" spans="1:6" x14ac:dyDescent="0.3">
      <c r="A794">
        <v>6.68</v>
      </c>
      <c r="B794">
        <v>1</v>
      </c>
      <c r="E794" s="3">
        <v>12.12</v>
      </c>
      <c r="F794">
        <v>2</v>
      </c>
    </row>
    <row r="795" spans="1:6" x14ac:dyDescent="0.3">
      <c r="A795">
        <v>6.68</v>
      </c>
      <c r="B795">
        <v>1</v>
      </c>
      <c r="E795" s="3">
        <v>12.16</v>
      </c>
      <c r="F795">
        <v>2</v>
      </c>
    </row>
    <row r="796" spans="1:6" x14ac:dyDescent="0.3">
      <c r="A796">
        <v>6.67</v>
      </c>
      <c r="B796">
        <v>1</v>
      </c>
      <c r="E796" s="3">
        <v>12.22</v>
      </c>
      <c r="F796">
        <v>2</v>
      </c>
    </row>
    <row r="797" spans="1:6" x14ac:dyDescent="0.3">
      <c r="A797">
        <v>6.67</v>
      </c>
      <c r="B797">
        <v>1</v>
      </c>
      <c r="E797" s="3">
        <v>12.3</v>
      </c>
      <c r="F797">
        <v>2</v>
      </c>
    </row>
    <row r="798" spans="1:6" x14ac:dyDescent="0.3">
      <c r="A798">
        <v>6.67</v>
      </c>
      <c r="B798">
        <v>1</v>
      </c>
      <c r="E798" s="3">
        <v>12.31</v>
      </c>
      <c r="F798">
        <v>1</v>
      </c>
    </row>
    <row r="799" spans="1:6" x14ac:dyDescent="0.3">
      <c r="A799">
        <v>6.65</v>
      </c>
      <c r="B799">
        <v>1</v>
      </c>
      <c r="E799" s="3">
        <v>12.32</v>
      </c>
      <c r="F799">
        <v>1</v>
      </c>
    </row>
    <row r="800" spans="1:6" x14ac:dyDescent="0.3">
      <c r="A800">
        <v>6.64</v>
      </c>
      <c r="B800">
        <v>1</v>
      </c>
      <c r="E800" s="3">
        <v>12.34</v>
      </c>
      <c r="F800">
        <v>1</v>
      </c>
    </row>
    <row r="801" spans="1:6" x14ac:dyDescent="0.3">
      <c r="A801">
        <v>6.64</v>
      </c>
      <c r="B801">
        <v>1</v>
      </c>
      <c r="E801" s="3">
        <v>12.35</v>
      </c>
      <c r="F801">
        <v>2</v>
      </c>
    </row>
    <row r="802" spans="1:6" x14ac:dyDescent="0.3">
      <c r="A802">
        <v>6.63</v>
      </c>
      <c r="B802">
        <v>1</v>
      </c>
      <c r="E802" s="3">
        <v>12.36</v>
      </c>
      <c r="F802">
        <v>1</v>
      </c>
    </row>
    <row r="803" spans="1:6" x14ac:dyDescent="0.3">
      <c r="A803">
        <v>6.62</v>
      </c>
      <c r="B803">
        <v>1</v>
      </c>
      <c r="E803" s="3">
        <v>12.37</v>
      </c>
      <c r="F803">
        <v>2</v>
      </c>
    </row>
    <row r="804" spans="1:6" x14ac:dyDescent="0.3">
      <c r="A804">
        <v>6.61</v>
      </c>
      <c r="B804">
        <v>1</v>
      </c>
      <c r="E804" s="3">
        <v>12.38</v>
      </c>
      <c r="F804">
        <v>1</v>
      </c>
    </row>
    <row r="805" spans="1:6" x14ac:dyDescent="0.3">
      <c r="A805">
        <v>6.61</v>
      </c>
      <c r="B805">
        <v>1</v>
      </c>
      <c r="E805" s="3">
        <v>12.41</v>
      </c>
      <c r="F805">
        <v>1</v>
      </c>
    </row>
    <row r="806" spans="1:6" x14ac:dyDescent="0.3">
      <c r="A806">
        <v>6.61</v>
      </c>
      <c r="B806">
        <v>1</v>
      </c>
      <c r="E806" s="3">
        <v>12.49</v>
      </c>
      <c r="F806">
        <v>1</v>
      </c>
    </row>
    <row r="807" spans="1:6" x14ac:dyDescent="0.3">
      <c r="A807">
        <v>6.6</v>
      </c>
      <c r="B807">
        <v>1</v>
      </c>
      <c r="E807" s="3">
        <v>12.51</v>
      </c>
      <c r="F807">
        <v>1</v>
      </c>
    </row>
    <row r="808" spans="1:6" x14ac:dyDescent="0.3">
      <c r="A808">
        <v>6.58</v>
      </c>
      <c r="B808">
        <v>1</v>
      </c>
      <c r="E808" s="3">
        <v>12.52</v>
      </c>
      <c r="F808">
        <v>1</v>
      </c>
    </row>
    <row r="809" spans="1:6" x14ac:dyDescent="0.3">
      <c r="A809">
        <v>6.56</v>
      </c>
      <c r="B809">
        <v>1</v>
      </c>
      <c r="E809" s="3">
        <v>12.6</v>
      </c>
      <c r="F809">
        <v>1</v>
      </c>
    </row>
    <row r="810" spans="1:6" x14ac:dyDescent="0.3">
      <c r="A810">
        <v>6.55</v>
      </c>
      <c r="B810">
        <v>1</v>
      </c>
      <c r="E810" s="3">
        <v>12.64</v>
      </c>
      <c r="F810">
        <v>1</v>
      </c>
    </row>
    <row r="811" spans="1:6" x14ac:dyDescent="0.3">
      <c r="A811">
        <v>6.55</v>
      </c>
      <c r="B811">
        <v>1</v>
      </c>
      <c r="E811" s="3">
        <v>12.71</v>
      </c>
      <c r="F811">
        <v>1</v>
      </c>
    </row>
    <row r="812" spans="1:6" x14ac:dyDescent="0.3">
      <c r="A812">
        <v>6.54</v>
      </c>
      <c r="B812">
        <v>1</v>
      </c>
      <c r="E812" s="3">
        <v>12.72</v>
      </c>
      <c r="F812">
        <v>1</v>
      </c>
    </row>
    <row r="813" spans="1:6" x14ac:dyDescent="0.3">
      <c r="A813">
        <v>6.54</v>
      </c>
      <c r="B813">
        <v>1</v>
      </c>
      <c r="E813" s="3">
        <v>12.74</v>
      </c>
      <c r="F813">
        <v>1</v>
      </c>
    </row>
    <row r="814" spans="1:6" x14ac:dyDescent="0.3">
      <c r="A814">
        <v>6.53</v>
      </c>
      <c r="B814">
        <v>1</v>
      </c>
      <c r="E814" s="3">
        <v>12.76</v>
      </c>
      <c r="F814">
        <v>1</v>
      </c>
    </row>
    <row r="815" spans="1:6" x14ac:dyDescent="0.3">
      <c r="A815">
        <v>6.52</v>
      </c>
      <c r="B815">
        <v>1</v>
      </c>
      <c r="E815" s="3">
        <v>12.77</v>
      </c>
      <c r="F815">
        <v>2</v>
      </c>
    </row>
    <row r="816" spans="1:6" x14ac:dyDescent="0.3">
      <c r="A816">
        <v>6.52</v>
      </c>
      <c r="B816">
        <v>1</v>
      </c>
      <c r="E816" s="3">
        <v>12.8</v>
      </c>
      <c r="F816">
        <v>1</v>
      </c>
    </row>
    <row r="817" spans="1:6" x14ac:dyDescent="0.3">
      <c r="A817">
        <v>6.52</v>
      </c>
      <c r="B817">
        <v>1</v>
      </c>
      <c r="E817" s="3">
        <v>12.81</v>
      </c>
      <c r="F817">
        <v>1</v>
      </c>
    </row>
    <row r="818" spans="1:6" x14ac:dyDescent="0.3">
      <c r="A818">
        <v>6.52</v>
      </c>
      <c r="B818">
        <v>1</v>
      </c>
      <c r="E818" s="3">
        <v>12.82</v>
      </c>
      <c r="F818">
        <v>1</v>
      </c>
    </row>
    <row r="819" spans="1:6" x14ac:dyDescent="0.3">
      <c r="A819">
        <v>6.49</v>
      </c>
      <c r="B819">
        <v>1</v>
      </c>
      <c r="E819" s="3">
        <v>12.84</v>
      </c>
      <c r="F819">
        <v>1</v>
      </c>
    </row>
    <row r="820" spans="1:6" x14ac:dyDescent="0.3">
      <c r="A820">
        <v>6.49</v>
      </c>
      <c r="B820">
        <v>1</v>
      </c>
      <c r="E820" s="3">
        <v>12.86</v>
      </c>
      <c r="F820">
        <v>1</v>
      </c>
    </row>
    <row r="821" spans="1:6" x14ac:dyDescent="0.3">
      <c r="A821">
        <v>6.48</v>
      </c>
      <c r="B821">
        <v>1</v>
      </c>
      <c r="E821" s="3">
        <v>12.9</v>
      </c>
      <c r="F821">
        <v>1</v>
      </c>
    </row>
    <row r="822" spans="1:6" x14ac:dyDescent="0.3">
      <c r="A822">
        <v>6.47</v>
      </c>
      <c r="B822">
        <v>1</v>
      </c>
      <c r="E822" s="3">
        <v>12.92</v>
      </c>
      <c r="F822">
        <v>1</v>
      </c>
    </row>
    <row r="823" spans="1:6" x14ac:dyDescent="0.3">
      <c r="A823">
        <v>6.46</v>
      </c>
      <c r="B823">
        <v>1</v>
      </c>
      <c r="E823" s="3">
        <v>12.93</v>
      </c>
      <c r="F823">
        <v>1</v>
      </c>
    </row>
    <row r="824" spans="1:6" x14ac:dyDescent="0.3">
      <c r="A824">
        <v>6.45</v>
      </c>
      <c r="B824">
        <v>1</v>
      </c>
      <c r="E824" s="3">
        <v>13.01</v>
      </c>
      <c r="F824">
        <v>1</v>
      </c>
    </row>
    <row r="825" spans="1:6" x14ac:dyDescent="0.3">
      <c r="A825">
        <v>6.44</v>
      </c>
      <c r="B825">
        <v>1</v>
      </c>
      <c r="E825" s="3">
        <v>13.07</v>
      </c>
      <c r="F825">
        <v>2</v>
      </c>
    </row>
    <row r="826" spans="1:6" x14ac:dyDescent="0.3">
      <c r="A826">
        <v>6.42</v>
      </c>
      <c r="B826">
        <v>1</v>
      </c>
      <c r="E826" s="3">
        <v>13.17</v>
      </c>
      <c r="F826">
        <v>2</v>
      </c>
    </row>
    <row r="827" spans="1:6" x14ac:dyDescent="0.3">
      <c r="A827">
        <v>6.41</v>
      </c>
      <c r="B827">
        <v>1</v>
      </c>
      <c r="E827" s="3">
        <v>13.18</v>
      </c>
      <c r="F827">
        <v>1</v>
      </c>
    </row>
    <row r="828" spans="1:6" x14ac:dyDescent="0.3">
      <c r="A828">
        <v>6.38</v>
      </c>
      <c r="B828">
        <v>1</v>
      </c>
      <c r="E828" s="3">
        <v>13.19</v>
      </c>
      <c r="F828">
        <v>1</v>
      </c>
    </row>
    <row r="829" spans="1:6" x14ac:dyDescent="0.3">
      <c r="A829">
        <v>6.37</v>
      </c>
      <c r="B829">
        <v>1</v>
      </c>
      <c r="E829" s="3">
        <v>13.21</v>
      </c>
      <c r="F829">
        <v>1</v>
      </c>
    </row>
    <row r="830" spans="1:6" x14ac:dyDescent="0.3">
      <c r="A830">
        <v>6.37</v>
      </c>
      <c r="B830">
        <v>1</v>
      </c>
      <c r="E830" s="3">
        <v>13.22</v>
      </c>
      <c r="F830">
        <v>1</v>
      </c>
    </row>
    <row r="831" spans="1:6" x14ac:dyDescent="0.3">
      <c r="A831">
        <v>6.36</v>
      </c>
      <c r="B831">
        <v>1</v>
      </c>
      <c r="E831" s="3">
        <v>13.23</v>
      </c>
      <c r="F831">
        <v>1</v>
      </c>
    </row>
    <row r="832" spans="1:6" x14ac:dyDescent="0.3">
      <c r="A832">
        <v>6.36</v>
      </c>
      <c r="B832">
        <v>1</v>
      </c>
      <c r="E832" s="3">
        <v>13.27</v>
      </c>
      <c r="F832">
        <v>3</v>
      </c>
    </row>
    <row r="833" spans="1:6" x14ac:dyDescent="0.3">
      <c r="A833">
        <v>6.35</v>
      </c>
      <c r="B833">
        <v>1</v>
      </c>
      <c r="E833" s="3">
        <v>13.28</v>
      </c>
      <c r="F833">
        <v>1</v>
      </c>
    </row>
    <row r="834" spans="1:6" x14ac:dyDescent="0.3">
      <c r="A834">
        <v>6.35</v>
      </c>
      <c r="B834">
        <v>1</v>
      </c>
      <c r="E834" s="3">
        <v>13.29</v>
      </c>
      <c r="F834">
        <v>1</v>
      </c>
    </row>
    <row r="835" spans="1:6" x14ac:dyDescent="0.3">
      <c r="A835">
        <v>6.35</v>
      </c>
      <c r="B835">
        <v>1</v>
      </c>
      <c r="E835" s="3">
        <v>13.3</v>
      </c>
      <c r="F835">
        <v>1</v>
      </c>
    </row>
    <row r="836" spans="1:6" x14ac:dyDescent="0.3">
      <c r="A836">
        <v>6.34</v>
      </c>
      <c r="B836">
        <v>1</v>
      </c>
      <c r="E836" s="3">
        <v>13.37</v>
      </c>
      <c r="F836">
        <v>1</v>
      </c>
    </row>
    <row r="837" spans="1:6" x14ac:dyDescent="0.3">
      <c r="A837">
        <v>6.32</v>
      </c>
      <c r="B837">
        <v>1</v>
      </c>
      <c r="E837" s="3">
        <v>13.38</v>
      </c>
      <c r="F837">
        <v>1</v>
      </c>
    </row>
    <row r="838" spans="1:6" x14ac:dyDescent="0.3">
      <c r="A838">
        <v>6.31</v>
      </c>
      <c r="B838">
        <v>1</v>
      </c>
      <c r="E838" s="3">
        <v>13.41</v>
      </c>
      <c r="F838">
        <v>1</v>
      </c>
    </row>
    <row r="839" spans="1:6" x14ac:dyDescent="0.3">
      <c r="A839">
        <v>6.31</v>
      </c>
      <c r="B839">
        <v>1</v>
      </c>
      <c r="E839" s="3">
        <v>13.43</v>
      </c>
      <c r="F839">
        <v>1</v>
      </c>
    </row>
    <row r="840" spans="1:6" x14ac:dyDescent="0.3">
      <c r="A840">
        <v>6.29</v>
      </c>
      <c r="B840">
        <v>1</v>
      </c>
      <c r="E840" s="3">
        <v>13.46</v>
      </c>
      <c r="F840">
        <v>1</v>
      </c>
    </row>
    <row r="841" spans="1:6" x14ac:dyDescent="0.3">
      <c r="A841">
        <v>6.29</v>
      </c>
      <c r="B841">
        <v>1</v>
      </c>
      <c r="E841" s="3">
        <v>13.5</v>
      </c>
      <c r="F841">
        <v>1</v>
      </c>
    </row>
    <row r="842" spans="1:6" x14ac:dyDescent="0.3">
      <c r="A842">
        <v>6.27</v>
      </c>
      <c r="B842">
        <v>1</v>
      </c>
      <c r="E842" s="3">
        <v>13.52</v>
      </c>
      <c r="F842">
        <v>2</v>
      </c>
    </row>
    <row r="843" spans="1:6" x14ac:dyDescent="0.3">
      <c r="A843">
        <v>6.24</v>
      </c>
      <c r="B843">
        <v>1</v>
      </c>
      <c r="E843" s="3">
        <v>13.57</v>
      </c>
      <c r="F843">
        <v>1</v>
      </c>
    </row>
    <row r="844" spans="1:6" x14ac:dyDescent="0.3">
      <c r="A844">
        <v>6.24</v>
      </c>
      <c r="B844">
        <v>1</v>
      </c>
      <c r="E844" s="3">
        <v>13.63</v>
      </c>
      <c r="F844">
        <v>1</v>
      </c>
    </row>
    <row r="845" spans="1:6" x14ac:dyDescent="0.3">
      <c r="A845">
        <v>6.22</v>
      </c>
      <c r="B845">
        <v>1</v>
      </c>
      <c r="E845" s="3">
        <v>13.68</v>
      </c>
      <c r="F845">
        <v>1</v>
      </c>
    </row>
    <row r="846" spans="1:6" x14ac:dyDescent="0.3">
      <c r="A846">
        <v>6.2</v>
      </c>
      <c r="B846">
        <v>1</v>
      </c>
      <c r="E846" s="3">
        <v>13.86</v>
      </c>
      <c r="F846">
        <v>1</v>
      </c>
    </row>
    <row r="847" spans="1:6" x14ac:dyDescent="0.3">
      <c r="A847">
        <v>6.2</v>
      </c>
      <c r="B847">
        <v>1</v>
      </c>
      <c r="E847" s="3">
        <v>13.93</v>
      </c>
      <c r="F847">
        <v>1</v>
      </c>
    </row>
    <row r="848" spans="1:6" x14ac:dyDescent="0.3">
      <c r="A848">
        <v>6.17</v>
      </c>
      <c r="B848">
        <v>1</v>
      </c>
      <c r="E848" s="3">
        <v>13.95</v>
      </c>
      <c r="F848">
        <v>1</v>
      </c>
    </row>
    <row r="849" spans="1:6" x14ac:dyDescent="0.3">
      <c r="A849">
        <v>6.17</v>
      </c>
      <c r="B849">
        <v>1</v>
      </c>
      <c r="E849" s="3">
        <v>13.98</v>
      </c>
      <c r="F849">
        <v>1</v>
      </c>
    </row>
    <row r="850" spans="1:6" x14ac:dyDescent="0.3">
      <c r="A850">
        <v>6.16</v>
      </c>
      <c r="B850">
        <v>1</v>
      </c>
      <c r="E850" s="3">
        <v>14.02</v>
      </c>
      <c r="F850">
        <v>2</v>
      </c>
    </row>
    <row r="851" spans="1:6" x14ac:dyDescent="0.3">
      <c r="A851">
        <v>6.15</v>
      </c>
      <c r="B851">
        <v>1</v>
      </c>
      <c r="E851" s="3">
        <v>14.05</v>
      </c>
      <c r="F851">
        <v>2</v>
      </c>
    </row>
    <row r="852" spans="1:6" x14ac:dyDescent="0.3">
      <c r="A852">
        <v>6.14</v>
      </c>
      <c r="B852">
        <v>1</v>
      </c>
      <c r="E852" s="3">
        <v>14.09</v>
      </c>
      <c r="F852">
        <v>1</v>
      </c>
    </row>
    <row r="853" spans="1:6" x14ac:dyDescent="0.3">
      <c r="A853">
        <v>6.13</v>
      </c>
      <c r="B853">
        <v>1</v>
      </c>
      <c r="E853" s="3">
        <v>14.12</v>
      </c>
      <c r="F853">
        <v>1</v>
      </c>
    </row>
    <row r="854" spans="1:6" x14ac:dyDescent="0.3">
      <c r="A854">
        <v>6.13</v>
      </c>
      <c r="B854">
        <v>1</v>
      </c>
      <c r="E854" s="3">
        <v>14.17</v>
      </c>
      <c r="F854">
        <v>1</v>
      </c>
    </row>
    <row r="855" spans="1:6" x14ac:dyDescent="0.3">
      <c r="A855">
        <v>6.12</v>
      </c>
      <c r="B855">
        <v>1</v>
      </c>
      <c r="E855" s="3">
        <v>14.21</v>
      </c>
      <c r="F855">
        <v>1</v>
      </c>
    </row>
    <row r="856" spans="1:6" x14ac:dyDescent="0.3">
      <c r="A856">
        <v>6.11</v>
      </c>
      <c r="B856">
        <v>1</v>
      </c>
      <c r="E856" s="3">
        <v>14.25</v>
      </c>
      <c r="F856">
        <v>3</v>
      </c>
    </row>
    <row r="857" spans="1:6" x14ac:dyDescent="0.3">
      <c r="A857">
        <v>6.1</v>
      </c>
      <c r="B857">
        <v>1</v>
      </c>
      <c r="E857" s="3">
        <v>14.31</v>
      </c>
      <c r="F857">
        <v>1</v>
      </c>
    </row>
    <row r="858" spans="1:6" x14ac:dyDescent="0.3">
      <c r="A858">
        <v>6.08</v>
      </c>
      <c r="B858">
        <v>1</v>
      </c>
      <c r="E858" s="3">
        <v>14.38</v>
      </c>
      <c r="F858">
        <v>2</v>
      </c>
    </row>
    <row r="859" spans="1:6" x14ac:dyDescent="0.3">
      <c r="A859">
        <v>6.08</v>
      </c>
      <c r="B859">
        <v>1</v>
      </c>
      <c r="E859" s="3">
        <v>14.42</v>
      </c>
      <c r="F859">
        <v>1</v>
      </c>
    </row>
    <row r="860" spans="1:6" x14ac:dyDescent="0.3">
      <c r="A860">
        <v>6.07</v>
      </c>
      <c r="B860">
        <v>1</v>
      </c>
      <c r="E860" s="3">
        <v>14.44</v>
      </c>
      <c r="F860">
        <v>1</v>
      </c>
    </row>
    <row r="861" spans="1:6" x14ac:dyDescent="0.3">
      <c r="A861">
        <v>6.07</v>
      </c>
      <c r="B861">
        <v>1</v>
      </c>
      <c r="E861" s="3">
        <v>14.46</v>
      </c>
      <c r="F861">
        <v>1</v>
      </c>
    </row>
    <row r="862" spans="1:6" x14ac:dyDescent="0.3">
      <c r="A862">
        <v>6.06</v>
      </c>
      <c r="B862">
        <v>1</v>
      </c>
      <c r="E862" s="3">
        <v>14.48</v>
      </c>
      <c r="F862">
        <v>1</v>
      </c>
    </row>
    <row r="863" spans="1:6" x14ac:dyDescent="0.3">
      <c r="A863">
        <v>6.04</v>
      </c>
      <c r="B863">
        <v>1</v>
      </c>
      <c r="E863" s="3">
        <v>14.49</v>
      </c>
      <c r="F863">
        <v>1</v>
      </c>
    </row>
    <row r="864" spans="1:6" x14ac:dyDescent="0.3">
      <c r="A864">
        <v>6.02</v>
      </c>
      <c r="B864">
        <v>1</v>
      </c>
      <c r="E864" s="3">
        <v>14.54</v>
      </c>
      <c r="F864">
        <v>2</v>
      </c>
    </row>
    <row r="865" spans="1:6" x14ac:dyDescent="0.3">
      <c r="A865">
        <v>6.02</v>
      </c>
      <c r="B865">
        <v>1</v>
      </c>
      <c r="E865" s="3">
        <v>14.63</v>
      </c>
      <c r="F865">
        <v>1</v>
      </c>
    </row>
    <row r="866" spans="1:6" x14ac:dyDescent="0.3">
      <c r="A866">
        <v>6.02</v>
      </c>
      <c r="B866">
        <v>1</v>
      </c>
      <c r="E866" s="3">
        <v>14.65</v>
      </c>
      <c r="F866">
        <v>1</v>
      </c>
    </row>
    <row r="867" spans="1:6" x14ac:dyDescent="0.3">
      <c r="A867">
        <v>6.01</v>
      </c>
      <c r="B867">
        <v>1</v>
      </c>
      <c r="E867" s="3">
        <v>14.66</v>
      </c>
      <c r="F867">
        <v>1</v>
      </c>
    </row>
    <row r="868" spans="1:6" x14ac:dyDescent="0.3">
      <c r="A868">
        <v>6.01</v>
      </c>
      <c r="B868">
        <v>1</v>
      </c>
      <c r="E868" s="3">
        <v>14.69</v>
      </c>
      <c r="F868">
        <v>1</v>
      </c>
    </row>
    <row r="869" spans="1:6" x14ac:dyDescent="0.3">
      <c r="A869">
        <v>6</v>
      </c>
      <c r="B869">
        <v>1</v>
      </c>
      <c r="E869" s="3">
        <v>14.81</v>
      </c>
      <c r="F869">
        <v>1</v>
      </c>
    </row>
    <row r="870" spans="1:6" x14ac:dyDescent="0.3">
      <c r="A870">
        <v>6</v>
      </c>
      <c r="B870">
        <v>1</v>
      </c>
      <c r="E870" s="3">
        <v>14.84</v>
      </c>
      <c r="F870">
        <v>2</v>
      </c>
    </row>
    <row r="871" spans="1:6" x14ac:dyDescent="0.3">
      <c r="A871">
        <v>5.99</v>
      </c>
      <c r="B871">
        <v>1</v>
      </c>
      <c r="E871" s="3">
        <v>14.91</v>
      </c>
      <c r="F871">
        <v>1</v>
      </c>
    </row>
    <row r="872" spans="1:6" x14ac:dyDescent="0.3">
      <c r="A872">
        <v>5.99</v>
      </c>
      <c r="B872">
        <v>1</v>
      </c>
      <c r="E872" s="3">
        <v>15</v>
      </c>
      <c r="F872">
        <v>1</v>
      </c>
    </row>
    <row r="873" spans="1:6" x14ac:dyDescent="0.3">
      <c r="A873">
        <v>5.95</v>
      </c>
      <c r="B873">
        <v>1</v>
      </c>
      <c r="E873" s="3">
        <v>15.04</v>
      </c>
      <c r="F873">
        <v>1</v>
      </c>
    </row>
    <row r="874" spans="1:6" x14ac:dyDescent="0.3">
      <c r="A874">
        <v>5.95</v>
      </c>
      <c r="B874">
        <v>1</v>
      </c>
      <c r="E874" s="3">
        <v>15.13</v>
      </c>
      <c r="F874">
        <v>1</v>
      </c>
    </row>
    <row r="875" spans="1:6" x14ac:dyDescent="0.3">
      <c r="A875">
        <v>5.94</v>
      </c>
      <c r="B875">
        <v>1</v>
      </c>
      <c r="E875" s="3">
        <v>15.39</v>
      </c>
      <c r="F875">
        <v>1</v>
      </c>
    </row>
    <row r="876" spans="1:6" x14ac:dyDescent="0.3">
      <c r="A876">
        <v>5.94</v>
      </c>
      <c r="B876">
        <v>1</v>
      </c>
      <c r="E876" s="3">
        <v>15.42</v>
      </c>
      <c r="F876">
        <v>1</v>
      </c>
    </row>
    <row r="877" spans="1:6" x14ac:dyDescent="0.3">
      <c r="A877">
        <v>5.93</v>
      </c>
      <c r="B877">
        <v>1</v>
      </c>
      <c r="E877" s="3">
        <v>15.47</v>
      </c>
      <c r="F877">
        <v>1</v>
      </c>
    </row>
    <row r="878" spans="1:6" x14ac:dyDescent="0.3">
      <c r="A878">
        <v>5.91</v>
      </c>
      <c r="B878">
        <v>1</v>
      </c>
      <c r="E878" s="3">
        <v>15.59</v>
      </c>
      <c r="F878">
        <v>1</v>
      </c>
    </row>
    <row r="879" spans="1:6" x14ac:dyDescent="0.3">
      <c r="A879">
        <v>5.91</v>
      </c>
      <c r="B879">
        <v>1</v>
      </c>
      <c r="E879" s="3">
        <v>15.67</v>
      </c>
      <c r="F879">
        <v>1</v>
      </c>
    </row>
    <row r="880" spans="1:6" x14ac:dyDescent="0.3">
      <c r="A880">
        <v>5.9</v>
      </c>
      <c r="B880">
        <v>1</v>
      </c>
      <c r="E880" s="3">
        <v>15.75</v>
      </c>
      <c r="F880">
        <v>2</v>
      </c>
    </row>
    <row r="881" spans="1:6" x14ac:dyDescent="0.3">
      <c r="A881">
        <v>5.9</v>
      </c>
      <c r="B881">
        <v>1</v>
      </c>
      <c r="E881" s="3">
        <v>15.77</v>
      </c>
      <c r="F881">
        <v>1</v>
      </c>
    </row>
    <row r="882" spans="1:6" x14ac:dyDescent="0.3">
      <c r="A882">
        <v>5.88</v>
      </c>
      <c r="B882">
        <v>1</v>
      </c>
      <c r="E882" s="3">
        <v>15.79</v>
      </c>
      <c r="F882">
        <v>1</v>
      </c>
    </row>
    <row r="883" spans="1:6" x14ac:dyDescent="0.3">
      <c r="A883">
        <v>5.88</v>
      </c>
      <c r="B883">
        <v>1</v>
      </c>
      <c r="E883" s="3">
        <v>15.82</v>
      </c>
      <c r="F883">
        <v>1</v>
      </c>
    </row>
    <row r="884" spans="1:6" x14ac:dyDescent="0.3">
      <c r="A884">
        <v>5.86</v>
      </c>
      <c r="B884">
        <v>1</v>
      </c>
      <c r="E884" s="3">
        <v>15.84</v>
      </c>
      <c r="F884">
        <v>2</v>
      </c>
    </row>
    <row r="885" spans="1:6" x14ac:dyDescent="0.3">
      <c r="A885">
        <v>5.84</v>
      </c>
      <c r="B885">
        <v>1</v>
      </c>
      <c r="E885" s="3">
        <v>15.88</v>
      </c>
      <c r="F885">
        <v>1</v>
      </c>
    </row>
    <row r="886" spans="1:6" x14ac:dyDescent="0.3">
      <c r="A886">
        <v>5.84</v>
      </c>
      <c r="B886">
        <v>1</v>
      </c>
      <c r="E886" s="3">
        <v>15.89</v>
      </c>
      <c r="F886">
        <v>2</v>
      </c>
    </row>
    <row r="887" spans="1:6" x14ac:dyDescent="0.3">
      <c r="A887">
        <v>5.83</v>
      </c>
      <c r="B887">
        <v>1</v>
      </c>
      <c r="E887" s="3">
        <v>15.99</v>
      </c>
      <c r="F887">
        <v>1</v>
      </c>
    </row>
    <row r="888" spans="1:6" x14ac:dyDescent="0.3">
      <c r="A888">
        <v>5.83</v>
      </c>
      <c r="B888">
        <v>1</v>
      </c>
      <c r="E888" s="3">
        <v>16.07</v>
      </c>
      <c r="F888">
        <v>1</v>
      </c>
    </row>
    <row r="889" spans="1:6" x14ac:dyDescent="0.3">
      <c r="A889">
        <v>5.82</v>
      </c>
      <c r="B889">
        <v>1</v>
      </c>
      <c r="E889" s="3">
        <v>16.18</v>
      </c>
      <c r="F889">
        <v>1</v>
      </c>
    </row>
    <row r="890" spans="1:6" x14ac:dyDescent="0.3">
      <c r="A890">
        <v>5.82</v>
      </c>
      <c r="B890">
        <v>1</v>
      </c>
      <c r="E890" s="3">
        <v>16.28</v>
      </c>
      <c r="F890">
        <v>1</v>
      </c>
    </row>
    <row r="891" spans="1:6" x14ac:dyDescent="0.3">
      <c r="A891">
        <v>5.81</v>
      </c>
      <c r="B891">
        <v>1</v>
      </c>
      <c r="E891" s="3">
        <v>16.32</v>
      </c>
      <c r="F891">
        <v>1</v>
      </c>
    </row>
    <row r="892" spans="1:6" x14ac:dyDescent="0.3">
      <c r="A892">
        <v>5.81</v>
      </c>
      <c r="B892">
        <v>1</v>
      </c>
      <c r="E892" s="3">
        <v>16.34</v>
      </c>
      <c r="F892">
        <v>1</v>
      </c>
    </row>
    <row r="893" spans="1:6" x14ac:dyDescent="0.3">
      <c r="A893">
        <v>5.81</v>
      </c>
      <c r="B893">
        <v>1</v>
      </c>
      <c r="E893" s="3">
        <v>16.39</v>
      </c>
      <c r="F893">
        <v>1</v>
      </c>
    </row>
    <row r="894" spans="1:6" x14ac:dyDescent="0.3">
      <c r="A894">
        <v>5.81</v>
      </c>
      <c r="B894">
        <v>1</v>
      </c>
      <c r="E894" s="3">
        <v>16.54</v>
      </c>
      <c r="F894">
        <v>1</v>
      </c>
    </row>
    <row r="895" spans="1:6" x14ac:dyDescent="0.3">
      <c r="A895">
        <v>5.81</v>
      </c>
      <c r="B895">
        <v>1</v>
      </c>
      <c r="E895" s="3">
        <v>16.55</v>
      </c>
      <c r="F895">
        <v>1</v>
      </c>
    </row>
    <row r="896" spans="1:6" x14ac:dyDescent="0.3">
      <c r="A896">
        <v>5.79</v>
      </c>
      <c r="B896">
        <v>1</v>
      </c>
      <c r="E896" s="3">
        <v>16.579999999999998</v>
      </c>
      <c r="F896">
        <v>1</v>
      </c>
    </row>
    <row r="897" spans="1:6" x14ac:dyDescent="0.3">
      <c r="A897">
        <v>5.79</v>
      </c>
      <c r="B897">
        <v>1</v>
      </c>
      <c r="E897" s="3">
        <v>16.600000000000001</v>
      </c>
      <c r="F897">
        <v>1</v>
      </c>
    </row>
    <row r="898" spans="1:6" x14ac:dyDescent="0.3">
      <c r="A898">
        <v>5.79</v>
      </c>
      <c r="B898">
        <v>1</v>
      </c>
      <c r="E898" s="3">
        <v>16.670000000000002</v>
      </c>
      <c r="F898">
        <v>1</v>
      </c>
    </row>
    <row r="899" spans="1:6" x14ac:dyDescent="0.3">
      <c r="A899">
        <v>5.79</v>
      </c>
      <c r="B899">
        <v>1</v>
      </c>
      <c r="E899" s="3">
        <v>16.77</v>
      </c>
      <c r="F899">
        <v>1</v>
      </c>
    </row>
    <row r="900" spans="1:6" x14ac:dyDescent="0.3">
      <c r="A900">
        <v>5.78</v>
      </c>
      <c r="B900">
        <v>1</v>
      </c>
      <c r="E900" s="3">
        <v>16.809999999999999</v>
      </c>
      <c r="F900">
        <v>1</v>
      </c>
    </row>
    <row r="901" spans="1:6" x14ac:dyDescent="0.3">
      <c r="A901">
        <v>5.78</v>
      </c>
      <c r="B901">
        <v>1</v>
      </c>
      <c r="E901" s="3">
        <v>16.87</v>
      </c>
      <c r="F901">
        <v>1</v>
      </c>
    </row>
    <row r="902" spans="1:6" x14ac:dyDescent="0.3">
      <c r="A902">
        <v>5.78</v>
      </c>
      <c r="B902">
        <v>1</v>
      </c>
      <c r="E902" s="3">
        <v>16.88</v>
      </c>
      <c r="F902">
        <v>1</v>
      </c>
    </row>
    <row r="903" spans="1:6" x14ac:dyDescent="0.3">
      <c r="A903">
        <v>5.77</v>
      </c>
      <c r="B903">
        <v>1</v>
      </c>
      <c r="E903" s="3">
        <v>16.91</v>
      </c>
      <c r="F903">
        <v>1</v>
      </c>
    </row>
    <row r="904" spans="1:6" x14ac:dyDescent="0.3">
      <c r="A904">
        <v>5.74</v>
      </c>
      <c r="B904">
        <v>1</v>
      </c>
      <c r="E904" s="3">
        <v>16.96</v>
      </c>
      <c r="F904">
        <v>1</v>
      </c>
    </row>
    <row r="905" spans="1:6" x14ac:dyDescent="0.3">
      <c r="A905">
        <v>5.73</v>
      </c>
      <c r="B905">
        <v>1</v>
      </c>
      <c r="E905" s="3">
        <v>17.07</v>
      </c>
      <c r="F905">
        <v>1</v>
      </c>
    </row>
    <row r="906" spans="1:6" x14ac:dyDescent="0.3">
      <c r="A906">
        <v>5.73</v>
      </c>
      <c r="B906">
        <v>1</v>
      </c>
      <c r="E906" s="3">
        <v>17.079999999999998</v>
      </c>
      <c r="F906">
        <v>1</v>
      </c>
    </row>
    <row r="907" spans="1:6" x14ac:dyDescent="0.3">
      <c r="A907">
        <v>5.73</v>
      </c>
      <c r="B907">
        <v>1</v>
      </c>
      <c r="E907" s="3">
        <v>17.09</v>
      </c>
      <c r="F907">
        <v>1</v>
      </c>
    </row>
    <row r="908" spans="1:6" x14ac:dyDescent="0.3">
      <c r="A908">
        <v>5.73</v>
      </c>
      <c r="B908">
        <v>1</v>
      </c>
      <c r="E908" s="3">
        <v>17.170000000000002</v>
      </c>
      <c r="F908">
        <v>2</v>
      </c>
    </row>
    <row r="909" spans="1:6" x14ac:dyDescent="0.3">
      <c r="A909">
        <v>5.72</v>
      </c>
      <c r="B909">
        <v>1</v>
      </c>
      <c r="E909" s="3">
        <v>17.2</v>
      </c>
      <c r="F909">
        <v>1</v>
      </c>
    </row>
    <row r="910" spans="1:6" x14ac:dyDescent="0.3">
      <c r="A910">
        <v>5.72</v>
      </c>
      <c r="B910">
        <v>1</v>
      </c>
      <c r="E910" s="3">
        <v>17.21</v>
      </c>
      <c r="F910">
        <v>1</v>
      </c>
    </row>
    <row r="911" spans="1:6" x14ac:dyDescent="0.3">
      <c r="A911">
        <v>5.72</v>
      </c>
      <c r="B911">
        <v>1</v>
      </c>
      <c r="E911" s="3">
        <v>17.22</v>
      </c>
      <c r="F911">
        <v>1</v>
      </c>
    </row>
    <row r="912" spans="1:6" x14ac:dyDescent="0.3">
      <c r="A912">
        <v>5.71</v>
      </c>
      <c r="B912">
        <v>1</v>
      </c>
      <c r="E912" s="3">
        <v>17.23</v>
      </c>
      <c r="F912">
        <v>1</v>
      </c>
    </row>
    <row r="913" spans="1:6" x14ac:dyDescent="0.3">
      <c r="A913">
        <v>5.71</v>
      </c>
      <c r="B913">
        <v>1</v>
      </c>
      <c r="E913" s="3">
        <v>17.32</v>
      </c>
      <c r="F913">
        <v>1</v>
      </c>
    </row>
    <row r="914" spans="1:6" x14ac:dyDescent="0.3">
      <c r="A914">
        <v>5.71</v>
      </c>
      <c r="B914">
        <v>1</v>
      </c>
      <c r="E914" s="3">
        <v>17.420000000000002</v>
      </c>
      <c r="F914">
        <v>2</v>
      </c>
    </row>
    <row r="915" spans="1:6" x14ac:dyDescent="0.3">
      <c r="A915">
        <v>5.7</v>
      </c>
      <c r="B915">
        <v>1</v>
      </c>
      <c r="E915" s="3">
        <v>17.55</v>
      </c>
      <c r="F915">
        <v>1</v>
      </c>
    </row>
    <row r="916" spans="1:6" x14ac:dyDescent="0.3">
      <c r="A916">
        <v>5.68</v>
      </c>
      <c r="B916">
        <v>1</v>
      </c>
      <c r="E916" s="3">
        <v>17.559999999999999</v>
      </c>
      <c r="F916">
        <v>1</v>
      </c>
    </row>
    <row r="917" spans="1:6" x14ac:dyDescent="0.3">
      <c r="A917">
        <v>5.68</v>
      </c>
      <c r="B917">
        <v>1</v>
      </c>
      <c r="E917" s="3">
        <v>17.64</v>
      </c>
      <c r="F917">
        <v>1</v>
      </c>
    </row>
    <row r="918" spans="1:6" x14ac:dyDescent="0.3">
      <c r="A918">
        <v>5.67</v>
      </c>
      <c r="B918">
        <v>1</v>
      </c>
      <c r="E918" s="3">
        <v>17.79</v>
      </c>
      <c r="F918">
        <v>1</v>
      </c>
    </row>
    <row r="919" spans="1:6" x14ac:dyDescent="0.3">
      <c r="A919">
        <v>5.67</v>
      </c>
      <c r="B919">
        <v>1</v>
      </c>
      <c r="E919" s="3">
        <v>17.8</v>
      </c>
      <c r="F919">
        <v>1</v>
      </c>
    </row>
    <row r="920" spans="1:6" x14ac:dyDescent="0.3">
      <c r="A920">
        <v>5.67</v>
      </c>
      <c r="B920">
        <v>1</v>
      </c>
      <c r="E920" s="3">
        <v>17.95</v>
      </c>
      <c r="F920">
        <v>1</v>
      </c>
    </row>
    <row r="921" spans="1:6" x14ac:dyDescent="0.3">
      <c r="A921">
        <v>5.66</v>
      </c>
      <c r="B921">
        <v>1</v>
      </c>
      <c r="E921" s="3">
        <v>17.989999999999998</v>
      </c>
      <c r="F921">
        <v>1</v>
      </c>
    </row>
    <row r="922" spans="1:6" x14ac:dyDescent="0.3">
      <c r="A922">
        <v>5.65</v>
      </c>
      <c r="B922">
        <v>1</v>
      </c>
      <c r="E922" s="3">
        <v>18.100000000000001</v>
      </c>
      <c r="F922">
        <v>1</v>
      </c>
    </row>
    <row r="923" spans="1:6" x14ac:dyDescent="0.3">
      <c r="A923">
        <v>5.65</v>
      </c>
      <c r="B923">
        <v>1</v>
      </c>
      <c r="E923" s="3">
        <v>18.170000000000002</v>
      </c>
      <c r="F923">
        <v>2</v>
      </c>
    </row>
    <row r="924" spans="1:6" x14ac:dyDescent="0.3">
      <c r="A924">
        <v>5.64</v>
      </c>
      <c r="B924">
        <v>1</v>
      </c>
      <c r="E924" s="3">
        <v>18.21</v>
      </c>
      <c r="F924">
        <v>2</v>
      </c>
    </row>
    <row r="925" spans="1:6" x14ac:dyDescent="0.3">
      <c r="A925">
        <v>5.64</v>
      </c>
      <c r="B925">
        <v>1</v>
      </c>
      <c r="E925" s="3">
        <v>18.27</v>
      </c>
      <c r="F925">
        <v>1</v>
      </c>
    </row>
    <row r="926" spans="1:6" x14ac:dyDescent="0.3">
      <c r="A926">
        <v>5.63</v>
      </c>
      <c r="B926">
        <v>1</v>
      </c>
      <c r="E926" s="3">
        <v>18.36</v>
      </c>
      <c r="F926">
        <v>1</v>
      </c>
    </row>
    <row r="927" spans="1:6" x14ac:dyDescent="0.3">
      <c r="A927">
        <v>5.62</v>
      </c>
      <c r="B927">
        <v>1</v>
      </c>
      <c r="E927" s="3">
        <v>18.39</v>
      </c>
      <c r="F927">
        <v>1</v>
      </c>
    </row>
    <row r="928" spans="1:6" x14ac:dyDescent="0.3">
      <c r="A928">
        <v>5.62</v>
      </c>
      <c r="B928">
        <v>1</v>
      </c>
      <c r="E928" s="3">
        <v>18.399999999999999</v>
      </c>
      <c r="F928">
        <v>1</v>
      </c>
    </row>
    <row r="929" spans="1:6" x14ac:dyDescent="0.3">
      <c r="A929">
        <v>5.61</v>
      </c>
      <c r="B929">
        <v>1</v>
      </c>
      <c r="E929" s="3">
        <v>18.46</v>
      </c>
      <c r="F929">
        <v>1</v>
      </c>
    </row>
    <row r="930" spans="1:6" x14ac:dyDescent="0.3">
      <c r="A930">
        <v>5.6</v>
      </c>
      <c r="B930">
        <v>1</v>
      </c>
      <c r="E930" s="3">
        <v>18.510000000000002</v>
      </c>
      <c r="F930">
        <v>1</v>
      </c>
    </row>
    <row r="931" spans="1:6" x14ac:dyDescent="0.3">
      <c r="A931">
        <v>5.6</v>
      </c>
      <c r="B931">
        <v>1</v>
      </c>
      <c r="E931" s="3">
        <v>18.559999999999999</v>
      </c>
      <c r="F931">
        <v>1</v>
      </c>
    </row>
    <row r="932" spans="1:6" x14ac:dyDescent="0.3">
      <c r="A932">
        <v>5.58</v>
      </c>
      <c r="B932">
        <v>1</v>
      </c>
      <c r="E932" s="3">
        <v>18.71</v>
      </c>
      <c r="F932">
        <v>1</v>
      </c>
    </row>
    <row r="933" spans="1:6" x14ac:dyDescent="0.3">
      <c r="A933">
        <v>5.58</v>
      </c>
      <c r="B933">
        <v>1</v>
      </c>
      <c r="E933" s="3">
        <v>18.73</v>
      </c>
      <c r="F933">
        <v>1</v>
      </c>
    </row>
    <row r="934" spans="1:6" x14ac:dyDescent="0.3">
      <c r="A934">
        <v>5.58</v>
      </c>
      <c r="B934">
        <v>1</v>
      </c>
      <c r="E934" s="3">
        <v>18.739999999999998</v>
      </c>
      <c r="F934">
        <v>1</v>
      </c>
    </row>
    <row r="935" spans="1:6" x14ac:dyDescent="0.3">
      <c r="A935">
        <v>5.58</v>
      </c>
      <c r="B935">
        <v>1</v>
      </c>
      <c r="E935" s="3">
        <v>18.78</v>
      </c>
      <c r="F935">
        <v>1</v>
      </c>
    </row>
    <row r="936" spans="1:6" x14ac:dyDescent="0.3">
      <c r="A936">
        <v>5.55</v>
      </c>
      <c r="B936">
        <v>1</v>
      </c>
      <c r="E936" s="3">
        <v>18.829999999999998</v>
      </c>
      <c r="F936">
        <v>1</v>
      </c>
    </row>
    <row r="937" spans="1:6" x14ac:dyDescent="0.3">
      <c r="A937">
        <v>5.54</v>
      </c>
      <c r="B937">
        <v>1</v>
      </c>
      <c r="E937" s="3">
        <v>18.84</v>
      </c>
      <c r="F937">
        <v>1</v>
      </c>
    </row>
    <row r="938" spans="1:6" x14ac:dyDescent="0.3">
      <c r="A938">
        <v>5.53</v>
      </c>
      <c r="B938">
        <v>1</v>
      </c>
      <c r="E938" s="3">
        <v>18.86</v>
      </c>
      <c r="F938">
        <v>1</v>
      </c>
    </row>
    <row r="939" spans="1:6" x14ac:dyDescent="0.3">
      <c r="A939">
        <v>5.52</v>
      </c>
      <c r="B939">
        <v>1</v>
      </c>
      <c r="E939" s="3">
        <v>18.87</v>
      </c>
      <c r="F939">
        <v>1</v>
      </c>
    </row>
    <row r="940" spans="1:6" x14ac:dyDescent="0.3">
      <c r="A940">
        <v>5.52</v>
      </c>
      <c r="B940">
        <v>1</v>
      </c>
      <c r="E940" s="3">
        <v>18.98</v>
      </c>
      <c r="F940">
        <v>1</v>
      </c>
    </row>
    <row r="941" spans="1:6" x14ac:dyDescent="0.3">
      <c r="A941">
        <v>5.52</v>
      </c>
      <c r="B941">
        <v>1</v>
      </c>
      <c r="E941" s="3">
        <v>18.989999999999998</v>
      </c>
      <c r="F941">
        <v>1</v>
      </c>
    </row>
    <row r="942" spans="1:6" x14ac:dyDescent="0.3">
      <c r="A942">
        <v>5.5</v>
      </c>
      <c r="B942">
        <v>1</v>
      </c>
      <c r="E942" s="3">
        <v>19.03</v>
      </c>
      <c r="F942">
        <v>1</v>
      </c>
    </row>
    <row r="943" spans="1:6" x14ac:dyDescent="0.3">
      <c r="A943">
        <v>5.5</v>
      </c>
      <c r="B943">
        <v>1</v>
      </c>
      <c r="E943" s="3">
        <v>19.100000000000001</v>
      </c>
      <c r="F943">
        <v>1</v>
      </c>
    </row>
    <row r="944" spans="1:6" x14ac:dyDescent="0.3">
      <c r="A944">
        <v>5.49</v>
      </c>
      <c r="B944">
        <v>1</v>
      </c>
      <c r="E944" s="3">
        <v>19.41</v>
      </c>
      <c r="F944">
        <v>1</v>
      </c>
    </row>
    <row r="945" spans="1:6" x14ac:dyDescent="0.3">
      <c r="A945">
        <v>5.48</v>
      </c>
      <c r="B945">
        <v>1</v>
      </c>
      <c r="E945" s="3">
        <v>19.46</v>
      </c>
      <c r="F945">
        <v>1</v>
      </c>
    </row>
    <row r="946" spans="1:6" x14ac:dyDescent="0.3">
      <c r="A946">
        <v>5.48</v>
      </c>
      <c r="B946">
        <v>1</v>
      </c>
      <c r="E946" s="3">
        <v>19.510000000000002</v>
      </c>
      <c r="F946">
        <v>1</v>
      </c>
    </row>
    <row r="947" spans="1:6" x14ac:dyDescent="0.3">
      <c r="A947">
        <v>5.48</v>
      </c>
      <c r="B947">
        <v>1</v>
      </c>
      <c r="E947" s="3">
        <v>19.64</v>
      </c>
      <c r="F947">
        <v>1</v>
      </c>
    </row>
    <row r="948" spans="1:6" x14ac:dyDescent="0.3">
      <c r="A948">
        <v>5.47</v>
      </c>
      <c r="B948">
        <v>1</v>
      </c>
      <c r="E948" s="3">
        <v>19.73</v>
      </c>
      <c r="F948">
        <v>1</v>
      </c>
    </row>
    <row r="949" spans="1:6" x14ac:dyDescent="0.3">
      <c r="A949">
        <v>5.46</v>
      </c>
      <c r="B949">
        <v>1</v>
      </c>
      <c r="E949" s="3">
        <v>20.07</v>
      </c>
      <c r="F949">
        <v>1</v>
      </c>
    </row>
    <row r="950" spans="1:6" x14ac:dyDescent="0.3">
      <c r="A950">
        <v>5.46</v>
      </c>
      <c r="B950">
        <v>1</v>
      </c>
      <c r="E950" s="3">
        <v>20.14</v>
      </c>
      <c r="F950">
        <v>1</v>
      </c>
    </row>
    <row r="951" spans="1:6" x14ac:dyDescent="0.3">
      <c r="A951">
        <v>5.46</v>
      </c>
      <c r="B951">
        <v>1</v>
      </c>
      <c r="E951" s="3">
        <v>20.149999999999999</v>
      </c>
      <c r="F951">
        <v>1</v>
      </c>
    </row>
    <row r="952" spans="1:6" x14ac:dyDescent="0.3">
      <c r="A952">
        <v>5.46</v>
      </c>
      <c r="B952">
        <v>1</v>
      </c>
      <c r="E952" s="3">
        <v>20.2</v>
      </c>
      <c r="F952">
        <v>1</v>
      </c>
    </row>
    <row r="953" spans="1:6" x14ac:dyDescent="0.3">
      <c r="A953">
        <v>5.44</v>
      </c>
      <c r="B953">
        <v>1</v>
      </c>
      <c r="E953" s="3">
        <v>20.43</v>
      </c>
      <c r="F953">
        <v>2</v>
      </c>
    </row>
    <row r="954" spans="1:6" x14ac:dyDescent="0.3">
      <c r="A954">
        <v>5.43</v>
      </c>
      <c r="B954">
        <v>1</v>
      </c>
      <c r="E954" s="3">
        <v>20.440000000000001</v>
      </c>
      <c r="F954">
        <v>1</v>
      </c>
    </row>
    <row r="955" spans="1:6" x14ac:dyDescent="0.3">
      <c r="A955">
        <v>5.42</v>
      </c>
      <c r="B955">
        <v>1</v>
      </c>
      <c r="E955" s="3">
        <v>20.46</v>
      </c>
      <c r="F955">
        <v>1</v>
      </c>
    </row>
    <row r="956" spans="1:6" x14ac:dyDescent="0.3">
      <c r="A956">
        <v>5.42</v>
      </c>
      <c r="B956">
        <v>1</v>
      </c>
      <c r="E956" s="3">
        <v>20.48</v>
      </c>
      <c r="F956">
        <v>1</v>
      </c>
    </row>
    <row r="957" spans="1:6" x14ac:dyDescent="0.3">
      <c r="A957">
        <v>5.42</v>
      </c>
      <c r="B957">
        <v>1</v>
      </c>
      <c r="E957" s="3">
        <v>20.56</v>
      </c>
      <c r="F957">
        <v>1</v>
      </c>
    </row>
    <row r="958" spans="1:6" x14ac:dyDescent="0.3">
      <c r="A958">
        <v>5.4</v>
      </c>
      <c r="B958">
        <v>1</v>
      </c>
      <c r="E958" s="3">
        <v>20.61</v>
      </c>
      <c r="F958">
        <v>1</v>
      </c>
    </row>
    <row r="959" spans="1:6" x14ac:dyDescent="0.3">
      <c r="A959">
        <v>5.39</v>
      </c>
      <c r="B959">
        <v>1</v>
      </c>
      <c r="E959" s="3">
        <v>20.64</v>
      </c>
      <c r="F959">
        <v>1</v>
      </c>
    </row>
    <row r="960" spans="1:6" x14ac:dyDescent="0.3">
      <c r="A960">
        <v>5.36</v>
      </c>
      <c r="B960">
        <v>1</v>
      </c>
      <c r="E960" s="3">
        <v>20.65</v>
      </c>
      <c r="F960">
        <v>1</v>
      </c>
    </row>
    <row r="961" spans="1:6" x14ac:dyDescent="0.3">
      <c r="A961">
        <v>5.35</v>
      </c>
      <c r="B961">
        <v>1</v>
      </c>
      <c r="E961" s="3">
        <v>20.66</v>
      </c>
      <c r="F961">
        <v>1</v>
      </c>
    </row>
    <row r="962" spans="1:6" x14ac:dyDescent="0.3">
      <c r="A962">
        <v>5.35</v>
      </c>
      <c r="B962">
        <v>1</v>
      </c>
      <c r="E962" s="3">
        <v>20.8</v>
      </c>
      <c r="F962">
        <v>1</v>
      </c>
    </row>
    <row r="963" spans="1:6" x14ac:dyDescent="0.3">
      <c r="A963">
        <v>5.35</v>
      </c>
      <c r="B963">
        <v>1</v>
      </c>
      <c r="E963" s="3">
        <v>20.85</v>
      </c>
      <c r="F963">
        <v>1</v>
      </c>
    </row>
    <row r="964" spans="1:6" x14ac:dyDescent="0.3">
      <c r="A964">
        <v>5.35</v>
      </c>
      <c r="B964">
        <v>1</v>
      </c>
      <c r="E964" s="3">
        <v>20.96</v>
      </c>
      <c r="F964">
        <v>1</v>
      </c>
    </row>
    <row r="965" spans="1:6" x14ac:dyDescent="0.3">
      <c r="A965">
        <v>5.33</v>
      </c>
      <c r="B965">
        <v>1</v>
      </c>
      <c r="E965" s="3">
        <v>21.07</v>
      </c>
      <c r="F965">
        <v>1</v>
      </c>
    </row>
    <row r="966" spans="1:6" x14ac:dyDescent="0.3">
      <c r="A966">
        <v>5.33</v>
      </c>
      <c r="B966">
        <v>1</v>
      </c>
      <c r="E966" s="3">
        <v>21.09</v>
      </c>
      <c r="F966">
        <v>1</v>
      </c>
    </row>
    <row r="967" spans="1:6" x14ac:dyDescent="0.3">
      <c r="A967">
        <v>5.32</v>
      </c>
      <c r="B967">
        <v>1</v>
      </c>
      <c r="E967" s="3">
        <v>21.1</v>
      </c>
      <c r="F967">
        <v>1</v>
      </c>
    </row>
    <row r="968" spans="1:6" x14ac:dyDescent="0.3">
      <c r="A968">
        <v>5.32</v>
      </c>
      <c r="B968">
        <v>1</v>
      </c>
      <c r="E968" s="3">
        <v>21.22</v>
      </c>
      <c r="F968">
        <v>1</v>
      </c>
    </row>
    <row r="969" spans="1:6" x14ac:dyDescent="0.3">
      <c r="A969">
        <v>5.32</v>
      </c>
      <c r="B969">
        <v>1</v>
      </c>
      <c r="E969" s="3">
        <v>21.36</v>
      </c>
      <c r="F969">
        <v>1</v>
      </c>
    </row>
    <row r="970" spans="1:6" x14ac:dyDescent="0.3">
      <c r="A970">
        <v>5.31</v>
      </c>
      <c r="B970">
        <v>1</v>
      </c>
      <c r="E970" s="3">
        <v>21.44</v>
      </c>
      <c r="F970">
        <v>1</v>
      </c>
    </row>
    <row r="971" spans="1:6" x14ac:dyDescent="0.3">
      <c r="A971">
        <v>5.31</v>
      </c>
      <c r="B971">
        <v>1</v>
      </c>
      <c r="E971" s="3">
        <v>21.51</v>
      </c>
      <c r="F971">
        <v>1</v>
      </c>
    </row>
    <row r="972" spans="1:6" x14ac:dyDescent="0.3">
      <c r="A972">
        <v>5.3</v>
      </c>
      <c r="B972">
        <v>1</v>
      </c>
      <c r="E972" s="3">
        <v>21.6</v>
      </c>
      <c r="F972">
        <v>1</v>
      </c>
    </row>
    <row r="973" spans="1:6" x14ac:dyDescent="0.3">
      <c r="A973">
        <v>5.3</v>
      </c>
      <c r="B973">
        <v>1</v>
      </c>
      <c r="E973" s="3">
        <v>21.63</v>
      </c>
      <c r="F973">
        <v>1</v>
      </c>
    </row>
    <row r="974" spans="1:6" x14ac:dyDescent="0.3">
      <c r="A974">
        <v>5.3</v>
      </c>
      <c r="B974">
        <v>1</v>
      </c>
      <c r="E974" s="3">
        <v>21.64</v>
      </c>
      <c r="F974">
        <v>1</v>
      </c>
    </row>
    <row r="975" spans="1:6" x14ac:dyDescent="0.3">
      <c r="A975">
        <v>5.29</v>
      </c>
      <c r="B975">
        <v>1</v>
      </c>
      <c r="E975" s="3">
        <v>21.65</v>
      </c>
      <c r="F975">
        <v>2</v>
      </c>
    </row>
    <row r="976" spans="1:6" x14ac:dyDescent="0.3">
      <c r="A976">
        <v>5.26</v>
      </c>
      <c r="B976">
        <v>1</v>
      </c>
      <c r="E976" s="3">
        <v>21.83</v>
      </c>
      <c r="F976">
        <v>1</v>
      </c>
    </row>
    <row r="977" spans="1:6" x14ac:dyDescent="0.3">
      <c r="A977">
        <v>5.26</v>
      </c>
      <c r="B977">
        <v>1</v>
      </c>
      <c r="E977" s="3">
        <v>21.9</v>
      </c>
      <c r="F977">
        <v>1</v>
      </c>
    </row>
    <row r="978" spans="1:6" x14ac:dyDescent="0.3">
      <c r="A978">
        <v>5.26</v>
      </c>
      <c r="B978">
        <v>1</v>
      </c>
      <c r="E978" s="3">
        <v>22.04</v>
      </c>
      <c r="F978">
        <v>1</v>
      </c>
    </row>
    <row r="979" spans="1:6" x14ac:dyDescent="0.3">
      <c r="A979">
        <v>5.25</v>
      </c>
      <c r="B979">
        <v>1</v>
      </c>
      <c r="E979" s="3">
        <v>22.05</v>
      </c>
      <c r="F979">
        <v>1</v>
      </c>
    </row>
    <row r="980" spans="1:6" x14ac:dyDescent="0.3">
      <c r="A980">
        <v>5.25</v>
      </c>
      <c r="B980">
        <v>1</v>
      </c>
      <c r="E980" s="3">
        <v>22.26</v>
      </c>
      <c r="F980">
        <v>1</v>
      </c>
    </row>
    <row r="981" spans="1:6" x14ac:dyDescent="0.3">
      <c r="A981">
        <v>5.25</v>
      </c>
      <c r="B981">
        <v>1</v>
      </c>
      <c r="E981" s="3">
        <v>22.27</v>
      </c>
      <c r="F981">
        <v>1</v>
      </c>
    </row>
    <row r="982" spans="1:6" x14ac:dyDescent="0.3">
      <c r="A982">
        <v>5.24</v>
      </c>
      <c r="B982">
        <v>1</v>
      </c>
      <c r="E982" s="3">
        <v>22.29</v>
      </c>
      <c r="F982">
        <v>1</v>
      </c>
    </row>
    <row r="983" spans="1:6" x14ac:dyDescent="0.3">
      <c r="A983">
        <v>5.24</v>
      </c>
      <c r="B983">
        <v>1</v>
      </c>
      <c r="E983" s="3">
        <v>22.35</v>
      </c>
      <c r="F983">
        <v>1</v>
      </c>
    </row>
    <row r="984" spans="1:6" x14ac:dyDescent="0.3">
      <c r="A984">
        <v>5.22</v>
      </c>
      <c r="B984">
        <v>1</v>
      </c>
      <c r="E984" s="3">
        <v>22.51</v>
      </c>
      <c r="F984">
        <v>1</v>
      </c>
    </row>
    <row r="985" spans="1:6" x14ac:dyDescent="0.3">
      <c r="A985">
        <v>5.22</v>
      </c>
      <c r="B985">
        <v>1</v>
      </c>
      <c r="E985" s="3">
        <v>22.63</v>
      </c>
      <c r="F985">
        <v>1</v>
      </c>
    </row>
    <row r="986" spans="1:6" x14ac:dyDescent="0.3">
      <c r="A986">
        <v>5.22</v>
      </c>
      <c r="B986">
        <v>1</v>
      </c>
      <c r="E986" s="3">
        <v>22.72</v>
      </c>
      <c r="F986">
        <v>1</v>
      </c>
    </row>
    <row r="987" spans="1:6" x14ac:dyDescent="0.3">
      <c r="A987">
        <v>5.22</v>
      </c>
      <c r="B987">
        <v>1</v>
      </c>
      <c r="E987" s="3">
        <v>22.96</v>
      </c>
      <c r="F987">
        <v>1</v>
      </c>
    </row>
    <row r="988" spans="1:6" x14ac:dyDescent="0.3">
      <c r="A988">
        <v>5.22</v>
      </c>
      <c r="B988">
        <v>1</v>
      </c>
      <c r="E988" s="3">
        <v>22.97</v>
      </c>
      <c r="F988">
        <v>1</v>
      </c>
    </row>
    <row r="989" spans="1:6" x14ac:dyDescent="0.3">
      <c r="A989">
        <v>5.21</v>
      </c>
      <c r="B989">
        <v>1</v>
      </c>
      <c r="E989" s="3">
        <v>23.01</v>
      </c>
      <c r="F989">
        <v>1</v>
      </c>
    </row>
    <row r="990" spans="1:6" x14ac:dyDescent="0.3">
      <c r="A990">
        <v>5.21</v>
      </c>
      <c r="B990">
        <v>1</v>
      </c>
      <c r="E990" s="3">
        <v>23.08</v>
      </c>
      <c r="F990">
        <v>1</v>
      </c>
    </row>
    <row r="991" spans="1:6" x14ac:dyDescent="0.3">
      <c r="A991">
        <v>5.21</v>
      </c>
      <c r="B991">
        <v>1</v>
      </c>
      <c r="E991" s="3">
        <v>23.26</v>
      </c>
      <c r="F991">
        <v>1</v>
      </c>
    </row>
    <row r="992" spans="1:6" x14ac:dyDescent="0.3">
      <c r="A992">
        <v>5.21</v>
      </c>
      <c r="B992">
        <v>1</v>
      </c>
      <c r="E992" s="3">
        <v>23.37</v>
      </c>
      <c r="F992">
        <v>1</v>
      </c>
    </row>
    <row r="993" spans="1:6" x14ac:dyDescent="0.3">
      <c r="A993">
        <v>5.2</v>
      </c>
      <c r="B993">
        <v>1</v>
      </c>
      <c r="E993" s="3">
        <v>23.4</v>
      </c>
      <c r="F993">
        <v>1</v>
      </c>
    </row>
    <row r="994" spans="1:6" x14ac:dyDescent="0.3">
      <c r="A994">
        <v>5.2</v>
      </c>
      <c r="B994">
        <v>1</v>
      </c>
      <c r="E994" s="3">
        <v>23.44</v>
      </c>
      <c r="F994">
        <v>1</v>
      </c>
    </row>
    <row r="995" spans="1:6" x14ac:dyDescent="0.3">
      <c r="A995">
        <v>5.2</v>
      </c>
      <c r="B995">
        <v>1</v>
      </c>
      <c r="E995" s="3">
        <v>23.49</v>
      </c>
      <c r="F995">
        <v>1</v>
      </c>
    </row>
    <row r="996" spans="1:6" x14ac:dyDescent="0.3">
      <c r="A996">
        <v>5.19</v>
      </c>
      <c r="B996">
        <v>1</v>
      </c>
      <c r="E996" s="3">
        <v>23.55</v>
      </c>
      <c r="F996">
        <v>2</v>
      </c>
    </row>
    <row r="997" spans="1:6" x14ac:dyDescent="0.3">
      <c r="A997">
        <v>5.19</v>
      </c>
      <c r="B997">
        <v>1</v>
      </c>
      <c r="E997" s="3">
        <v>23.56</v>
      </c>
      <c r="F997">
        <v>1</v>
      </c>
    </row>
    <row r="998" spans="1:6" x14ac:dyDescent="0.3">
      <c r="A998">
        <v>5.17</v>
      </c>
      <c r="B998">
        <v>1</v>
      </c>
      <c r="E998" s="3">
        <v>23.71</v>
      </c>
      <c r="F998">
        <v>1</v>
      </c>
    </row>
    <row r="999" spans="1:6" x14ac:dyDescent="0.3">
      <c r="A999">
        <v>5.16</v>
      </c>
      <c r="B999">
        <v>1</v>
      </c>
      <c r="E999" s="3">
        <v>23.73</v>
      </c>
      <c r="F999">
        <v>1</v>
      </c>
    </row>
    <row r="1000" spans="1:6" x14ac:dyDescent="0.3">
      <c r="A1000">
        <v>5.16</v>
      </c>
      <c r="B1000">
        <v>1</v>
      </c>
      <c r="E1000" s="3">
        <v>23.76</v>
      </c>
      <c r="F1000">
        <v>1</v>
      </c>
    </row>
    <row r="1001" spans="1:6" x14ac:dyDescent="0.3">
      <c r="A1001">
        <v>5.15</v>
      </c>
      <c r="B1001">
        <v>1</v>
      </c>
      <c r="E1001" s="3">
        <v>23.85</v>
      </c>
      <c r="F1001">
        <v>1</v>
      </c>
    </row>
    <row r="1002" spans="1:6" x14ac:dyDescent="0.3">
      <c r="A1002">
        <v>5.15</v>
      </c>
      <c r="B1002">
        <v>1</v>
      </c>
      <c r="E1002" s="3">
        <v>23.96</v>
      </c>
      <c r="F1002">
        <v>1</v>
      </c>
    </row>
    <row r="1003" spans="1:6" x14ac:dyDescent="0.3">
      <c r="A1003">
        <v>5.15</v>
      </c>
      <c r="B1003">
        <v>1</v>
      </c>
      <c r="E1003" s="3">
        <v>24.02</v>
      </c>
      <c r="F1003">
        <v>1</v>
      </c>
    </row>
    <row r="1004" spans="1:6" x14ac:dyDescent="0.3">
      <c r="A1004">
        <v>5.14</v>
      </c>
      <c r="B1004">
        <v>1</v>
      </c>
      <c r="E1004" s="3">
        <v>24.11</v>
      </c>
      <c r="F1004">
        <v>1</v>
      </c>
    </row>
    <row r="1005" spans="1:6" x14ac:dyDescent="0.3">
      <c r="A1005">
        <v>5.14</v>
      </c>
      <c r="B1005">
        <v>1</v>
      </c>
      <c r="E1005" s="3">
        <v>24.28</v>
      </c>
      <c r="F1005">
        <v>1</v>
      </c>
    </row>
    <row r="1006" spans="1:6" x14ac:dyDescent="0.3">
      <c r="A1006">
        <v>5.14</v>
      </c>
      <c r="B1006">
        <v>1</v>
      </c>
      <c r="E1006" s="3">
        <v>24.29</v>
      </c>
      <c r="F1006">
        <v>1</v>
      </c>
    </row>
    <row r="1007" spans="1:6" x14ac:dyDescent="0.3">
      <c r="A1007">
        <v>5.14</v>
      </c>
      <c r="B1007">
        <v>1</v>
      </c>
      <c r="E1007" s="3">
        <v>24.44</v>
      </c>
      <c r="F1007">
        <v>1</v>
      </c>
    </row>
    <row r="1008" spans="1:6" x14ac:dyDescent="0.3">
      <c r="A1008">
        <v>5.1100000000000003</v>
      </c>
      <c r="B1008">
        <v>1</v>
      </c>
      <c r="E1008" s="3">
        <v>24.6</v>
      </c>
      <c r="F1008">
        <v>1</v>
      </c>
    </row>
    <row r="1009" spans="1:6" x14ac:dyDescent="0.3">
      <c r="A1009">
        <v>5.09</v>
      </c>
      <c r="B1009">
        <v>1</v>
      </c>
      <c r="E1009" s="3">
        <v>24.92</v>
      </c>
      <c r="F1009">
        <v>1</v>
      </c>
    </row>
    <row r="1010" spans="1:6" x14ac:dyDescent="0.3">
      <c r="A1010">
        <v>5.08</v>
      </c>
      <c r="B1010">
        <v>1</v>
      </c>
      <c r="E1010" s="3">
        <v>25.27</v>
      </c>
      <c r="F1010">
        <v>1</v>
      </c>
    </row>
    <row r="1011" spans="1:6" x14ac:dyDescent="0.3">
      <c r="A1011">
        <v>5.07</v>
      </c>
      <c r="B1011">
        <v>1</v>
      </c>
      <c r="E1011" s="3">
        <v>25.86</v>
      </c>
      <c r="F1011">
        <v>1</v>
      </c>
    </row>
    <row r="1012" spans="1:6" x14ac:dyDescent="0.3">
      <c r="A1012">
        <v>5.07</v>
      </c>
      <c r="B1012">
        <v>1</v>
      </c>
      <c r="E1012" s="3">
        <v>25.96</v>
      </c>
      <c r="F1012">
        <v>1</v>
      </c>
    </row>
    <row r="1013" spans="1:6" x14ac:dyDescent="0.3">
      <c r="A1013">
        <v>5.05</v>
      </c>
      <c r="B1013">
        <v>1</v>
      </c>
      <c r="E1013" s="3">
        <v>26.22</v>
      </c>
      <c r="F1013">
        <v>1</v>
      </c>
    </row>
    <row r="1014" spans="1:6" x14ac:dyDescent="0.3">
      <c r="A1014">
        <v>5.04</v>
      </c>
      <c r="B1014">
        <v>1</v>
      </c>
      <c r="E1014" s="3">
        <v>26.26</v>
      </c>
      <c r="F1014">
        <v>1</v>
      </c>
    </row>
    <row r="1015" spans="1:6" x14ac:dyDescent="0.3">
      <c r="A1015">
        <v>5.04</v>
      </c>
      <c r="B1015">
        <v>1</v>
      </c>
      <c r="E1015" s="3">
        <v>26.29</v>
      </c>
      <c r="F1015">
        <v>1</v>
      </c>
    </row>
    <row r="1016" spans="1:6" x14ac:dyDescent="0.3">
      <c r="A1016">
        <v>5.04</v>
      </c>
      <c r="B1016">
        <v>1</v>
      </c>
      <c r="E1016" s="3">
        <v>26.34</v>
      </c>
      <c r="F1016">
        <v>1</v>
      </c>
    </row>
    <row r="1017" spans="1:6" x14ac:dyDescent="0.3">
      <c r="A1017">
        <v>5.03</v>
      </c>
      <c r="B1017">
        <v>1</v>
      </c>
      <c r="E1017" s="3">
        <v>26.46</v>
      </c>
      <c r="F1017">
        <v>1</v>
      </c>
    </row>
    <row r="1018" spans="1:6" x14ac:dyDescent="0.3">
      <c r="A1018">
        <v>5.0199999999999996</v>
      </c>
      <c r="B1018">
        <v>1</v>
      </c>
      <c r="E1018" s="3">
        <v>26.63</v>
      </c>
      <c r="F1018">
        <v>2</v>
      </c>
    </row>
    <row r="1019" spans="1:6" x14ac:dyDescent="0.3">
      <c r="A1019">
        <v>5.0199999999999996</v>
      </c>
      <c r="B1019">
        <v>1</v>
      </c>
      <c r="E1019" s="3">
        <v>26.83</v>
      </c>
      <c r="F1019">
        <v>1</v>
      </c>
    </row>
    <row r="1020" spans="1:6" x14ac:dyDescent="0.3">
      <c r="A1020">
        <v>5.01</v>
      </c>
      <c r="B1020">
        <v>1</v>
      </c>
      <c r="E1020" s="3">
        <v>26.88</v>
      </c>
      <c r="F1020">
        <v>1</v>
      </c>
    </row>
    <row r="1021" spans="1:6" x14ac:dyDescent="0.3">
      <c r="A1021">
        <v>5.01</v>
      </c>
      <c r="B1021">
        <v>1</v>
      </c>
      <c r="E1021" s="3">
        <v>27.05</v>
      </c>
      <c r="F1021">
        <v>1</v>
      </c>
    </row>
    <row r="1022" spans="1:6" x14ac:dyDescent="0.3">
      <c r="A1022">
        <v>5.01</v>
      </c>
      <c r="B1022">
        <v>1</v>
      </c>
      <c r="E1022" s="3">
        <v>27.26</v>
      </c>
      <c r="F1022">
        <v>2</v>
      </c>
    </row>
    <row r="1023" spans="1:6" x14ac:dyDescent="0.3">
      <c r="A1023">
        <v>5</v>
      </c>
      <c r="B1023">
        <v>1</v>
      </c>
      <c r="E1023" s="3">
        <v>27.28</v>
      </c>
      <c r="F1023">
        <v>1</v>
      </c>
    </row>
    <row r="1024" spans="1:6" x14ac:dyDescent="0.3">
      <c r="A1024">
        <v>5</v>
      </c>
      <c r="B1024">
        <v>1</v>
      </c>
      <c r="E1024" s="3">
        <v>27.47</v>
      </c>
      <c r="F1024">
        <v>1</v>
      </c>
    </row>
    <row r="1025" spans="1:6" x14ac:dyDescent="0.3">
      <c r="A1025">
        <v>4.99</v>
      </c>
      <c r="B1025">
        <v>1</v>
      </c>
      <c r="E1025" s="3">
        <v>27.86</v>
      </c>
      <c r="F1025">
        <v>1</v>
      </c>
    </row>
    <row r="1026" spans="1:6" x14ac:dyDescent="0.3">
      <c r="A1026">
        <v>4.99</v>
      </c>
      <c r="B1026">
        <v>1</v>
      </c>
      <c r="E1026" s="3">
        <v>28.31</v>
      </c>
      <c r="F1026">
        <v>1</v>
      </c>
    </row>
    <row r="1027" spans="1:6" x14ac:dyDescent="0.3">
      <c r="A1027">
        <v>4.99</v>
      </c>
      <c r="B1027">
        <v>1</v>
      </c>
      <c r="E1027" s="3">
        <v>28.73</v>
      </c>
      <c r="F1027">
        <v>1</v>
      </c>
    </row>
    <row r="1028" spans="1:6" x14ac:dyDescent="0.3">
      <c r="A1028">
        <v>4.9800000000000004</v>
      </c>
      <c r="B1028">
        <v>1</v>
      </c>
      <c r="E1028" s="3">
        <v>29.03</v>
      </c>
      <c r="F1028">
        <v>1</v>
      </c>
    </row>
    <row r="1029" spans="1:6" x14ac:dyDescent="0.3">
      <c r="A1029">
        <v>4.9800000000000004</v>
      </c>
      <c r="B1029">
        <v>1</v>
      </c>
      <c r="E1029" s="3">
        <v>29.06</v>
      </c>
      <c r="F1029">
        <v>1</v>
      </c>
    </row>
    <row r="1030" spans="1:6" x14ac:dyDescent="0.3">
      <c r="A1030">
        <v>4.95</v>
      </c>
      <c r="B1030">
        <v>1</v>
      </c>
      <c r="E1030" s="3">
        <v>29.12</v>
      </c>
      <c r="F1030">
        <v>1</v>
      </c>
    </row>
    <row r="1031" spans="1:6" x14ac:dyDescent="0.3">
      <c r="A1031">
        <v>4.95</v>
      </c>
      <c r="B1031">
        <v>1</v>
      </c>
      <c r="E1031" s="3">
        <v>29.56</v>
      </c>
      <c r="F1031">
        <v>1</v>
      </c>
    </row>
    <row r="1032" spans="1:6" x14ac:dyDescent="0.3">
      <c r="A1032">
        <v>4.9400000000000004</v>
      </c>
      <c r="B1032">
        <v>1</v>
      </c>
      <c r="E1032" s="3">
        <v>29.81</v>
      </c>
      <c r="F1032">
        <v>1</v>
      </c>
    </row>
    <row r="1033" spans="1:6" x14ac:dyDescent="0.3">
      <c r="A1033">
        <v>4.93</v>
      </c>
      <c r="B1033">
        <v>1</v>
      </c>
      <c r="E1033" s="3">
        <v>29.92</v>
      </c>
      <c r="F1033">
        <v>1</v>
      </c>
    </row>
    <row r="1034" spans="1:6" x14ac:dyDescent="0.3">
      <c r="A1034">
        <v>4.92</v>
      </c>
      <c r="B1034">
        <v>1</v>
      </c>
      <c r="E1034" s="3">
        <v>30</v>
      </c>
      <c r="F1034">
        <v>1</v>
      </c>
    </row>
    <row r="1035" spans="1:6" x14ac:dyDescent="0.3">
      <c r="A1035">
        <v>4.92</v>
      </c>
      <c r="B1035">
        <v>1</v>
      </c>
      <c r="E1035" s="3">
        <v>30.19</v>
      </c>
      <c r="F1035">
        <v>1</v>
      </c>
    </row>
    <row r="1036" spans="1:6" x14ac:dyDescent="0.3">
      <c r="A1036">
        <v>4.91</v>
      </c>
      <c r="B1036">
        <v>1</v>
      </c>
      <c r="E1036" s="3">
        <v>30.5</v>
      </c>
      <c r="F1036">
        <v>1</v>
      </c>
    </row>
    <row r="1037" spans="1:6" x14ac:dyDescent="0.3">
      <c r="A1037">
        <v>4.91</v>
      </c>
      <c r="B1037">
        <v>1</v>
      </c>
      <c r="E1037" s="3">
        <v>30.59</v>
      </c>
      <c r="F1037">
        <v>1</v>
      </c>
    </row>
    <row r="1038" spans="1:6" x14ac:dyDescent="0.3">
      <c r="A1038">
        <v>4.87</v>
      </c>
      <c r="B1038">
        <v>1</v>
      </c>
      <c r="E1038" s="3">
        <v>30.63</v>
      </c>
      <c r="F1038">
        <v>1</v>
      </c>
    </row>
    <row r="1039" spans="1:6" x14ac:dyDescent="0.3">
      <c r="A1039">
        <v>4.87</v>
      </c>
      <c r="B1039">
        <v>1</v>
      </c>
      <c r="E1039" s="3">
        <v>30.87</v>
      </c>
      <c r="F1039">
        <v>1</v>
      </c>
    </row>
    <row r="1040" spans="1:6" x14ac:dyDescent="0.3">
      <c r="A1040">
        <v>4.8600000000000003</v>
      </c>
      <c r="B1040">
        <v>1</v>
      </c>
      <c r="E1040" s="3">
        <v>31.06</v>
      </c>
      <c r="F1040">
        <v>1</v>
      </c>
    </row>
    <row r="1041" spans="1:6" x14ac:dyDescent="0.3">
      <c r="A1041">
        <v>4.8600000000000003</v>
      </c>
      <c r="B1041">
        <v>1</v>
      </c>
      <c r="E1041" s="3">
        <v>31.33</v>
      </c>
      <c r="F1041">
        <v>1</v>
      </c>
    </row>
    <row r="1042" spans="1:6" x14ac:dyDescent="0.3">
      <c r="A1042">
        <v>4.8499999999999996</v>
      </c>
      <c r="B1042">
        <v>1</v>
      </c>
      <c r="E1042" s="3">
        <v>31.39</v>
      </c>
      <c r="F1042">
        <v>1</v>
      </c>
    </row>
    <row r="1043" spans="1:6" x14ac:dyDescent="0.3">
      <c r="A1043">
        <v>4.8499999999999996</v>
      </c>
      <c r="B1043">
        <v>1</v>
      </c>
      <c r="E1043" s="3">
        <v>31.82</v>
      </c>
      <c r="F1043">
        <v>1</v>
      </c>
    </row>
    <row r="1044" spans="1:6" x14ac:dyDescent="0.3">
      <c r="A1044">
        <v>4.83</v>
      </c>
      <c r="B1044">
        <v>1</v>
      </c>
      <c r="E1044" s="3">
        <v>31.87</v>
      </c>
      <c r="F1044">
        <v>1</v>
      </c>
    </row>
    <row r="1045" spans="1:6" x14ac:dyDescent="0.3">
      <c r="A1045">
        <v>4.83</v>
      </c>
      <c r="B1045">
        <v>1</v>
      </c>
      <c r="E1045" s="3">
        <v>31.95</v>
      </c>
      <c r="F1045">
        <v>1</v>
      </c>
    </row>
    <row r="1046" spans="1:6" x14ac:dyDescent="0.3">
      <c r="A1046">
        <v>4.82</v>
      </c>
      <c r="B1046">
        <v>1</v>
      </c>
      <c r="E1046" s="3">
        <v>32.14</v>
      </c>
      <c r="F1046">
        <v>1</v>
      </c>
    </row>
    <row r="1047" spans="1:6" x14ac:dyDescent="0.3">
      <c r="A1047">
        <v>4.82</v>
      </c>
      <c r="B1047">
        <v>1</v>
      </c>
      <c r="E1047" s="3">
        <v>32.69</v>
      </c>
      <c r="F1047">
        <v>1</v>
      </c>
    </row>
    <row r="1048" spans="1:6" x14ac:dyDescent="0.3">
      <c r="A1048">
        <v>4.82</v>
      </c>
      <c r="B1048">
        <v>1</v>
      </c>
      <c r="E1048" s="3">
        <v>32.74</v>
      </c>
      <c r="F1048">
        <v>1</v>
      </c>
    </row>
    <row r="1049" spans="1:6" x14ac:dyDescent="0.3">
      <c r="A1049">
        <v>4.82</v>
      </c>
      <c r="B1049">
        <v>1</v>
      </c>
      <c r="E1049" s="3">
        <v>32.9</v>
      </c>
      <c r="F1049">
        <v>1</v>
      </c>
    </row>
    <row r="1050" spans="1:6" x14ac:dyDescent="0.3">
      <c r="A1050">
        <v>4.8099999999999996</v>
      </c>
      <c r="B1050">
        <v>1</v>
      </c>
      <c r="E1050" s="3">
        <v>33.020000000000003</v>
      </c>
      <c r="F1050">
        <v>1</v>
      </c>
    </row>
    <row r="1051" spans="1:6" x14ac:dyDescent="0.3">
      <c r="A1051">
        <v>4.8</v>
      </c>
      <c r="B1051">
        <v>1</v>
      </c>
      <c r="E1051" s="3">
        <v>33.49</v>
      </c>
      <c r="F1051">
        <v>1</v>
      </c>
    </row>
    <row r="1052" spans="1:6" x14ac:dyDescent="0.3">
      <c r="A1052">
        <v>4.79</v>
      </c>
      <c r="B1052">
        <v>1</v>
      </c>
      <c r="E1052" s="3">
        <v>33.53</v>
      </c>
      <c r="F1052">
        <v>1</v>
      </c>
    </row>
    <row r="1053" spans="1:6" x14ac:dyDescent="0.3">
      <c r="A1053">
        <v>4.78</v>
      </c>
      <c r="B1053">
        <v>1</v>
      </c>
      <c r="E1053" s="3">
        <v>33.799999999999997</v>
      </c>
      <c r="F1053">
        <v>1</v>
      </c>
    </row>
    <row r="1054" spans="1:6" x14ac:dyDescent="0.3">
      <c r="A1054">
        <v>4.78</v>
      </c>
      <c r="B1054">
        <v>1</v>
      </c>
      <c r="E1054" s="3">
        <v>33.99</v>
      </c>
      <c r="F1054">
        <v>1</v>
      </c>
    </row>
    <row r="1055" spans="1:6" x14ac:dyDescent="0.3">
      <c r="A1055">
        <v>4.7699999999999996</v>
      </c>
      <c r="B1055">
        <v>1</v>
      </c>
      <c r="E1055" s="3">
        <v>34.08</v>
      </c>
      <c r="F1055">
        <v>1</v>
      </c>
    </row>
    <row r="1056" spans="1:6" x14ac:dyDescent="0.3">
      <c r="A1056">
        <v>4.7699999999999996</v>
      </c>
      <c r="B1056">
        <v>1</v>
      </c>
      <c r="E1056" s="3">
        <v>34.9</v>
      </c>
      <c r="F1056">
        <v>1</v>
      </c>
    </row>
    <row r="1057" spans="1:6" x14ac:dyDescent="0.3">
      <c r="A1057">
        <v>4.7699999999999996</v>
      </c>
      <c r="B1057">
        <v>1</v>
      </c>
      <c r="E1057" s="3">
        <v>35.01</v>
      </c>
      <c r="F1057">
        <v>1</v>
      </c>
    </row>
    <row r="1058" spans="1:6" x14ac:dyDescent="0.3">
      <c r="A1058">
        <v>4.75</v>
      </c>
      <c r="B1058">
        <v>1</v>
      </c>
      <c r="E1058" s="3">
        <v>35.11</v>
      </c>
      <c r="F1058">
        <v>1</v>
      </c>
    </row>
    <row r="1059" spans="1:6" x14ac:dyDescent="0.3">
      <c r="A1059">
        <v>4.74</v>
      </c>
      <c r="B1059">
        <v>1</v>
      </c>
      <c r="E1059" s="3">
        <v>35.270000000000003</v>
      </c>
      <c r="F1059">
        <v>1</v>
      </c>
    </row>
    <row r="1060" spans="1:6" x14ac:dyDescent="0.3">
      <c r="A1060">
        <v>4.74</v>
      </c>
      <c r="B1060">
        <v>1</v>
      </c>
      <c r="E1060" s="3">
        <v>35.33</v>
      </c>
      <c r="F1060">
        <v>1</v>
      </c>
    </row>
    <row r="1061" spans="1:6" x14ac:dyDescent="0.3">
      <c r="A1061">
        <v>4.74</v>
      </c>
      <c r="B1061">
        <v>1</v>
      </c>
      <c r="E1061" s="3">
        <v>35.380000000000003</v>
      </c>
      <c r="F1061">
        <v>1</v>
      </c>
    </row>
    <row r="1062" spans="1:6" x14ac:dyDescent="0.3">
      <c r="A1062">
        <v>4.7300000000000004</v>
      </c>
      <c r="B1062">
        <v>1</v>
      </c>
      <c r="E1062" s="3">
        <v>35.520000000000003</v>
      </c>
      <c r="F1062">
        <v>1</v>
      </c>
    </row>
    <row r="1063" spans="1:6" x14ac:dyDescent="0.3">
      <c r="A1063">
        <v>4.7300000000000004</v>
      </c>
      <c r="B1063">
        <v>1</v>
      </c>
      <c r="E1063" s="3">
        <v>35.54</v>
      </c>
      <c r="F1063">
        <v>1</v>
      </c>
    </row>
    <row r="1064" spans="1:6" x14ac:dyDescent="0.3">
      <c r="A1064">
        <v>4.7300000000000004</v>
      </c>
      <c r="B1064">
        <v>1</v>
      </c>
      <c r="E1064" s="3">
        <v>35.71</v>
      </c>
      <c r="F1064">
        <v>1</v>
      </c>
    </row>
    <row r="1065" spans="1:6" x14ac:dyDescent="0.3">
      <c r="A1065">
        <v>4.72</v>
      </c>
      <c r="B1065">
        <v>1</v>
      </c>
      <c r="E1065" s="3">
        <v>36.28</v>
      </c>
      <c r="F1065">
        <v>1</v>
      </c>
    </row>
    <row r="1066" spans="1:6" x14ac:dyDescent="0.3">
      <c r="A1066">
        <v>4.72</v>
      </c>
      <c r="B1066">
        <v>1</v>
      </c>
      <c r="E1066" s="3">
        <v>36.51</v>
      </c>
      <c r="F1066">
        <v>1</v>
      </c>
    </row>
    <row r="1067" spans="1:6" x14ac:dyDescent="0.3">
      <c r="A1067">
        <v>4.71</v>
      </c>
      <c r="B1067">
        <v>1</v>
      </c>
      <c r="E1067" s="3">
        <v>36.61</v>
      </c>
      <c r="F1067">
        <v>1</v>
      </c>
    </row>
    <row r="1068" spans="1:6" x14ac:dyDescent="0.3">
      <c r="A1068">
        <v>4.71</v>
      </c>
      <c r="B1068">
        <v>1</v>
      </c>
      <c r="E1068" s="3">
        <v>37.19</v>
      </c>
      <c r="F1068">
        <v>1</v>
      </c>
    </row>
    <row r="1069" spans="1:6" x14ac:dyDescent="0.3">
      <c r="A1069">
        <v>4.7</v>
      </c>
      <c r="B1069">
        <v>1</v>
      </c>
      <c r="E1069" s="3">
        <v>37.479999999999997</v>
      </c>
      <c r="F1069">
        <v>1</v>
      </c>
    </row>
    <row r="1070" spans="1:6" x14ac:dyDescent="0.3">
      <c r="A1070">
        <v>4.6900000000000004</v>
      </c>
      <c r="B1070">
        <v>1</v>
      </c>
      <c r="E1070" s="3">
        <v>37.49</v>
      </c>
      <c r="F1070">
        <v>1</v>
      </c>
    </row>
    <row r="1071" spans="1:6" x14ac:dyDescent="0.3">
      <c r="A1071">
        <v>4.6900000000000004</v>
      </c>
      <c r="B1071">
        <v>1</v>
      </c>
      <c r="E1071" s="3">
        <v>37.520000000000003</v>
      </c>
      <c r="F1071">
        <v>1</v>
      </c>
    </row>
    <row r="1072" spans="1:6" x14ac:dyDescent="0.3">
      <c r="A1072">
        <v>4.6900000000000004</v>
      </c>
      <c r="B1072">
        <v>1</v>
      </c>
      <c r="E1072" s="3">
        <v>37.67</v>
      </c>
      <c r="F1072">
        <v>1</v>
      </c>
    </row>
    <row r="1073" spans="1:6" x14ac:dyDescent="0.3">
      <c r="A1073">
        <v>4.68</v>
      </c>
      <c r="B1073">
        <v>1</v>
      </c>
      <c r="E1073" s="3">
        <v>37.96</v>
      </c>
      <c r="F1073">
        <v>2</v>
      </c>
    </row>
    <row r="1074" spans="1:6" x14ac:dyDescent="0.3">
      <c r="A1074">
        <v>4.66</v>
      </c>
      <c r="B1074">
        <v>1</v>
      </c>
      <c r="E1074" s="3">
        <v>38</v>
      </c>
      <c r="F1074">
        <v>1</v>
      </c>
    </row>
    <row r="1075" spans="1:6" x14ac:dyDescent="0.3">
      <c r="A1075">
        <v>4.66</v>
      </c>
      <c r="B1075">
        <v>1</v>
      </c>
      <c r="E1075" s="3">
        <v>38.799999999999997</v>
      </c>
      <c r="F1075">
        <v>1</v>
      </c>
    </row>
    <row r="1076" spans="1:6" x14ac:dyDescent="0.3">
      <c r="A1076">
        <v>4.66</v>
      </c>
      <c r="B1076">
        <v>1</v>
      </c>
      <c r="E1076" s="3">
        <v>39.11</v>
      </c>
      <c r="F1076">
        <v>1</v>
      </c>
    </row>
    <row r="1077" spans="1:6" x14ac:dyDescent="0.3">
      <c r="A1077">
        <v>4.6500000000000004</v>
      </c>
      <c r="B1077">
        <v>1</v>
      </c>
      <c r="E1077" s="3">
        <v>39.29</v>
      </c>
      <c r="F1077">
        <v>1</v>
      </c>
    </row>
    <row r="1078" spans="1:6" x14ac:dyDescent="0.3">
      <c r="A1078">
        <v>4.6500000000000004</v>
      </c>
      <c r="B1078">
        <v>1</v>
      </c>
      <c r="E1078" s="3">
        <v>39.69</v>
      </c>
      <c r="F1078">
        <v>1</v>
      </c>
    </row>
    <row r="1079" spans="1:6" x14ac:dyDescent="0.3">
      <c r="A1079">
        <v>4.6399999999999997</v>
      </c>
      <c r="B1079">
        <v>1</v>
      </c>
      <c r="E1079" s="3">
        <v>39.81</v>
      </c>
      <c r="F1079">
        <v>1</v>
      </c>
    </row>
    <row r="1080" spans="1:6" x14ac:dyDescent="0.3">
      <c r="A1080">
        <v>4.63</v>
      </c>
      <c r="B1080">
        <v>1</v>
      </c>
      <c r="E1080" s="3">
        <v>39.85</v>
      </c>
      <c r="F1080">
        <v>1</v>
      </c>
    </row>
    <row r="1081" spans="1:6" x14ac:dyDescent="0.3">
      <c r="A1081">
        <v>4.63</v>
      </c>
      <c r="B1081">
        <v>1</v>
      </c>
      <c r="E1081" s="3">
        <v>40.08</v>
      </c>
      <c r="F1081">
        <v>1</v>
      </c>
    </row>
    <row r="1082" spans="1:6" x14ac:dyDescent="0.3">
      <c r="A1082">
        <v>4.6100000000000003</v>
      </c>
      <c r="B1082">
        <v>1</v>
      </c>
      <c r="E1082" s="3">
        <v>40.61</v>
      </c>
      <c r="F1082">
        <v>2</v>
      </c>
    </row>
    <row r="1083" spans="1:6" x14ac:dyDescent="0.3">
      <c r="A1083">
        <v>4.6100000000000003</v>
      </c>
      <c r="B1083">
        <v>1</v>
      </c>
      <c r="E1083" s="3">
        <v>41.3</v>
      </c>
      <c r="F1083">
        <v>1</v>
      </c>
    </row>
    <row r="1084" spans="1:6" x14ac:dyDescent="0.3">
      <c r="A1084">
        <v>4.6100000000000003</v>
      </c>
      <c r="B1084">
        <v>1</v>
      </c>
      <c r="E1084" s="3">
        <v>41.39</v>
      </c>
      <c r="F1084">
        <v>1</v>
      </c>
    </row>
    <row r="1085" spans="1:6" x14ac:dyDescent="0.3">
      <c r="A1085">
        <v>4.5999999999999996</v>
      </c>
      <c r="B1085">
        <v>1</v>
      </c>
      <c r="E1085" s="3">
        <v>41.58</v>
      </c>
      <c r="F1085">
        <v>1</v>
      </c>
    </row>
    <row r="1086" spans="1:6" x14ac:dyDescent="0.3">
      <c r="A1086">
        <v>4.5999999999999996</v>
      </c>
      <c r="B1086">
        <v>1</v>
      </c>
      <c r="E1086" s="3">
        <v>41.71</v>
      </c>
      <c r="F1086">
        <v>1</v>
      </c>
    </row>
    <row r="1087" spans="1:6" x14ac:dyDescent="0.3">
      <c r="A1087">
        <v>4.5999999999999996</v>
      </c>
      <c r="B1087">
        <v>1</v>
      </c>
      <c r="E1087" s="3">
        <v>42.34</v>
      </c>
      <c r="F1087">
        <v>1</v>
      </c>
    </row>
    <row r="1088" spans="1:6" x14ac:dyDescent="0.3">
      <c r="A1088">
        <v>4.59</v>
      </c>
      <c r="B1088">
        <v>1</v>
      </c>
      <c r="E1088" s="3">
        <v>42.84</v>
      </c>
      <c r="F1088">
        <v>1</v>
      </c>
    </row>
    <row r="1089" spans="1:6" x14ac:dyDescent="0.3">
      <c r="A1089">
        <v>4.57</v>
      </c>
      <c r="B1089">
        <v>1</v>
      </c>
      <c r="E1089" s="3">
        <v>43.52</v>
      </c>
      <c r="F1089">
        <v>1</v>
      </c>
    </row>
    <row r="1090" spans="1:6" x14ac:dyDescent="0.3">
      <c r="A1090">
        <v>4.55</v>
      </c>
      <c r="B1090">
        <v>1</v>
      </c>
      <c r="E1090" s="3">
        <v>43.96</v>
      </c>
      <c r="F1090">
        <v>1</v>
      </c>
    </row>
    <row r="1091" spans="1:6" x14ac:dyDescent="0.3">
      <c r="A1091">
        <v>4.53</v>
      </c>
      <c r="B1091">
        <v>1</v>
      </c>
      <c r="E1091" s="3">
        <v>44.06</v>
      </c>
      <c r="F1091">
        <v>1</v>
      </c>
    </row>
    <row r="1092" spans="1:6" x14ac:dyDescent="0.3">
      <c r="A1092">
        <v>4.5199999999999996</v>
      </c>
      <c r="B1092">
        <v>1</v>
      </c>
      <c r="E1092" s="3">
        <v>44.13</v>
      </c>
      <c r="F1092">
        <v>1</v>
      </c>
    </row>
    <row r="1093" spans="1:6" x14ac:dyDescent="0.3">
      <c r="A1093">
        <v>4.51</v>
      </c>
      <c r="B1093">
        <v>1</v>
      </c>
      <c r="E1093" s="3">
        <v>44.25</v>
      </c>
      <c r="F1093">
        <v>1</v>
      </c>
    </row>
    <row r="1094" spans="1:6" x14ac:dyDescent="0.3">
      <c r="A1094">
        <v>4.51</v>
      </c>
      <c r="B1094">
        <v>1</v>
      </c>
      <c r="E1094" s="3">
        <v>44.31</v>
      </c>
      <c r="F1094">
        <v>1</v>
      </c>
    </row>
    <row r="1095" spans="1:6" x14ac:dyDescent="0.3">
      <c r="A1095">
        <v>4.5</v>
      </c>
      <c r="B1095">
        <v>1</v>
      </c>
      <c r="E1095" s="3">
        <v>44.32</v>
      </c>
      <c r="F1095">
        <v>1</v>
      </c>
    </row>
    <row r="1096" spans="1:6" x14ac:dyDescent="0.3">
      <c r="A1096">
        <v>4.49</v>
      </c>
      <c r="B1096">
        <v>1</v>
      </c>
      <c r="E1096" s="3">
        <v>44.67</v>
      </c>
      <c r="F1096">
        <v>1</v>
      </c>
    </row>
    <row r="1097" spans="1:6" x14ac:dyDescent="0.3">
      <c r="A1097">
        <v>4.49</v>
      </c>
      <c r="B1097">
        <v>1</v>
      </c>
      <c r="E1097" s="3">
        <v>45.29</v>
      </c>
      <c r="F1097">
        <v>1</v>
      </c>
    </row>
    <row r="1098" spans="1:6" x14ac:dyDescent="0.3">
      <c r="A1098">
        <v>4.47</v>
      </c>
      <c r="B1098">
        <v>1</v>
      </c>
      <c r="E1098" s="3">
        <v>46.45</v>
      </c>
      <c r="F1098">
        <v>1</v>
      </c>
    </row>
    <row r="1099" spans="1:6" x14ac:dyDescent="0.3">
      <c r="A1099">
        <v>4.46</v>
      </c>
      <c r="B1099">
        <v>1</v>
      </c>
      <c r="E1099" s="3">
        <v>46.57</v>
      </c>
      <c r="F1099">
        <v>1</v>
      </c>
    </row>
    <row r="1100" spans="1:6" x14ac:dyDescent="0.3">
      <c r="A1100">
        <v>4.46</v>
      </c>
      <c r="B1100">
        <v>1</v>
      </c>
      <c r="E1100" s="3">
        <v>46.72</v>
      </c>
      <c r="F1100">
        <v>1</v>
      </c>
    </row>
    <row r="1101" spans="1:6" x14ac:dyDescent="0.3">
      <c r="A1101">
        <v>4.45</v>
      </c>
      <c r="B1101">
        <v>1</v>
      </c>
      <c r="E1101" s="3">
        <v>46.84</v>
      </c>
      <c r="F1101">
        <v>1</v>
      </c>
    </row>
    <row r="1102" spans="1:6" x14ac:dyDescent="0.3">
      <c r="A1102">
        <v>4.45</v>
      </c>
      <c r="B1102">
        <v>1</v>
      </c>
      <c r="E1102" s="3">
        <v>47.18</v>
      </c>
      <c r="F1102">
        <v>1</v>
      </c>
    </row>
    <row r="1103" spans="1:6" x14ac:dyDescent="0.3">
      <c r="A1103">
        <v>4.4400000000000004</v>
      </c>
      <c r="B1103">
        <v>1</v>
      </c>
      <c r="E1103" s="3">
        <v>47.19</v>
      </c>
      <c r="F1103">
        <v>1</v>
      </c>
    </row>
    <row r="1104" spans="1:6" x14ac:dyDescent="0.3">
      <c r="A1104">
        <v>4.43</v>
      </c>
      <c r="B1104">
        <v>1</v>
      </c>
      <c r="E1104" s="3">
        <v>47.43</v>
      </c>
      <c r="F1104">
        <v>1</v>
      </c>
    </row>
    <row r="1105" spans="1:6" x14ac:dyDescent="0.3">
      <c r="A1105">
        <v>4.43</v>
      </c>
      <c r="B1105">
        <v>1</v>
      </c>
      <c r="E1105" s="3">
        <v>48.07</v>
      </c>
      <c r="F1105">
        <v>1</v>
      </c>
    </row>
    <row r="1106" spans="1:6" x14ac:dyDescent="0.3">
      <c r="A1106">
        <v>4.43</v>
      </c>
      <c r="B1106">
        <v>1</v>
      </c>
      <c r="E1106" s="3">
        <v>48.11</v>
      </c>
      <c r="F1106">
        <v>1</v>
      </c>
    </row>
    <row r="1107" spans="1:6" x14ac:dyDescent="0.3">
      <c r="A1107">
        <v>4.43</v>
      </c>
      <c r="B1107">
        <v>1</v>
      </c>
      <c r="E1107" s="3">
        <v>48.77</v>
      </c>
      <c r="F1107">
        <v>1</v>
      </c>
    </row>
    <row r="1108" spans="1:6" x14ac:dyDescent="0.3">
      <c r="A1108">
        <v>4.42</v>
      </c>
      <c r="B1108">
        <v>1</v>
      </c>
      <c r="E1108" s="3">
        <v>49.92</v>
      </c>
      <c r="F1108">
        <v>1</v>
      </c>
    </row>
    <row r="1109" spans="1:6" x14ac:dyDescent="0.3">
      <c r="A1109">
        <v>4.42</v>
      </c>
      <c r="B1109">
        <v>1</v>
      </c>
      <c r="E1109" s="3">
        <v>50.09</v>
      </c>
      <c r="F1109">
        <v>1</v>
      </c>
    </row>
    <row r="1110" spans="1:6" x14ac:dyDescent="0.3">
      <c r="A1110">
        <v>4.42</v>
      </c>
      <c r="B1110">
        <v>1</v>
      </c>
      <c r="E1110" s="3">
        <v>50.12</v>
      </c>
      <c r="F1110">
        <v>1</v>
      </c>
    </row>
    <row r="1111" spans="1:6" x14ac:dyDescent="0.3">
      <c r="A1111">
        <v>4.42</v>
      </c>
      <c r="B1111">
        <v>1</v>
      </c>
      <c r="E1111" s="3">
        <v>50.23</v>
      </c>
      <c r="F1111">
        <v>1</v>
      </c>
    </row>
    <row r="1112" spans="1:6" x14ac:dyDescent="0.3">
      <c r="A1112">
        <v>4.42</v>
      </c>
      <c r="B1112">
        <v>1</v>
      </c>
      <c r="E1112" s="3">
        <v>51.88</v>
      </c>
      <c r="F1112">
        <v>1</v>
      </c>
    </row>
    <row r="1113" spans="1:6" x14ac:dyDescent="0.3">
      <c r="A1113">
        <v>4.41</v>
      </c>
      <c r="B1113">
        <v>1</v>
      </c>
      <c r="E1113" s="3">
        <v>52.87</v>
      </c>
      <c r="F1113">
        <v>1</v>
      </c>
    </row>
    <row r="1114" spans="1:6" x14ac:dyDescent="0.3">
      <c r="A1114">
        <v>4.41</v>
      </c>
      <c r="B1114">
        <v>1</v>
      </c>
      <c r="E1114" s="3">
        <v>52.88</v>
      </c>
      <c r="F1114">
        <v>1</v>
      </c>
    </row>
    <row r="1115" spans="1:6" x14ac:dyDescent="0.3">
      <c r="A1115">
        <v>4.41</v>
      </c>
      <c r="B1115">
        <v>1</v>
      </c>
      <c r="E1115" s="3">
        <v>53.25</v>
      </c>
      <c r="F1115">
        <v>1</v>
      </c>
    </row>
    <row r="1116" spans="1:6" x14ac:dyDescent="0.3">
      <c r="A1116">
        <v>4.41</v>
      </c>
      <c r="B1116">
        <v>1</v>
      </c>
      <c r="E1116" s="3">
        <v>54.08</v>
      </c>
      <c r="F1116">
        <v>1</v>
      </c>
    </row>
    <row r="1117" spans="1:6" x14ac:dyDescent="0.3">
      <c r="A1117">
        <v>4.4000000000000004</v>
      </c>
      <c r="B1117">
        <v>1</v>
      </c>
      <c r="E1117" s="3">
        <v>54.1</v>
      </c>
      <c r="F1117">
        <v>1</v>
      </c>
    </row>
    <row r="1118" spans="1:6" x14ac:dyDescent="0.3">
      <c r="A1118">
        <v>4.3899999999999997</v>
      </c>
      <c r="B1118">
        <v>1</v>
      </c>
      <c r="E1118" s="3">
        <v>54.59</v>
      </c>
      <c r="F1118">
        <v>1</v>
      </c>
    </row>
    <row r="1119" spans="1:6" x14ac:dyDescent="0.3">
      <c r="A1119">
        <v>4.3899999999999997</v>
      </c>
      <c r="B1119">
        <v>1</v>
      </c>
      <c r="E1119" s="3">
        <v>55.06</v>
      </c>
      <c r="F1119">
        <v>1</v>
      </c>
    </row>
    <row r="1120" spans="1:6" x14ac:dyDescent="0.3">
      <c r="A1120">
        <v>4.38</v>
      </c>
      <c r="B1120">
        <v>1</v>
      </c>
      <c r="E1120" s="3">
        <v>55.43</v>
      </c>
      <c r="F1120">
        <v>1</v>
      </c>
    </row>
    <row r="1121" spans="1:6" x14ac:dyDescent="0.3">
      <c r="A1121">
        <v>4.37</v>
      </c>
      <c r="B1121">
        <v>1</v>
      </c>
      <c r="E1121" s="3">
        <v>56.05</v>
      </c>
      <c r="F1121">
        <v>1</v>
      </c>
    </row>
    <row r="1122" spans="1:6" x14ac:dyDescent="0.3">
      <c r="A1122">
        <v>4.37</v>
      </c>
      <c r="B1122">
        <v>1</v>
      </c>
      <c r="E1122" s="3">
        <v>56.35</v>
      </c>
      <c r="F1122">
        <v>1</v>
      </c>
    </row>
    <row r="1123" spans="1:6" x14ac:dyDescent="0.3">
      <c r="A1123">
        <v>4.37</v>
      </c>
      <c r="B1123">
        <v>1</v>
      </c>
      <c r="E1123" s="3">
        <v>56.46</v>
      </c>
      <c r="F1123">
        <v>1</v>
      </c>
    </row>
    <row r="1124" spans="1:6" x14ac:dyDescent="0.3">
      <c r="A1124">
        <v>4.3600000000000003</v>
      </c>
      <c r="B1124">
        <v>1</v>
      </c>
      <c r="E1124" s="3">
        <v>56.78</v>
      </c>
      <c r="F1124">
        <v>1</v>
      </c>
    </row>
    <row r="1125" spans="1:6" x14ac:dyDescent="0.3">
      <c r="A1125">
        <v>4.3600000000000003</v>
      </c>
      <c r="B1125">
        <v>1</v>
      </c>
      <c r="E1125" s="3">
        <v>57.38</v>
      </c>
      <c r="F1125">
        <v>1</v>
      </c>
    </row>
    <row r="1126" spans="1:6" x14ac:dyDescent="0.3">
      <c r="A1126">
        <v>4.3499999999999996</v>
      </c>
      <c r="B1126">
        <v>1</v>
      </c>
      <c r="E1126" s="3">
        <v>57.43</v>
      </c>
      <c r="F1126">
        <v>1</v>
      </c>
    </row>
    <row r="1127" spans="1:6" x14ac:dyDescent="0.3">
      <c r="A1127">
        <v>4.3499999999999996</v>
      </c>
      <c r="B1127">
        <v>1</v>
      </c>
      <c r="E1127" s="3">
        <v>57.52</v>
      </c>
      <c r="F1127">
        <v>1</v>
      </c>
    </row>
    <row r="1128" spans="1:6" x14ac:dyDescent="0.3">
      <c r="A1128">
        <v>4.3499999999999996</v>
      </c>
      <c r="B1128">
        <v>1</v>
      </c>
      <c r="E1128" s="3">
        <v>58.38</v>
      </c>
      <c r="F1128">
        <v>1</v>
      </c>
    </row>
    <row r="1129" spans="1:6" x14ac:dyDescent="0.3">
      <c r="A1129">
        <v>4.34</v>
      </c>
      <c r="B1129">
        <v>1</v>
      </c>
      <c r="E1129" s="3">
        <v>58.41</v>
      </c>
      <c r="F1129">
        <v>1</v>
      </c>
    </row>
    <row r="1130" spans="1:6" x14ac:dyDescent="0.3">
      <c r="A1130">
        <v>4.34</v>
      </c>
      <c r="B1130">
        <v>1</v>
      </c>
      <c r="E1130" s="3">
        <v>59.29</v>
      </c>
      <c r="F1130">
        <v>1</v>
      </c>
    </row>
    <row r="1131" spans="1:6" x14ac:dyDescent="0.3">
      <c r="A1131">
        <v>4.34</v>
      </c>
      <c r="B1131">
        <v>1</v>
      </c>
      <c r="E1131" s="3">
        <v>61.33</v>
      </c>
      <c r="F1131">
        <v>1</v>
      </c>
    </row>
    <row r="1132" spans="1:6" x14ac:dyDescent="0.3">
      <c r="A1132">
        <v>4.33</v>
      </c>
      <c r="B1132">
        <v>1</v>
      </c>
      <c r="E1132" s="3">
        <v>62.35</v>
      </c>
      <c r="F1132">
        <v>1</v>
      </c>
    </row>
    <row r="1133" spans="1:6" x14ac:dyDescent="0.3">
      <c r="A1133">
        <v>4.32</v>
      </c>
      <c r="B1133">
        <v>1</v>
      </c>
      <c r="E1133" s="3">
        <v>62.48</v>
      </c>
      <c r="F1133">
        <v>1</v>
      </c>
    </row>
    <row r="1134" spans="1:6" x14ac:dyDescent="0.3">
      <c r="A1134">
        <v>4.3099999999999996</v>
      </c>
      <c r="B1134">
        <v>1</v>
      </c>
      <c r="E1134" s="3">
        <v>62.98</v>
      </c>
      <c r="F1134">
        <v>1</v>
      </c>
    </row>
    <row r="1135" spans="1:6" x14ac:dyDescent="0.3">
      <c r="A1135">
        <v>4.3099999999999996</v>
      </c>
      <c r="B1135">
        <v>1</v>
      </c>
      <c r="E1135" s="3">
        <v>64.36</v>
      </c>
      <c r="F1135">
        <v>1</v>
      </c>
    </row>
    <row r="1136" spans="1:6" x14ac:dyDescent="0.3">
      <c r="A1136">
        <v>4.3099999999999996</v>
      </c>
      <c r="B1136">
        <v>1</v>
      </c>
      <c r="E1136" s="3">
        <v>64.81</v>
      </c>
      <c r="F1136">
        <v>1</v>
      </c>
    </row>
    <row r="1137" spans="1:6" x14ac:dyDescent="0.3">
      <c r="A1137">
        <v>4.3099999999999996</v>
      </c>
      <c r="B1137">
        <v>1</v>
      </c>
      <c r="E1137" s="3">
        <v>67.08</v>
      </c>
      <c r="F1137">
        <v>1</v>
      </c>
    </row>
    <row r="1138" spans="1:6" x14ac:dyDescent="0.3">
      <c r="A1138">
        <v>4.3</v>
      </c>
      <c r="B1138">
        <v>1</v>
      </c>
      <c r="E1138" s="3">
        <v>67.3</v>
      </c>
      <c r="F1138">
        <v>1</v>
      </c>
    </row>
    <row r="1139" spans="1:6" x14ac:dyDescent="0.3">
      <c r="A1139">
        <v>4.29</v>
      </c>
      <c r="B1139">
        <v>1</v>
      </c>
      <c r="E1139" s="3">
        <v>68.66</v>
      </c>
      <c r="F1139">
        <v>1</v>
      </c>
    </row>
    <row r="1140" spans="1:6" x14ac:dyDescent="0.3">
      <c r="A1140">
        <v>4.29</v>
      </c>
      <c r="B1140">
        <v>1</v>
      </c>
      <c r="E1140" s="3">
        <v>68.89</v>
      </c>
      <c r="F1140">
        <v>1</v>
      </c>
    </row>
    <row r="1141" spans="1:6" x14ac:dyDescent="0.3">
      <c r="A1141">
        <v>4.28</v>
      </c>
      <c r="B1141">
        <v>1</v>
      </c>
      <c r="E1141" s="3">
        <v>69.27</v>
      </c>
      <c r="F1141">
        <v>1</v>
      </c>
    </row>
    <row r="1142" spans="1:6" x14ac:dyDescent="0.3">
      <c r="A1142">
        <v>4.28</v>
      </c>
      <c r="B1142">
        <v>1</v>
      </c>
      <c r="E1142" s="3">
        <v>70.2</v>
      </c>
      <c r="F1142">
        <v>1</v>
      </c>
    </row>
    <row r="1143" spans="1:6" x14ac:dyDescent="0.3">
      <c r="A1143">
        <v>4.26</v>
      </c>
      <c r="B1143">
        <v>1</v>
      </c>
      <c r="E1143" s="3">
        <v>72.09</v>
      </c>
      <c r="F1143">
        <v>1</v>
      </c>
    </row>
    <row r="1144" spans="1:6" x14ac:dyDescent="0.3">
      <c r="A1144">
        <v>4.25</v>
      </c>
      <c r="B1144">
        <v>1</v>
      </c>
      <c r="E1144" s="3">
        <v>72.19</v>
      </c>
      <c r="F1144">
        <v>1</v>
      </c>
    </row>
    <row r="1145" spans="1:6" x14ac:dyDescent="0.3">
      <c r="A1145">
        <v>4.25</v>
      </c>
      <c r="B1145">
        <v>1</v>
      </c>
      <c r="E1145" s="3">
        <v>72.72</v>
      </c>
      <c r="F1145">
        <v>1</v>
      </c>
    </row>
    <row r="1146" spans="1:6" x14ac:dyDescent="0.3">
      <c r="A1146">
        <v>4.24</v>
      </c>
      <c r="B1146">
        <v>1</v>
      </c>
      <c r="E1146" s="3">
        <v>73</v>
      </c>
      <c r="F1146">
        <v>1</v>
      </c>
    </row>
    <row r="1147" spans="1:6" x14ac:dyDescent="0.3">
      <c r="A1147">
        <v>4.24</v>
      </c>
      <c r="B1147">
        <v>1</v>
      </c>
      <c r="E1147" s="3">
        <v>75.77</v>
      </c>
      <c r="F1147">
        <v>1</v>
      </c>
    </row>
    <row r="1148" spans="1:6" x14ac:dyDescent="0.3">
      <c r="A1148">
        <v>4.24</v>
      </c>
      <c r="B1148">
        <v>1</v>
      </c>
      <c r="E1148" s="3">
        <v>76.13</v>
      </c>
      <c r="F1148">
        <v>1</v>
      </c>
    </row>
    <row r="1149" spans="1:6" x14ac:dyDescent="0.3">
      <c r="A1149">
        <v>4.2300000000000004</v>
      </c>
      <c r="B1149">
        <v>1</v>
      </c>
      <c r="E1149" s="3">
        <v>76.84</v>
      </c>
      <c r="F1149">
        <v>1</v>
      </c>
    </row>
    <row r="1150" spans="1:6" x14ac:dyDescent="0.3">
      <c r="A1150">
        <v>4.2300000000000004</v>
      </c>
      <c r="B1150">
        <v>1</v>
      </c>
      <c r="E1150" s="3">
        <v>77.95</v>
      </c>
      <c r="F1150">
        <v>1</v>
      </c>
    </row>
    <row r="1151" spans="1:6" x14ac:dyDescent="0.3">
      <c r="A1151">
        <v>4.22</v>
      </c>
      <c r="B1151">
        <v>1</v>
      </c>
      <c r="E1151" s="3">
        <v>79.62</v>
      </c>
      <c r="F1151">
        <v>1</v>
      </c>
    </row>
    <row r="1152" spans="1:6" x14ac:dyDescent="0.3">
      <c r="A1152">
        <v>4.22</v>
      </c>
      <c r="B1152">
        <v>1</v>
      </c>
      <c r="E1152" s="3">
        <v>81.94</v>
      </c>
      <c r="F1152">
        <v>1</v>
      </c>
    </row>
    <row r="1153" spans="1:6" x14ac:dyDescent="0.3">
      <c r="A1153">
        <v>4.21</v>
      </c>
      <c r="B1153">
        <v>1</v>
      </c>
      <c r="E1153" s="3">
        <v>82.29</v>
      </c>
      <c r="F1153">
        <v>1</v>
      </c>
    </row>
    <row r="1154" spans="1:6" x14ac:dyDescent="0.3">
      <c r="A1154">
        <v>4.21</v>
      </c>
      <c r="B1154">
        <v>1</v>
      </c>
      <c r="E1154" s="3">
        <v>82.53</v>
      </c>
      <c r="F1154">
        <v>1</v>
      </c>
    </row>
    <row r="1155" spans="1:6" x14ac:dyDescent="0.3">
      <c r="A1155">
        <v>4.21</v>
      </c>
      <c r="B1155">
        <v>1</v>
      </c>
      <c r="E1155" s="3">
        <v>82.93</v>
      </c>
      <c r="F1155">
        <v>1</v>
      </c>
    </row>
    <row r="1156" spans="1:6" x14ac:dyDescent="0.3">
      <c r="A1156">
        <v>4.1900000000000004</v>
      </c>
      <c r="B1156">
        <v>1</v>
      </c>
      <c r="E1156" s="3">
        <v>83.02</v>
      </c>
      <c r="F1156">
        <v>1</v>
      </c>
    </row>
    <row r="1157" spans="1:6" x14ac:dyDescent="0.3">
      <c r="A1157">
        <v>4.1900000000000004</v>
      </c>
      <c r="B1157">
        <v>1</v>
      </c>
      <c r="E1157" s="3">
        <v>83.03</v>
      </c>
      <c r="F1157">
        <v>1</v>
      </c>
    </row>
    <row r="1158" spans="1:6" x14ac:dyDescent="0.3">
      <c r="A1158">
        <v>4.1900000000000004</v>
      </c>
      <c r="B1158">
        <v>1</v>
      </c>
      <c r="E1158" s="3">
        <v>84.18</v>
      </c>
      <c r="F1158">
        <v>1</v>
      </c>
    </row>
    <row r="1159" spans="1:6" x14ac:dyDescent="0.3">
      <c r="A1159">
        <v>4.18</v>
      </c>
      <c r="B1159">
        <v>1</v>
      </c>
      <c r="E1159" s="3">
        <v>85.07</v>
      </c>
      <c r="F1159">
        <v>1</v>
      </c>
    </row>
    <row r="1160" spans="1:6" x14ac:dyDescent="0.3">
      <c r="A1160">
        <v>4.18</v>
      </c>
      <c r="B1160">
        <v>1</v>
      </c>
      <c r="E1160" s="3">
        <v>86.39</v>
      </c>
      <c r="F1160">
        <v>1</v>
      </c>
    </row>
    <row r="1161" spans="1:6" x14ac:dyDescent="0.3">
      <c r="A1161">
        <v>4.18</v>
      </c>
      <c r="B1161">
        <v>1</v>
      </c>
      <c r="E1161" s="3">
        <v>86.73</v>
      </c>
      <c r="F1161">
        <v>1</v>
      </c>
    </row>
    <row r="1162" spans="1:6" x14ac:dyDescent="0.3">
      <c r="A1162">
        <v>4.17</v>
      </c>
      <c r="B1162">
        <v>1</v>
      </c>
      <c r="E1162" s="3">
        <v>88.46</v>
      </c>
      <c r="F1162">
        <v>1</v>
      </c>
    </row>
    <row r="1163" spans="1:6" x14ac:dyDescent="0.3">
      <c r="A1163">
        <v>4.1399999999999997</v>
      </c>
      <c r="B1163">
        <v>1</v>
      </c>
      <c r="E1163" s="3">
        <v>90.21</v>
      </c>
      <c r="F1163">
        <v>1</v>
      </c>
    </row>
    <row r="1164" spans="1:6" x14ac:dyDescent="0.3">
      <c r="A1164">
        <v>4.1399999999999997</v>
      </c>
      <c r="B1164">
        <v>1</v>
      </c>
      <c r="E1164" s="3">
        <v>90.49</v>
      </c>
      <c r="F1164">
        <v>1</v>
      </c>
    </row>
    <row r="1165" spans="1:6" x14ac:dyDescent="0.3">
      <c r="A1165">
        <v>4.13</v>
      </c>
      <c r="B1165">
        <v>1</v>
      </c>
      <c r="E1165" s="3">
        <v>92.49</v>
      </c>
      <c r="F1165">
        <v>1</v>
      </c>
    </row>
    <row r="1166" spans="1:6" x14ac:dyDescent="0.3">
      <c r="A1166">
        <v>4.13</v>
      </c>
      <c r="B1166">
        <v>1</v>
      </c>
      <c r="E1166" s="3">
        <v>95.38</v>
      </c>
      <c r="F1166">
        <v>1</v>
      </c>
    </row>
    <row r="1167" spans="1:6" x14ac:dyDescent="0.3">
      <c r="A1167">
        <v>4.13</v>
      </c>
      <c r="B1167">
        <v>1</v>
      </c>
      <c r="E1167" s="3">
        <v>97.53</v>
      </c>
      <c r="F1167">
        <v>1</v>
      </c>
    </row>
    <row r="1168" spans="1:6" x14ac:dyDescent="0.3">
      <c r="A1168">
        <v>4.12</v>
      </c>
      <c r="B1168">
        <v>1</v>
      </c>
      <c r="E1168" s="3">
        <v>103.97</v>
      </c>
      <c r="F1168">
        <v>1</v>
      </c>
    </row>
    <row r="1169" spans="1:6" x14ac:dyDescent="0.3">
      <c r="A1169">
        <v>4.12</v>
      </c>
      <c r="B1169">
        <v>1</v>
      </c>
      <c r="E1169" s="3">
        <v>104.3</v>
      </c>
      <c r="F1169">
        <v>1</v>
      </c>
    </row>
    <row r="1170" spans="1:6" x14ac:dyDescent="0.3">
      <c r="A1170">
        <v>4.12</v>
      </c>
      <c r="B1170">
        <v>1</v>
      </c>
      <c r="E1170" s="3">
        <v>106.55</v>
      </c>
      <c r="F1170">
        <v>1</v>
      </c>
    </row>
    <row r="1171" spans="1:6" x14ac:dyDescent="0.3">
      <c r="A1171">
        <v>4.1100000000000003</v>
      </c>
      <c r="B1171">
        <v>1</v>
      </c>
      <c r="E1171" s="3">
        <v>108.76</v>
      </c>
      <c r="F1171">
        <v>1</v>
      </c>
    </row>
    <row r="1172" spans="1:6" x14ac:dyDescent="0.3">
      <c r="A1172">
        <v>4.1100000000000003</v>
      </c>
      <c r="B1172">
        <v>1</v>
      </c>
      <c r="E1172" s="3">
        <v>111.02</v>
      </c>
      <c r="F1172">
        <v>1</v>
      </c>
    </row>
    <row r="1173" spans="1:6" x14ac:dyDescent="0.3">
      <c r="A1173">
        <v>4.09</v>
      </c>
      <c r="B1173">
        <v>1</v>
      </c>
      <c r="E1173" s="3">
        <v>115.4</v>
      </c>
      <c r="F1173">
        <v>1</v>
      </c>
    </row>
    <row r="1174" spans="1:6" x14ac:dyDescent="0.3">
      <c r="A1174">
        <v>4.08</v>
      </c>
      <c r="B1174">
        <v>1</v>
      </c>
      <c r="E1174" s="3">
        <v>116.43</v>
      </c>
      <c r="F1174">
        <v>1</v>
      </c>
    </row>
    <row r="1175" spans="1:6" x14ac:dyDescent="0.3">
      <c r="A1175">
        <v>4.07</v>
      </c>
      <c r="B1175">
        <v>1</v>
      </c>
      <c r="E1175" s="3">
        <v>116.64</v>
      </c>
      <c r="F1175">
        <v>1</v>
      </c>
    </row>
    <row r="1176" spans="1:6" x14ac:dyDescent="0.3">
      <c r="A1176">
        <v>4.05</v>
      </c>
      <c r="B1176">
        <v>1</v>
      </c>
      <c r="E1176" s="3">
        <v>117.55</v>
      </c>
      <c r="F1176">
        <v>1</v>
      </c>
    </row>
    <row r="1177" spans="1:6" x14ac:dyDescent="0.3">
      <c r="A1177">
        <v>4.05</v>
      </c>
      <c r="B1177">
        <v>1</v>
      </c>
      <c r="E1177" s="3">
        <v>124.79</v>
      </c>
      <c r="F1177">
        <v>1</v>
      </c>
    </row>
    <row r="1178" spans="1:6" x14ac:dyDescent="0.3">
      <c r="A1178">
        <v>4.05</v>
      </c>
      <c r="B1178">
        <v>1</v>
      </c>
      <c r="E1178" s="3">
        <v>125.37</v>
      </c>
      <c r="F1178">
        <v>1</v>
      </c>
    </row>
    <row r="1179" spans="1:6" x14ac:dyDescent="0.3">
      <c r="A1179">
        <v>4.04</v>
      </c>
      <c r="B1179">
        <v>1</v>
      </c>
      <c r="E1179" s="3">
        <v>131.88999999999999</v>
      </c>
      <c r="F1179">
        <v>1</v>
      </c>
    </row>
    <row r="1180" spans="1:6" x14ac:dyDescent="0.3">
      <c r="A1180">
        <v>4.03</v>
      </c>
      <c r="B1180">
        <v>1</v>
      </c>
      <c r="E1180" s="3">
        <v>141.13999999999999</v>
      </c>
      <c r="F1180">
        <v>1</v>
      </c>
    </row>
    <row r="1181" spans="1:6" x14ac:dyDescent="0.3">
      <c r="A1181">
        <v>4.0199999999999996</v>
      </c>
      <c r="B1181">
        <v>1</v>
      </c>
      <c r="E1181" s="3">
        <v>160.96</v>
      </c>
      <c r="F1181">
        <v>1</v>
      </c>
    </row>
    <row r="1182" spans="1:6" x14ac:dyDescent="0.3">
      <c r="A1182">
        <v>3.99</v>
      </c>
      <c r="B1182">
        <v>1</v>
      </c>
      <c r="E1182" s="3">
        <v>163.44999999999999</v>
      </c>
      <c r="F1182">
        <v>1</v>
      </c>
    </row>
    <row r="1183" spans="1:6" x14ac:dyDescent="0.3">
      <c r="A1183">
        <v>3.97</v>
      </c>
      <c r="B1183">
        <v>1</v>
      </c>
      <c r="E1183" s="3">
        <v>166.09</v>
      </c>
      <c r="F1183">
        <v>1</v>
      </c>
    </row>
    <row r="1184" spans="1:6" x14ac:dyDescent="0.3">
      <c r="A1184">
        <v>3.97</v>
      </c>
      <c r="B1184">
        <v>1</v>
      </c>
      <c r="E1184" s="3">
        <v>171.54</v>
      </c>
      <c r="F1184">
        <v>1</v>
      </c>
    </row>
    <row r="1185" spans="1:6" x14ac:dyDescent="0.3">
      <c r="A1185">
        <v>3.96</v>
      </c>
      <c r="B1185">
        <v>1</v>
      </c>
      <c r="E1185" s="3">
        <v>173.54</v>
      </c>
      <c r="F1185">
        <v>1</v>
      </c>
    </row>
    <row r="1186" spans="1:6" x14ac:dyDescent="0.3">
      <c r="A1186">
        <v>3.96</v>
      </c>
      <c r="B1186">
        <v>1</v>
      </c>
      <c r="E1186" s="3">
        <v>174.61</v>
      </c>
      <c r="F1186">
        <v>1</v>
      </c>
    </row>
    <row r="1187" spans="1:6" x14ac:dyDescent="0.3">
      <c r="A1187">
        <v>3.95</v>
      </c>
      <c r="B1187">
        <v>1</v>
      </c>
      <c r="E1187" s="3">
        <v>177.96</v>
      </c>
      <c r="F1187">
        <v>1</v>
      </c>
    </row>
    <row r="1188" spans="1:6" x14ac:dyDescent="0.3">
      <c r="A1188">
        <v>3.95</v>
      </c>
      <c r="B1188">
        <v>1</v>
      </c>
      <c r="E1188" s="3">
        <v>194.87</v>
      </c>
      <c r="F1188">
        <v>1</v>
      </c>
    </row>
    <row r="1189" spans="1:6" x14ac:dyDescent="0.3">
      <c r="A1189">
        <v>3.95</v>
      </c>
      <c r="B1189">
        <v>1</v>
      </c>
      <c r="E1189" s="3">
        <v>196.87</v>
      </c>
      <c r="F1189">
        <v>1</v>
      </c>
    </row>
    <row r="1190" spans="1:6" x14ac:dyDescent="0.3">
      <c r="A1190">
        <v>3.95</v>
      </c>
      <c r="B1190">
        <v>1</v>
      </c>
      <c r="E1190" s="3">
        <v>243.74</v>
      </c>
      <c r="F1190">
        <v>1</v>
      </c>
    </row>
    <row r="1191" spans="1:6" x14ac:dyDescent="0.3">
      <c r="A1191">
        <v>3.95</v>
      </c>
      <c r="B1191">
        <v>1</v>
      </c>
      <c r="E1191" s="3">
        <v>255.3</v>
      </c>
      <c r="F1191">
        <v>1</v>
      </c>
    </row>
    <row r="1192" spans="1:6" x14ac:dyDescent="0.3">
      <c r="A1192">
        <v>3.94</v>
      </c>
      <c r="B1192">
        <v>1</v>
      </c>
      <c r="E1192" s="3">
        <v>277.02</v>
      </c>
      <c r="F1192">
        <v>1</v>
      </c>
    </row>
    <row r="1193" spans="1:6" x14ac:dyDescent="0.3">
      <c r="A1193">
        <v>3.94</v>
      </c>
      <c r="B1193">
        <v>1</v>
      </c>
      <c r="E1193" s="3">
        <v>285.27</v>
      </c>
      <c r="F1193">
        <v>1</v>
      </c>
    </row>
    <row r="1194" spans="1:6" x14ac:dyDescent="0.3">
      <c r="A1194">
        <v>3.93</v>
      </c>
      <c r="B1194">
        <v>1</v>
      </c>
      <c r="E1194" s="3">
        <v>287.02</v>
      </c>
      <c r="F1194">
        <v>1</v>
      </c>
    </row>
    <row r="1195" spans="1:6" x14ac:dyDescent="0.3">
      <c r="A1195">
        <v>3.93</v>
      </c>
      <c r="B1195">
        <v>1</v>
      </c>
      <c r="E1195" s="3">
        <v>328.54</v>
      </c>
      <c r="F1195">
        <v>1</v>
      </c>
    </row>
    <row r="1196" spans="1:6" x14ac:dyDescent="0.3">
      <c r="A1196">
        <v>3.92</v>
      </c>
      <c r="B1196">
        <v>1</v>
      </c>
      <c r="E1196" s="3" t="s">
        <v>4709</v>
      </c>
      <c r="F1196">
        <v>2000</v>
      </c>
    </row>
    <row r="1197" spans="1:6" x14ac:dyDescent="0.3">
      <c r="A1197">
        <v>3.92</v>
      </c>
      <c r="B1197">
        <v>1</v>
      </c>
    </row>
    <row r="1198" spans="1:6" x14ac:dyDescent="0.3">
      <c r="A1198">
        <v>3.92</v>
      </c>
      <c r="B1198">
        <v>1</v>
      </c>
    </row>
    <row r="1199" spans="1:6" x14ac:dyDescent="0.3">
      <c r="A1199">
        <v>3.92</v>
      </c>
      <c r="B1199">
        <v>1</v>
      </c>
    </row>
    <row r="1200" spans="1:6" x14ac:dyDescent="0.3">
      <c r="A1200">
        <v>3.91</v>
      </c>
      <c r="B1200">
        <v>1</v>
      </c>
    </row>
    <row r="1201" spans="1:2" x14ac:dyDescent="0.3">
      <c r="A1201">
        <v>3.91</v>
      </c>
      <c r="B1201">
        <v>1</v>
      </c>
    </row>
    <row r="1202" spans="1:2" x14ac:dyDescent="0.3">
      <c r="A1202">
        <v>3.89</v>
      </c>
      <c r="B1202">
        <v>1</v>
      </c>
    </row>
    <row r="1203" spans="1:2" x14ac:dyDescent="0.3">
      <c r="A1203">
        <v>3.88</v>
      </c>
      <c r="B1203">
        <v>1</v>
      </c>
    </row>
    <row r="1204" spans="1:2" x14ac:dyDescent="0.3">
      <c r="A1204">
        <v>3.85</v>
      </c>
      <c r="B1204">
        <v>1</v>
      </c>
    </row>
    <row r="1205" spans="1:2" x14ac:dyDescent="0.3">
      <c r="A1205">
        <v>3.85</v>
      </c>
      <c r="B1205">
        <v>1</v>
      </c>
    </row>
    <row r="1206" spans="1:2" x14ac:dyDescent="0.3">
      <c r="A1206">
        <v>3.85</v>
      </c>
      <c r="B1206">
        <v>1</v>
      </c>
    </row>
    <row r="1207" spans="1:2" x14ac:dyDescent="0.3">
      <c r="A1207">
        <v>3.85</v>
      </c>
      <c r="B1207">
        <v>1</v>
      </c>
    </row>
    <row r="1208" spans="1:2" x14ac:dyDescent="0.3">
      <c r="A1208">
        <v>3.84</v>
      </c>
      <c r="B1208">
        <v>1</v>
      </c>
    </row>
    <row r="1209" spans="1:2" x14ac:dyDescent="0.3">
      <c r="A1209">
        <v>3.84</v>
      </c>
      <c r="B1209">
        <v>1</v>
      </c>
    </row>
    <row r="1210" spans="1:2" x14ac:dyDescent="0.3">
      <c r="A1210">
        <v>3.84</v>
      </c>
      <c r="B1210">
        <v>1</v>
      </c>
    </row>
    <row r="1211" spans="1:2" x14ac:dyDescent="0.3">
      <c r="A1211">
        <v>3.83</v>
      </c>
      <c r="B1211">
        <v>1</v>
      </c>
    </row>
    <row r="1212" spans="1:2" x14ac:dyDescent="0.3">
      <c r="A1212">
        <v>3.82</v>
      </c>
      <c r="B1212">
        <v>1</v>
      </c>
    </row>
    <row r="1213" spans="1:2" x14ac:dyDescent="0.3">
      <c r="A1213">
        <v>3.81</v>
      </c>
      <c r="B1213">
        <v>1</v>
      </c>
    </row>
    <row r="1214" spans="1:2" x14ac:dyDescent="0.3">
      <c r="A1214">
        <v>3.8</v>
      </c>
      <c r="B1214">
        <v>1</v>
      </c>
    </row>
    <row r="1215" spans="1:2" x14ac:dyDescent="0.3">
      <c r="A1215">
        <v>3.8</v>
      </c>
      <c r="B1215">
        <v>1</v>
      </c>
    </row>
    <row r="1216" spans="1:2" x14ac:dyDescent="0.3">
      <c r="A1216">
        <v>3.79</v>
      </c>
      <c r="B1216">
        <v>1</v>
      </c>
    </row>
    <row r="1217" spans="1:2" x14ac:dyDescent="0.3">
      <c r="A1217">
        <v>3.78</v>
      </c>
      <c r="B1217">
        <v>1</v>
      </c>
    </row>
    <row r="1218" spans="1:2" x14ac:dyDescent="0.3">
      <c r="A1218">
        <v>3.78</v>
      </c>
      <c r="B1218">
        <v>1</v>
      </c>
    </row>
    <row r="1219" spans="1:2" x14ac:dyDescent="0.3">
      <c r="A1219">
        <v>3.77</v>
      </c>
      <c r="B1219">
        <v>1</v>
      </c>
    </row>
    <row r="1220" spans="1:2" x14ac:dyDescent="0.3">
      <c r="A1220">
        <v>3.77</v>
      </c>
      <c r="B1220">
        <v>1</v>
      </c>
    </row>
    <row r="1221" spans="1:2" x14ac:dyDescent="0.3">
      <c r="A1221">
        <v>3.77</v>
      </c>
      <c r="B1221">
        <v>1</v>
      </c>
    </row>
    <row r="1222" spans="1:2" x14ac:dyDescent="0.3">
      <c r="A1222">
        <v>3.77</v>
      </c>
      <c r="B1222">
        <v>1</v>
      </c>
    </row>
    <row r="1223" spans="1:2" x14ac:dyDescent="0.3">
      <c r="A1223">
        <v>3.76</v>
      </c>
      <c r="B1223">
        <v>1</v>
      </c>
    </row>
    <row r="1224" spans="1:2" x14ac:dyDescent="0.3">
      <c r="A1224">
        <v>3.76</v>
      </c>
      <c r="B1224">
        <v>1</v>
      </c>
    </row>
    <row r="1225" spans="1:2" x14ac:dyDescent="0.3">
      <c r="A1225">
        <v>3.75</v>
      </c>
      <c r="B1225">
        <v>1</v>
      </c>
    </row>
    <row r="1226" spans="1:2" x14ac:dyDescent="0.3">
      <c r="A1226">
        <v>3.75</v>
      </c>
      <c r="B1226">
        <v>1</v>
      </c>
    </row>
    <row r="1227" spans="1:2" x14ac:dyDescent="0.3">
      <c r="A1227">
        <v>3.75</v>
      </c>
      <c r="B1227">
        <v>1</v>
      </c>
    </row>
    <row r="1228" spans="1:2" x14ac:dyDescent="0.3">
      <c r="A1228">
        <v>3.74</v>
      </c>
      <c r="B1228">
        <v>1</v>
      </c>
    </row>
    <row r="1229" spans="1:2" x14ac:dyDescent="0.3">
      <c r="A1229">
        <v>3.72</v>
      </c>
      <c r="B1229">
        <v>1</v>
      </c>
    </row>
    <row r="1230" spans="1:2" x14ac:dyDescent="0.3">
      <c r="A1230">
        <v>3.72</v>
      </c>
      <c r="B1230">
        <v>1</v>
      </c>
    </row>
    <row r="1231" spans="1:2" x14ac:dyDescent="0.3">
      <c r="A1231">
        <v>3.72</v>
      </c>
      <c r="B1231">
        <v>1</v>
      </c>
    </row>
    <row r="1232" spans="1:2" x14ac:dyDescent="0.3">
      <c r="A1232">
        <v>3.71</v>
      </c>
      <c r="B1232">
        <v>1</v>
      </c>
    </row>
    <row r="1233" spans="1:2" x14ac:dyDescent="0.3">
      <c r="A1233">
        <v>3.7</v>
      </c>
      <c r="B1233">
        <v>1</v>
      </c>
    </row>
    <row r="1234" spans="1:2" x14ac:dyDescent="0.3">
      <c r="A1234">
        <v>3.69</v>
      </c>
      <c r="B1234">
        <v>1</v>
      </c>
    </row>
    <row r="1235" spans="1:2" x14ac:dyDescent="0.3">
      <c r="A1235">
        <v>3.69</v>
      </c>
      <c r="B1235">
        <v>1</v>
      </c>
    </row>
    <row r="1236" spans="1:2" x14ac:dyDescent="0.3">
      <c r="A1236">
        <v>3.69</v>
      </c>
      <c r="B1236">
        <v>1</v>
      </c>
    </row>
    <row r="1237" spans="1:2" x14ac:dyDescent="0.3">
      <c r="A1237">
        <v>3.69</v>
      </c>
      <c r="B1237">
        <v>1</v>
      </c>
    </row>
    <row r="1238" spans="1:2" x14ac:dyDescent="0.3">
      <c r="A1238">
        <v>3.68</v>
      </c>
      <c r="B1238">
        <v>1</v>
      </c>
    </row>
    <row r="1239" spans="1:2" x14ac:dyDescent="0.3">
      <c r="A1239">
        <v>3.68</v>
      </c>
      <c r="B1239">
        <v>1</v>
      </c>
    </row>
    <row r="1240" spans="1:2" x14ac:dyDescent="0.3">
      <c r="A1240">
        <v>3.68</v>
      </c>
      <c r="B1240">
        <v>1</v>
      </c>
    </row>
    <row r="1241" spans="1:2" x14ac:dyDescent="0.3">
      <c r="A1241">
        <v>3.68</v>
      </c>
      <c r="B1241">
        <v>1</v>
      </c>
    </row>
    <row r="1242" spans="1:2" x14ac:dyDescent="0.3">
      <c r="A1242">
        <v>3.67</v>
      </c>
      <c r="B1242">
        <v>1</v>
      </c>
    </row>
    <row r="1243" spans="1:2" x14ac:dyDescent="0.3">
      <c r="A1243">
        <v>3.67</v>
      </c>
      <c r="B1243">
        <v>1</v>
      </c>
    </row>
    <row r="1244" spans="1:2" x14ac:dyDescent="0.3">
      <c r="A1244">
        <v>3.67</v>
      </c>
      <c r="B1244">
        <v>1</v>
      </c>
    </row>
    <row r="1245" spans="1:2" x14ac:dyDescent="0.3">
      <c r="A1245">
        <v>3.67</v>
      </c>
      <c r="B1245">
        <v>1</v>
      </c>
    </row>
    <row r="1246" spans="1:2" x14ac:dyDescent="0.3">
      <c r="A1246">
        <v>3.67</v>
      </c>
      <c r="B1246">
        <v>1</v>
      </c>
    </row>
    <row r="1247" spans="1:2" x14ac:dyDescent="0.3">
      <c r="A1247">
        <v>3.66</v>
      </c>
      <c r="B1247">
        <v>1</v>
      </c>
    </row>
    <row r="1248" spans="1:2" x14ac:dyDescent="0.3">
      <c r="A1248">
        <v>3.66</v>
      </c>
      <c r="B1248">
        <v>1</v>
      </c>
    </row>
    <row r="1249" spans="1:2" x14ac:dyDescent="0.3">
      <c r="A1249">
        <v>3.65</v>
      </c>
      <c r="B1249">
        <v>1</v>
      </c>
    </row>
    <row r="1250" spans="1:2" x14ac:dyDescent="0.3">
      <c r="A1250">
        <v>3.65</v>
      </c>
      <c r="B1250">
        <v>1</v>
      </c>
    </row>
    <row r="1251" spans="1:2" x14ac:dyDescent="0.3">
      <c r="A1251">
        <v>3.65</v>
      </c>
      <c r="B1251">
        <v>1</v>
      </c>
    </row>
    <row r="1252" spans="1:2" x14ac:dyDescent="0.3">
      <c r="A1252">
        <v>3.65</v>
      </c>
      <c r="B1252">
        <v>1</v>
      </c>
    </row>
    <row r="1253" spans="1:2" x14ac:dyDescent="0.3">
      <c r="A1253">
        <v>3.64</v>
      </c>
      <c r="B1253">
        <v>1</v>
      </c>
    </row>
    <row r="1254" spans="1:2" x14ac:dyDescent="0.3">
      <c r="A1254">
        <v>3.62</v>
      </c>
      <c r="B1254">
        <v>1</v>
      </c>
    </row>
    <row r="1255" spans="1:2" x14ac:dyDescent="0.3">
      <c r="A1255">
        <v>3.62</v>
      </c>
      <c r="B1255">
        <v>1</v>
      </c>
    </row>
    <row r="1256" spans="1:2" x14ac:dyDescent="0.3">
      <c r="A1256">
        <v>3.62</v>
      </c>
      <c r="B1256">
        <v>1</v>
      </c>
    </row>
    <row r="1257" spans="1:2" x14ac:dyDescent="0.3">
      <c r="A1257">
        <v>3.62</v>
      </c>
      <c r="B1257">
        <v>1</v>
      </c>
    </row>
    <row r="1258" spans="1:2" x14ac:dyDescent="0.3">
      <c r="A1258">
        <v>3.62</v>
      </c>
      <c r="B1258">
        <v>1</v>
      </c>
    </row>
    <row r="1259" spans="1:2" x14ac:dyDescent="0.3">
      <c r="A1259">
        <v>3.61</v>
      </c>
      <c r="B1259">
        <v>1</v>
      </c>
    </row>
    <row r="1260" spans="1:2" x14ac:dyDescent="0.3">
      <c r="A1260">
        <v>3.61</v>
      </c>
      <c r="B1260">
        <v>1</v>
      </c>
    </row>
    <row r="1261" spans="1:2" x14ac:dyDescent="0.3">
      <c r="A1261">
        <v>3.61</v>
      </c>
      <c r="B1261">
        <v>1</v>
      </c>
    </row>
    <row r="1262" spans="1:2" x14ac:dyDescent="0.3">
      <c r="A1262">
        <v>3.6</v>
      </c>
      <c r="B1262">
        <v>1</v>
      </c>
    </row>
    <row r="1263" spans="1:2" x14ac:dyDescent="0.3">
      <c r="A1263">
        <v>3.59</v>
      </c>
      <c r="B1263">
        <v>1</v>
      </c>
    </row>
    <row r="1264" spans="1:2" x14ac:dyDescent="0.3">
      <c r="A1264">
        <v>3.59</v>
      </c>
      <c r="B1264">
        <v>1</v>
      </c>
    </row>
    <row r="1265" spans="1:2" x14ac:dyDescent="0.3">
      <c r="A1265">
        <v>3.59</v>
      </c>
      <c r="B1265">
        <v>1</v>
      </c>
    </row>
    <row r="1266" spans="1:2" x14ac:dyDescent="0.3">
      <c r="A1266">
        <v>3.58</v>
      </c>
      <c r="B1266">
        <v>1</v>
      </c>
    </row>
    <row r="1267" spans="1:2" x14ac:dyDescent="0.3">
      <c r="A1267">
        <v>3.58</v>
      </c>
      <c r="B1267">
        <v>1</v>
      </c>
    </row>
    <row r="1268" spans="1:2" x14ac:dyDescent="0.3">
      <c r="A1268">
        <v>3.57</v>
      </c>
      <c r="B1268">
        <v>1</v>
      </c>
    </row>
    <row r="1269" spans="1:2" x14ac:dyDescent="0.3">
      <c r="A1269">
        <v>3.57</v>
      </c>
      <c r="B1269">
        <v>1</v>
      </c>
    </row>
    <row r="1270" spans="1:2" x14ac:dyDescent="0.3">
      <c r="A1270">
        <v>3.57</v>
      </c>
      <c r="B1270">
        <v>1</v>
      </c>
    </row>
    <row r="1271" spans="1:2" x14ac:dyDescent="0.3">
      <c r="A1271">
        <v>3.57</v>
      </c>
      <c r="B1271">
        <v>1</v>
      </c>
    </row>
    <row r="1272" spans="1:2" x14ac:dyDescent="0.3">
      <c r="A1272">
        <v>3.57</v>
      </c>
      <c r="B1272">
        <v>1</v>
      </c>
    </row>
    <row r="1273" spans="1:2" x14ac:dyDescent="0.3">
      <c r="A1273">
        <v>3.56</v>
      </c>
      <c r="B1273">
        <v>1</v>
      </c>
    </row>
    <row r="1274" spans="1:2" x14ac:dyDescent="0.3">
      <c r="A1274">
        <v>3.55</v>
      </c>
      <c r="B1274">
        <v>1</v>
      </c>
    </row>
    <row r="1275" spans="1:2" x14ac:dyDescent="0.3">
      <c r="A1275">
        <v>3.55</v>
      </c>
      <c r="B1275">
        <v>1</v>
      </c>
    </row>
    <row r="1276" spans="1:2" x14ac:dyDescent="0.3">
      <c r="A1276">
        <v>3.55</v>
      </c>
      <c r="B1276">
        <v>1</v>
      </c>
    </row>
    <row r="1277" spans="1:2" x14ac:dyDescent="0.3">
      <c r="A1277">
        <v>3.55</v>
      </c>
      <c r="B1277">
        <v>1</v>
      </c>
    </row>
    <row r="1278" spans="1:2" x14ac:dyDescent="0.3">
      <c r="A1278">
        <v>3.55</v>
      </c>
      <c r="B1278">
        <v>1</v>
      </c>
    </row>
    <row r="1279" spans="1:2" x14ac:dyDescent="0.3">
      <c r="A1279">
        <v>3.54</v>
      </c>
      <c r="B1279">
        <v>1</v>
      </c>
    </row>
    <row r="1280" spans="1:2" x14ac:dyDescent="0.3">
      <c r="A1280">
        <v>3.53</v>
      </c>
      <c r="B1280">
        <v>1</v>
      </c>
    </row>
    <row r="1281" spans="1:2" x14ac:dyDescent="0.3">
      <c r="A1281">
        <v>3.53</v>
      </c>
      <c r="B1281">
        <v>1</v>
      </c>
    </row>
    <row r="1282" spans="1:2" x14ac:dyDescent="0.3">
      <c r="A1282">
        <v>3.53</v>
      </c>
      <c r="B1282">
        <v>1</v>
      </c>
    </row>
    <row r="1283" spans="1:2" x14ac:dyDescent="0.3">
      <c r="A1283">
        <v>3.51</v>
      </c>
      <c r="B1283">
        <v>1</v>
      </c>
    </row>
    <row r="1284" spans="1:2" x14ac:dyDescent="0.3">
      <c r="A1284">
        <v>3.51</v>
      </c>
      <c r="B1284">
        <v>1</v>
      </c>
    </row>
    <row r="1285" spans="1:2" x14ac:dyDescent="0.3">
      <c r="A1285">
        <v>3.51</v>
      </c>
      <c r="B1285">
        <v>1</v>
      </c>
    </row>
    <row r="1286" spans="1:2" x14ac:dyDescent="0.3">
      <c r="A1286">
        <v>3.5</v>
      </c>
      <c r="B1286">
        <v>1</v>
      </c>
    </row>
    <row r="1287" spans="1:2" x14ac:dyDescent="0.3">
      <c r="A1287">
        <v>3.5</v>
      </c>
      <c r="B1287">
        <v>1</v>
      </c>
    </row>
    <row r="1288" spans="1:2" x14ac:dyDescent="0.3">
      <c r="A1288">
        <v>3.5</v>
      </c>
      <c r="B1288">
        <v>1</v>
      </c>
    </row>
    <row r="1289" spans="1:2" x14ac:dyDescent="0.3">
      <c r="A1289">
        <v>3.5</v>
      </c>
      <c r="B1289">
        <v>1</v>
      </c>
    </row>
    <row r="1290" spans="1:2" x14ac:dyDescent="0.3">
      <c r="A1290">
        <v>3.5</v>
      </c>
      <c r="B1290">
        <v>1</v>
      </c>
    </row>
    <row r="1291" spans="1:2" x14ac:dyDescent="0.3">
      <c r="A1291">
        <v>3.49</v>
      </c>
      <c r="B1291">
        <v>1</v>
      </c>
    </row>
    <row r="1292" spans="1:2" x14ac:dyDescent="0.3">
      <c r="A1292">
        <v>3.49</v>
      </c>
      <c r="B1292">
        <v>1</v>
      </c>
    </row>
    <row r="1293" spans="1:2" x14ac:dyDescent="0.3">
      <c r="A1293">
        <v>3.49</v>
      </c>
      <c r="B1293">
        <v>1</v>
      </c>
    </row>
    <row r="1294" spans="1:2" x14ac:dyDescent="0.3">
      <c r="A1294">
        <v>3.49</v>
      </c>
      <c r="B1294">
        <v>1</v>
      </c>
    </row>
    <row r="1295" spans="1:2" x14ac:dyDescent="0.3">
      <c r="A1295">
        <v>3.49</v>
      </c>
      <c r="B1295">
        <v>1</v>
      </c>
    </row>
    <row r="1296" spans="1:2" x14ac:dyDescent="0.3">
      <c r="A1296">
        <v>3.48</v>
      </c>
      <c r="B1296">
        <v>1</v>
      </c>
    </row>
    <row r="1297" spans="1:2" x14ac:dyDescent="0.3">
      <c r="A1297">
        <v>3.48</v>
      </c>
      <c r="B1297">
        <v>1</v>
      </c>
    </row>
    <row r="1298" spans="1:2" x14ac:dyDescent="0.3">
      <c r="A1298">
        <v>3.48</v>
      </c>
      <c r="B1298">
        <v>1</v>
      </c>
    </row>
    <row r="1299" spans="1:2" x14ac:dyDescent="0.3">
      <c r="A1299">
        <v>3.47</v>
      </c>
      <c r="B1299">
        <v>1</v>
      </c>
    </row>
    <row r="1300" spans="1:2" x14ac:dyDescent="0.3">
      <c r="A1300">
        <v>3.47</v>
      </c>
      <c r="B1300">
        <v>1</v>
      </c>
    </row>
    <row r="1301" spans="1:2" x14ac:dyDescent="0.3">
      <c r="A1301">
        <v>3.47</v>
      </c>
      <c r="B1301">
        <v>1</v>
      </c>
    </row>
    <row r="1302" spans="1:2" x14ac:dyDescent="0.3">
      <c r="A1302">
        <v>3.47</v>
      </c>
      <c r="B1302">
        <v>1</v>
      </c>
    </row>
    <row r="1303" spans="1:2" x14ac:dyDescent="0.3">
      <c r="A1303">
        <v>3.47</v>
      </c>
      <c r="B1303">
        <v>1</v>
      </c>
    </row>
    <row r="1304" spans="1:2" x14ac:dyDescent="0.3">
      <c r="A1304">
        <v>3.46</v>
      </c>
      <c r="B1304">
        <v>1</v>
      </c>
    </row>
    <row r="1305" spans="1:2" x14ac:dyDescent="0.3">
      <c r="A1305">
        <v>3.46</v>
      </c>
      <c r="B1305">
        <v>1</v>
      </c>
    </row>
    <row r="1306" spans="1:2" x14ac:dyDescent="0.3">
      <c r="A1306">
        <v>3.46</v>
      </c>
      <c r="B1306">
        <v>1</v>
      </c>
    </row>
    <row r="1307" spans="1:2" x14ac:dyDescent="0.3">
      <c r="A1307">
        <v>3.46</v>
      </c>
      <c r="B1307">
        <v>1</v>
      </c>
    </row>
    <row r="1308" spans="1:2" x14ac:dyDescent="0.3">
      <c r="A1308">
        <v>3.45</v>
      </c>
      <c r="B1308">
        <v>1</v>
      </c>
    </row>
    <row r="1309" spans="1:2" x14ac:dyDescent="0.3">
      <c r="A1309">
        <v>3.45</v>
      </c>
      <c r="B1309">
        <v>1</v>
      </c>
    </row>
    <row r="1310" spans="1:2" x14ac:dyDescent="0.3">
      <c r="A1310">
        <v>3.45</v>
      </c>
      <c r="B1310">
        <v>1</v>
      </c>
    </row>
    <row r="1311" spans="1:2" x14ac:dyDescent="0.3">
      <c r="A1311">
        <v>3.44</v>
      </c>
      <c r="B1311">
        <v>1</v>
      </c>
    </row>
    <row r="1312" spans="1:2" x14ac:dyDescent="0.3">
      <c r="A1312">
        <v>3.44</v>
      </c>
      <c r="B1312">
        <v>1</v>
      </c>
    </row>
    <row r="1313" spans="1:2" x14ac:dyDescent="0.3">
      <c r="A1313">
        <v>3.43</v>
      </c>
      <c r="B1313">
        <v>1</v>
      </c>
    </row>
    <row r="1314" spans="1:2" x14ac:dyDescent="0.3">
      <c r="A1314">
        <v>3.43</v>
      </c>
      <c r="B1314">
        <v>1</v>
      </c>
    </row>
    <row r="1315" spans="1:2" x14ac:dyDescent="0.3">
      <c r="A1315">
        <v>3.43</v>
      </c>
      <c r="B1315">
        <v>1</v>
      </c>
    </row>
    <row r="1316" spans="1:2" x14ac:dyDescent="0.3">
      <c r="A1316">
        <v>3.42</v>
      </c>
      <c r="B1316">
        <v>1</v>
      </c>
    </row>
    <row r="1317" spans="1:2" x14ac:dyDescent="0.3">
      <c r="A1317">
        <v>3.42</v>
      </c>
      <c r="B1317">
        <v>1</v>
      </c>
    </row>
    <row r="1318" spans="1:2" x14ac:dyDescent="0.3">
      <c r="A1318">
        <v>3.42</v>
      </c>
      <c r="B1318">
        <v>1</v>
      </c>
    </row>
    <row r="1319" spans="1:2" x14ac:dyDescent="0.3">
      <c r="A1319">
        <v>3.41</v>
      </c>
      <c r="B1319">
        <v>1</v>
      </c>
    </row>
    <row r="1320" spans="1:2" x14ac:dyDescent="0.3">
      <c r="A1320">
        <v>3.41</v>
      </c>
      <c r="B1320">
        <v>1</v>
      </c>
    </row>
    <row r="1321" spans="1:2" x14ac:dyDescent="0.3">
      <c r="A1321">
        <v>3.41</v>
      </c>
      <c r="B1321">
        <v>1</v>
      </c>
    </row>
    <row r="1322" spans="1:2" x14ac:dyDescent="0.3">
      <c r="A1322">
        <v>3.41</v>
      </c>
      <c r="B1322">
        <v>1</v>
      </c>
    </row>
    <row r="1323" spans="1:2" x14ac:dyDescent="0.3">
      <c r="A1323">
        <v>3.41</v>
      </c>
      <c r="B1323">
        <v>1</v>
      </c>
    </row>
    <row r="1324" spans="1:2" x14ac:dyDescent="0.3">
      <c r="A1324">
        <v>3.4</v>
      </c>
      <c r="B1324">
        <v>1</v>
      </c>
    </row>
    <row r="1325" spans="1:2" x14ac:dyDescent="0.3">
      <c r="A1325">
        <v>3.4</v>
      </c>
      <c r="B1325">
        <v>1</v>
      </c>
    </row>
    <row r="1326" spans="1:2" x14ac:dyDescent="0.3">
      <c r="A1326">
        <v>3.4</v>
      </c>
      <c r="B1326">
        <v>1</v>
      </c>
    </row>
    <row r="1327" spans="1:2" x14ac:dyDescent="0.3">
      <c r="A1327">
        <v>3.39</v>
      </c>
      <c r="B1327">
        <v>1</v>
      </c>
    </row>
    <row r="1328" spans="1:2" x14ac:dyDescent="0.3">
      <c r="A1328">
        <v>3.39</v>
      </c>
      <c r="B1328">
        <v>1</v>
      </c>
    </row>
    <row r="1329" spans="1:2" x14ac:dyDescent="0.3">
      <c r="A1329">
        <v>3.38</v>
      </c>
      <c r="B1329">
        <v>1</v>
      </c>
    </row>
    <row r="1330" spans="1:2" x14ac:dyDescent="0.3">
      <c r="A1330">
        <v>3.38</v>
      </c>
      <c r="B1330">
        <v>1</v>
      </c>
    </row>
    <row r="1331" spans="1:2" x14ac:dyDescent="0.3">
      <c r="A1331">
        <v>3.37</v>
      </c>
      <c r="B1331">
        <v>1</v>
      </c>
    </row>
    <row r="1332" spans="1:2" x14ac:dyDescent="0.3">
      <c r="A1332">
        <v>3.37</v>
      </c>
      <c r="B1332">
        <v>1</v>
      </c>
    </row>
    <row r="1333" spans="1:2" x14ac:dyDescent="0.3">
      <c r="A1333">
        <v>3.37</v>
      </c>
      <c r="B1333">
        <v>1</v>
      </c>
    </row>
    <row r="1334" spans="1:2" x14ac:dyDescent="0.3">
      <c r="A1334">
        <v>3.36</v>
      </c>
      <c r="B1334">
        <v>1</v>
      </c>
    </row>
    <row r="1335" spans="1:2" x14ac:dyDescent="0.3">
      <c r="A1335">
        <v>3.36</v>
      </c>
      <c r="B1335">
        <v>1</v>
      </c>
    </row>
    <row r="1336" spans="1:2" x14ac:dyDescent="0.3">
      <c r="A1336">
        <v>3.36</v>
      </c>
      <c r="B1336">
        <v>1</v>
      </c>
    </row>
    <row r="1337" spans="1:2" x14ac:dyDescent="0.3">
      <c r="A1337">
        <v>3.36</v>
      </c>
      <c r="B1337">
        <v>1</v>
      </c>
    </row>
    <row r="1338" spans="1:2" x14ac:dyDescent="0.3">
      <c r="A1338">
        <v>3.35</v>
      </c>
      <c r="B1338">
        <v>1</v>
      </c>
    </row>
    <row r="1339" spans="1:2" x14ac:dyDescent="0.3">
      <c r="A1339">
        <v>3.34</v>
      </c>
      <c r="B1339">
        <v>1</v>
      </c>
    </row>
    <row r="1340" spans="1:2" x14ac:dyDescent="0.3">
      <c r="A1340">
        <v>3.34</v>
      </c>
      <c r="B1340">
        <v>1</v>
      </c>
    </row>
    <row r="1341" spans="1:2" x14ac:dyDescent="0.3">
      <c r="A1341">
        <v>3.34</v>
      </c>
      <c r="B1341">
        <v>1</v>
      </c>
    </row>
    <row r="1342" spans="1:2" x14ac:dyDescent="0.3">
      <c r="A1342">
        <v>3.33</v>
      </c>
      <c r="B1342">
        <v>1</v>
      </c>
    </row>
    <row r="1343" spans="1:2" x14ac:dyDescent="0.3">
      <c r="A1343">
        <v>3.32</v>
      </c>
      <c r="B1343">
        <v>1</v>
      </c>
    </row>
    <row r="1344" spans="1:2" x14ac:dyDescent="0.3">
      <c r="A1344">
        <v>3.32</v>
      </c>
      <c r="B1344">
        <v>1</v>
      </c>
    </row>
    <row r="1345" spans="1:2" x14ac:dyDescent="0.3">
      <c r="A1345">
        <v>3.31</v>
      </c>
      <c r="B1345">
        <v>1</v>
      </c>
    </row>
    <row r="1346" spans="1:2" x14ac:dyDescent="0.3">
      <c r="A1346">
        <v>3.31</v>
      </c>
      <c r="B1346">
        <v>1</v>
      </c>
    </row>
    <row r="1347" spans="1:2" x14ac:dyDescent="0.3">
      <c r="A1347">
        <v>3.31</v>
      </c>
      <c r="B1347">
        <v>1</v>
      </c>
    </row>
    <row r="1348" spans="1:2" x14ac:dyDescent="0.3">
      <c r="A1348">
        <v>3.3</v>
      </c>
      <c r="B1348">
        <v>1</v>
      </c>
    </row>
    <row r="1349" spans="1:2" x14ac:dyDescent="0.3">
      <c r="A1349">
        <v>3.3</v>
      </c>
      <c r="B1349">
        <v>1</v>
      </c>
    </row>
    <row r="1350" spans="1:2" x14ac:dyDescent="0.3">
      <c r="A1350">
        <v>3.29</v>
      </c>
      <c r="B1350">
        <v>1</v>
      </c>
    </row>
    <row r="1351" spans="1:2" x14ac:dyDescent="0.3">
      <c r="A1351">
        <v>3.29</v>
      </c>
      <c r="B1351">
        <v>1</v>
      </c>
    </row>
    <row r="1352" spans="1:2" x14ac:dyDescent="0.3">
      <c r="A1352">
        <v>3.29</v>
      </c>
      <c r="B1352">
        <v>1</v>
      </c>
    </row>
    <row r="1353" spans="1:2" x14ac:dyDescent="0.3">
      <c r="A1353">
        <v>3.29</v>
      </c>
      <c r="B1353">
        <v>1</v>
      </c>
    </row>
    <row r="1354" spans="1:2" x14ac:dyDescent="0.3">
      <c r="A1354">
        <v>3.29</v>
      </c>
      <c r="B1354">
        <v>1</v>
      </c>
    </row>
    <row r="1355" spans="1:2" x14ac:dyDescent="0.3">
      <c r="A1355">
        <v>3.28</v>
      </c>
      <c r="B1355">
        <v>1</v>
      </c>
    </row>
    <row r="1356" spans="1:2" x14ac:dyDescent="0.3">
      <c r="A1356">
        <v>3.28</v>
      </c>
      <c r="B1356">
        <v>1</v>
      </c>
    </row>
    <row r="1357" spans="1:2" x14ac:dyDescent="0.3">
      <c r="A1357">
        <v>3.28</v>
      </c>
      <c r="B1357">
        <v>1</v>
      </c>
    </row>
    <row r="1358" spans="1:2" x14ac:dyDescent="0.3">
      <c r="A1358">
        <v>3.27</v>
      </c>
      <c r="B1358">
        <v>1</v>
      </c>
    </row>
    <row r="1359" spans="1:2" x14ac:dyDescent="0.3">
      <c r="A1359">
        <v>3.27</v>
      </c>
      <c r="B1359">
        <v>1</v>
      </c>
    </row>
    <row r="1360" spans="1:2" x14ac:dyDescent="0.3">
      <c r="A1360">
        <v>3.26</v>
      </c>
      <c r="B1360">
        <v>1</v>
      </c>
    </row>
    <row r="1361" spans="1:2" x14ac:dyDescent="0.3">
      <c r="A1361">
        <v>3.26</v>
      </c>
      <c r="B1361">
        <v>1</v>
      </c>
    </row>
    <row r="1362" spans="1:2" x14ac:dyDescent="0.3">
      <c r="A1362">
        <v>3.26</v>
      </c>
      <c r="B1362">
        <v>1</v>
      </c>
    </row>
    <row r="1363" spans="1:2" x14ac:dyDescent="0.3">
      <c r="A1363">
        <v>3.26</v>
      </c>
      <c r="B1363">
        <v>1</v>
      </c>
    </row>
    <row r="1364" spans="1:2" x14ac:dyDescent="0.3">
      <c r="A1364">
        <v>3.25</v>
      </c>
      <c r="B1364">
        <v>1</v>
      </c>
    </row>
    <row r="1365" spans="1:2" x14ac:dyDescent="0.3">
      <c r="A1365">
        <v>3.25</v>
      </c>
      <c r="B1365">
        <v>1</v>
      </c>
    </row>
    <row r="1366" spans="1:2" x14ac:dyDescent="0.3">
      <c r="A1366">
        <v>3.25</v>
      </c>
      <c r="B1366">
        <v>1</v>
      </c>
    </row>
    <row r="1367" spans="1:2" x14ac:dyDescent="0.3">
      <c r="A1367">
        <v>3.25</v>
      </c>
      <c r="B1367">
        <v>1</v>
      </c>
    </row>
    <row r="1368" spans="1:2" x14ac:dyDescent="0.3">
      <c r="A1368">
        <v>3.25</v>
      </c>
      <c r="B1368">
        <v>1</v>
      </c>
    </row>
    <row r="1369" spans="1:2" x14ac:dyDescent="0.3">
      <c r="A1369">
        <v>3.25</v>
      </c>
      <c r="B1369">
        <v>1</v>
      </c>
    </row>
    <row r="1370" spans="1:2" x14ac:dyDescent="0.3">
      <c r="A1370">
        <v>3.24</v>
      </c>
      <c r="B1370">
        <v>1</v>
      </c>
    </row>
    <row r="1371" spans="1:2" x14ac:dyDescent="0.3">
      <c r="A1371">
        <v>3.23</v>
      </c>
      <c r="B1371">
        <v>1</v>
      </c>
    </row>
    <row r="1372" spans="1:2" x14ac:dyDescent="0.3">
      <c r="A1372">
        <v>3.23</v>
      </c>
      <c r="B1372">
        <v>1</v>
      </c>
    </row>
    <row r="1373" spans="1:2" x14ac:dyDescent="0.3">
      <c r="A1373">
        <v>3.22</v>
      </c>
      <c r="B1373">
        <v>1</v>
      </c>
    </row>
    <row r="1374" spans="1:2" x14ac:dyDescent="0.3">
      <c r="A1374">
        <v>3.22</v>
      </c>
      <c r="B1374">
        <v>1</v>
      </c>
    </row>
    <row r="1375" spans="1:2" x14ac:dyDescent="0.3">
      <c r="A1375">
        <v>3.22</v>
      </c>
      <c r="B1375">
        <v>1</v>
      </c>
    </row>
    <row r="1376" spans="1:2" x14ac:dyDescent="0.3">
      <c r="A1376">
        <v>3.22</v>
      </c>
      <c r="B1376">
        <v>1</v>
      </c>
    </row>
    <row r="1377" spans="1:2" x14ac:dyDescent="0.3">
      <c r="A1377">
        <v>3.22</v>
      </c>
      <c r="B1377">
        <v>1</v>
      </c>
    </row>
    <row r="1378" spans="1:2" x14ac:dyDescent="0.3">
      <c r="A1378">
        <v>3.22</v>
      </c>
      <c r="B1378">
        <v>1</v>
      </c>
    </row>
    <row r="1379" spans="1:2" x14ac:dyDescent="0.3">
      <c r="A1379">
        <v>3.21</v>
      </c>
      <c r="B1379">
        <v>1</v>
      </c>
    </row>
    <row r="1380" spans="1:2" x14ac:dyDescent="0.3">
      <c r="A1380">
        <v>3.2</v>
      </c>
      <c r="B1380">
        <v>1</v>
      </c>
    </row>
    <row r="1381" spans="1:2" x14ac:dyDescent="0.3">
      <c r="A1381">
        <v>3.2</v>
      </c>
      <c r="B1381">
        <v>1</v>
      </c>
    </row>
    <row r="1382" spans="1:2" x14ac:dyDescent="0.3">
      <c r="A1382">
        <v>3.2</v>
      </c>
      <c r="B1382">
        <v>1</v>
      </c>
    </row>
    <row r="1383" spans="1:2" x14ac:dyDescent="0.3">
      <c r="A1383">
        <v>3.19</v>
      </c>
      <c r="B1383">
        <v>1</v>
      </c>
    </row>
    <row r="1384" spans="1:2" x14ac:dyDescent="0.3">
      <c r="A1384">
        <v>3.19</v>
      </c>
      <c r="B1384">
        <v>1</v>
      </c>
    </row>
    <row r="1385" spans="1:2" x14ac:dyDescent="0.3">
      <c r="A1385">
        <v>3.19</v>
      </c>
      <c r="B1385">
        <v>1</v>
      </c>
    </row>
    <row r="1386" spans="1:2" x14ac:dyDescent="0.3">
      <c r="A1386">
        <v>3.18</v>
      </c>
      <c r="B1386">
        <v>1</v>
      </c>
    </row>
    <row r="1387" spans="1:2" x14ac:dyDescent="0.3">
      <c r="A1387">
        <v>3.18</v>
      </c>
      <c r="B1387">
        <v>1</v>
      </c>
    </row>
    <row r="1388" spans="1:2" x14ac:dyDescent="0.3">
      <c r="A1388">
        <v>3.17</v>
      </c>
      <c r="B1388">
        <v>1</v>
      </c>
    </row>
    <row r="1389" spans="1:2" x14ac:dyDescent="0.3">
      <c r="A1389">
        <v>3.17</v>
      </c>
      <c r="B1389">
        <v>1</v>
      </c>
    </row>
    <row r="1390" spans="1:2" x14ac:dyDescent="0.3">
      <c r="A1390">
        <v>3.17</v>
      </c>
      <c r="B1390">
        <v>1</v>
      </c>
    </row>
    <row r="1391" spans="1:2" x14ac:dyDescent="0.3">
      <c r="A1391">
        <v>3.17</v>
      </c>
      <c r="B1391">
        <v>1</v>
      </c>
    </row>
    <row r="1392" spans="1:2" x14ac:dyDescent="0.3">
      <c r="A1392">
        <v>3.16</v>
      </c>
      <c r="B1392">
        <v>1</v>
      </c>
    </row>
    <row r="1393" spans="1:2" x14ac:dyDescent="0.3">
      <c r="A1393">
        <v>3.16</v>
      </c>
      <c r="B1393">
        <v>1</v>
      </c>
    </row>
    <row r="1394" spans="1:2" x14ac:dyDescent="0.3">
      <c r="A1394">
        <v>3.16</v>
      </c>
      <c r="B1394">
        <v>1</v>
      </c>
    </row>
    <row r="1395" spans="1:2" x14ac:dyDescent="0.3">
      <c r="A1395">
        <v>3.16</v>
      </c>
      <c r="B1395">
        <v>1</v>
      </c>
    </row>
    <row r="1396" spans="1:2" x14ac:dyDescent="0.3">
      <c r="A1396">
        <v>3.16</v>
      </c>
      <c r="B1396">
        <v>1</v>
      </c>
    </row>
    <row r="1397" spans="1:2" x14ac:dyDescent="0.3">
      <c r="A1397">
        <v>3.15</v>
      </c>
      <c r="B1397">
        <v>1</v>
      </c>
    </row>
    <row r="1398" spans="1:2" x14ac:dyDescent="0.3">
      <c r="A1398">
        <v>3.15</v>
      </c>
      <c r="B1398">
        <v>1</v>
      </c>
    </row>
    <row r="1399" spans="1:2" x14ac:dyDescent="0.3">
      <c r="A1399">
        <v>3.15</v>
      </c>
      <c r="B1399">
        <v>1</v>
      </c>
    </row>
    <row r="1400" spans="1:2" x14ac:dyDescent="0.3">
      <c r="A1400">
        <v>3.15</v>
      </c>
      <c r="B1400">
        <v>1</v>
      </c>
    </row>
    <row r="1401" spans="1:2" x14ac:dyDescent="0.3">
      <c r="A1401">
        <v>3.14</v>
      </c>
      <c r="B1401">
        <v>1</v>
      </c>
    </row>
    <row r="1402" spans="1:2" x14ac:dyDescent="0.3">
      <c r="A1402">
        <v>3.13</v>
      </c>
      <c r="B1402">
        <v>1</v>
      </c>
    </row>
    <row r="1403" spans="1:2" x14ac:dyDescent="0.3">
      <c r="A1403">
        <v>3.13</v>
      </c>
      <c r="B1403">
        <v>1</v>
      </c>
    </row>
    <row r="1404" spans="1:2" x14ac:dyDescent="0.3">
      <c r="A1404">
        <v>3.12</v>
      </c>
      <c r="B1404">
        <v>1</v>
      </c>
    </row>
    <row r="1405" spans="1:2" x14ac:dyDescent="0.3">
      <c r="A1405">
        <v>3.11</v>
      </c>
      <c r="B1405">
        <v>1</v>
      </c>
    </row>
    <row r="1406" spans="1:2" x14ac:dyDescent="0.3">
      <c r="A1406">
        <v>3.1</v>
      </c>
      <c r="B1406">
        <v>1</v>
      </c>
    </row>
    <row r="1407" spans="1:2" x14ac:dyDescent="0.3">
      <c r="A1407">
        <v>3.1</v>
      </c>
      <c r="B1407">
        <v>1</v>
      </c>
    </row>
    <row r="1408" spans="1:2" x14ac:dyDescent="0.3">
      <c r="A1408">
        <v>3.09</v>
      </c>
      <c r="B1408">
        <v>1</v>
      </c>
    </row>
    <row r="1409" spans="1:2" x14ac:dyDescent="0.3">
      <c r="A1409">
        <v>3.09</v>
      </c>
      <c r="B1409">
        <v>1</v>
      </c>
    </row>
    <row r="1410" spans="1:2" x14ac:dyDescent="0.3">
      <c r="A1410">
        <v>3.09</v>
      </c>
      <c r="B1410">
        <v>1</v>
      </c>
    </row>
    <row r="1411" spans="1:2" x14ac:dyDescent="0.3">
      <c r="A1411">
        <v>3.08</v>
      </c>
      <c r="B1411">
        <v>1</v>
      </c>
    </row>
    <row r="1412" spans="1:2" x14ac:dyDescent="0.3">
      <c r="A1412">
        <v>3.08</v>
      </c>
      <c r="B1412">
        <v>1</v>
      </c>
    </row>
    <row r="1413" spans="1:2" x14ac:dyDescent="0.3">
      <c r="A1413">
        <v>3.07</v>
      </c>
      <c r="B1413">
        <v>1</v>
      </c>
    </row>
    <row r="1414" spans="1:2" x14ac:dyDescent="0.3">
      <c r="A1414">
        <v>3.07</v>
      </c>
      <c r="B1414">
        <v>1</v>
      </c>
    </row>
    <row r="1415" spans="1:2" x14ac:dyDescent="0.3">
      <c r="A1415">
        <v>3.07</v>
      </c>
      <c r="B1415">
        <v>1</v>
      </c>
    </row>
    <row r="1416" spans="1:2" x14ac:dyDescent="0.3">
      <c r="A1416">
        <v>3.05</v>
      </c>
      <c r="B1416">
        <v>1</v>
      </c>
    </row>
    <row r="1417" spans="1:2" x14ac:dyDescent="0.3">
      <c r="A1417">
        <v>3.05</v>
      </c>
      <c r="B1417">
        <v>1</v>
      </c>
    </row>
    <row r="1418" spans="1:2" x14ac:dyDescent="0.3">
      <c r="A1418">
        <v>3.04</v>
      </c>
      <c r="B1418">
        <v>1</v>
      </c>
    </row>
    <row r="1419" spans="1:2" x14ac:dyDescent="0.3">
      <c r="A1419">
        <v>3.04</v>
      </c>
      <c r="B1419">
        <v>1</v>
      </c>
    </row>
    <row r="1420" spans="1:2" x14ac:dyDescent="0.3">
      <c r="A1420">
        <v>3.04</v>
      </c>
      <c r="B1420">
        <v>1</v>
      </c>
    </row>
    <row r="1421" spans="1:2" x14ac:dyDescent="0.3">
      <c r="A1421">
        <v>3.03</v>
      </c>
      <c r="B1421">
        <v>1</v>
      </c>
    </row>
    <row r="1422" spans="1:2" x14ac:dyDescent="0.3">
      <c r="A1422">
        <v>3.03</v>
      </c>
      <c r="B1422">
        <v>1</v>
      </c>
    </row>
    <row r="1423" spans="1:2" x14ac:dyDescent="0.3">
      <c r="A1423">
        <v>3.03</v>
      </c>
      <c r="B1423">
        <v>1</v>
      </c>
    </row>
    <row r="1424" spans="1:2" x14ac:dyDescent="0.3">
      <c r="A1424">
        <v>3.02</v>
      </c>
      <c r="B1424">
        <v>1</v>
      </c>
    </row>
    <row r="1425" spans="1:2" x14ac:dyDescent="0.3">
      <c r="A1425">
        <v>3.01</v>
      </c>
      <c r="B1425">
        <v>1</v>
      </c>
    </row>
    <row r="1426" spans="1:2" x14ac:dyDescent="0.3">
      <c r="A1426">
        <v>3</v>
      </c>
      <c r="B1426">
        <v>1</v>
      </c>
    </row>
    <row r="1427" spans="1:2" x14ac:dyDescent="0.3">
      <c r="A1427">
        <v>3</v>
      </c>
      <c r="B1427">
        <v>1</v>
      </c>
    </row>
    <row r="1428" spans="1:2" x14ac:dyDescent="0.3">
      <c r="A1428">
        <v>3</v>
      </c>
      <c r="B1428">
        <v>1</v>
      </c>
    </row>
    <row r="1429" spans="1:2" x14ac:dyDescent="0.3">
      <c r="A1429">
        <v>2.99</v>
      </c>
      <c r="B1429">
        <v>1</v>
      </c>
    </row>
    <row r="1430" spans="1:2" x14ac:dyDescent="0.3">
      <c r="A1430">
        <v>2.99</v>
      </c>
      <c r="B1430">
        <v>1</v>
      </c>
    </row>
    <row r="1431" spans="1:2" x14ac:dyDescent="0.3">
      <c r="A1431">
        <v>2.99</v>
      </c>
      <c r="B1431">
        <v>1</v>
      </c>
    </row>
    <row r="1432" spans="1:2" x14ac:dyDescent="0.3">
      <c r="A1432">
        <v>2.98</v>
      </c>
      <c r="B1432">
        <v>1</v>
      </c>
    </row>
    <row r="1433" spans="1:2" x14ac:dyDescent="0.3">
      <c r="A1433">
        <v>2.98</v>
      </c>
      <c r="B1433">
        <v>1</v>
      </c>
    </row>
    <row r="1434" spans="1:2" x14ac:dyDescent="0.3">
      <c r="A1434">
        <v>2.97</v>
      </c>
      <c r="B1434">
        <v>1</v>
      </c>
    </row>
    <row r="1435" spans="1:2" x14ac:dyDescent="0.3">
      <c r="A1435">
        <v>2.97</v>
      </c>
      <c r="B1435">
        <v>1</v>
      </c>
    </row>
    <row r="1436" spans="1:2" x14ac:dyDescent="0.3">
      <c r="A1436">
        <v>2.96</v>
      </c>
      <c r="B1436">
        <v>1</v>
      </c>
    </row>
    <row r="1437" spans="1:2" x14ac:dyDescent="0.3">
      <c r="A1437">
        <v>2.96</v>
      </c>
      <c r="B1437">
        <v>1</v>
      </c>
    </row>
    <row r="1438" spans="1:2" x14ac:dyDescent="0.3">
      <c r="A1438">
        <v>2.95</v>
      </c>
      <c r="B1438">
        <v>1</v>
      </c>
    </row>
    <row r="1439" spans="1:2" x14ac:dyDescent="0.3">
      <c r="A1439">
        <v>2.95</v>
      </c>
      <c r="B1439">
        <v>1</v>
      </c>
    </row>
    <row r="1440" spans="1:2" x14ac:dyDescent="0.3">
      <c r="A1440">
        <v>2.94</v>
      </c>
      <c r="B1440">
        <v>1</v>
      </c>
    </row>
    <row r="1441" spans="1:2" x14ac:dyDescent="0.3">
      <c r="A1441">
        <v>2.94</v>
      </c>
      <c r="B1441">
        <v>1</v>
      </c>
    </row>
    <row r="1442" spans="1:2" x14ac:dyDescent="0.3">
      <c r="A1442">
        <v>2.94</v>
      </c>
      <c r="B1442">
        <v>1</v>
      </c>
    </row>
    <row r="1443" spans="1:2" x14ac:dyDescent="0.3">
      <c r="A1443">
        <v>2.93</v>
      </c>
      <c r="B1443">
        <v>1</v>
      </c>
    </row>
    <row r="1444" spans="1:2" x14ac:dyDescent="0.3">
      <c r="A1444">
        <v>2.93</v>
      </c>
      <c r="B1444">
        <v>1</v>
      </c>
    </row>
    <row r="1445" spans="1:2" x14ac:dyDescent="0.3">
      <c r="A1445">
        <v>2.93</v>
      </c>
      <c r="B1445">
        <v>1</v>
      </c>
    </row>
    <row r="1446" spans="1:2" x14ac:dyDescent="0.3">
      <c r="A1446">
        <v>2.93</v>
      </c>
      <c r="B1446">
        <v>1</v>
      </c>
    </row>
    <row r="1447" spans="1:2" x14ac:dyDescent="0.3">
      <c r="A1447">
        <v>2.92</v>
      </c>
      <c r="B1447">
        <v>1</v>
      </c>
    </row>
    <row r="1448" spans="1:2" x14ac:dyDescent="0.3">
      <c r="A1448">
        <v>2.91</v>
      </c>
      <c r="B1448">
        <v>1</v>
      </c>
    </row>
    <row r="1449" spans="1:2" x14ac:dyDescent="0.3">
      <c r="A1449">
        <v>2.91</v>
      </c>
      <c r="B1449">
        <v>1</v>
      </c>
    </row>
    <row r="1450" spans="1:2" x14ac:dyDescent="0.3">
      <c r="A1450">
        <v>2.9</v>
      </c>
      <c r="B1450">
        <v>1</v>
      </c>
    </row>
    <row r="1451" spans="1:2" x14ac:dyDescent="0.3">
      <c r="A1451">
        <v>2.9</v>
      </c>
      <c r="B1451">
        <v>1</v>
      </c>
    </row>
    <row r="1452" spans="1:2" x14ac:dyDescent="0.3">
      <c r="A1452">
        <v>2.89</v>
      </c>
      <c r="B1452">
        <v>1</v>
      </c>
    </row>
    <row r="1453" spans="1:2" x14ac:dyDescent="0.3">
      <c r="A1453">
        <v>2.88</v>
      </c>
      <c r="B1453">
        <v>1</v>
      </c>
    </row>
    <row r="1454" spans="1:2" x14ac:dyDescent="0.3">
      <c r="A1454">
        <v>2.88</v>
      </c>
      <c r="B1454">
        <v>1</v>
      </c>
    </row>
    <row r="1455" spans="1:2" x14ac:dyDescent="0.3">
      <c r="A1455">
        <v>2.87</v>
      </c>
      <c r="B1455">
        <v>1</v>
      </c>
    </row>
    <row r="1456" spans="1:2" x14ac:dyDescent="0.3">
      <c r="A1456">
        <v>2.87</v>
      </c>
      <c r="B1456">
        <v>1</v>
      </c>
    </row>
    <row r="1457" spans="1:2" x14ac:dyDescent="0.3">
      <c r="A1457">
        <v>2.87</v>
      </c>
      <c r="B1457">
        <v>1</v>
      </c>
    </row>
    <row r="1458" spans="1:2" x14ac:dyDescent="0.3">
      <c r="A1458">
        <v>2.86</v>
      </c>
      <c r="B1458">
        <v>1</v>
      </c>
    </row>
    <row r="1459" spans="1:2" x14ac:dyDescent="0.3">
      <c r="A1459">
        <v>2.86</v>
      </c>
      <c r="B1459">
        <v>1</v>
      </c>
    </row>
    <row r="1460" spans="1:2" x14ac:dyDescent="0.3">
      <c r="A1460">
        <v>2.85</v>
      </c>
      <c r="B1460">
        <v>1</v>
      </c>
    </row>
    <row r="1461" spans="1:2" x14ac:dyDescent="0.3">
      <c r="A1461">
        <v>2.84</v>
      </c>
      <c r="B1461">
        <v>1</v>
      </c>
    </row>
    <row r="1462" spans="1:2" x14ac:dyDescent="0.3">
      <c r="A1462">
        <v>2.84</v>
      </c>
      <c r="B1462">
        <v>1</v>
      </c>
    </row>
    <row r="1463" spans="1:2" x14ac:dyDescent="0.3">
      <c r="A1463">
        <v>2.84</v>
      </c>
      <c r="B1463">
        <v>1</v>
      </c>
    </row>
    <row r="1464" spans="1:2" x14ac:dyDescent="0.3">
      <c r="A1464">
        <v>2.84</v>
      </c>
      <c r="B1464">
        <v>1</v>
      </c>
    </row>
    <row r="1465" spans="1:2" x14ac:dyDescent="0.3">
      <c r="A1465">
        <v>2.83</v>
      </c>
      <c r="B1465">
        <v>1</v>
      </c>
    </row>
    <row r="1466" spans="1:2" x14ac:dyDescent="0.3">
      <c r="A1466">
        <v>2.83</v>
      </c>
      <c r="B1466">
        <v>1</v>
      </c>
    </row>
    <row r="1467" spans="1:2" x14ac:dyDescent="0.3">
      <c r="A1467">
        <v>2.83</v>
      </c>
      <c r="B1467">
        <v>1</v>
      </c>
    </row>
    <row r="1468" spans="1:2" x14ac:dyDescent="0.3">
      <c r="A1468">
        <v>2.83</v>
      </c>
      <c r="B1468">
        <v>1</v>
      </c>
    </row>
    <row r="1469" spans="1:2" x14ac:dyDescent="0.3">
      <c r="A1469">
        <v>2.82</v>
      </c>
      <c r="B1469">
        <v>1</v>
      </c>
    </row>
    <row r="1470" spans="1:2" x14ac:dyDescent="0.3">
      <c r="A1470">
        <v>2.82</v>
      </c>
      <c r="B1470">
        <v>1</v>
      </c>
    </row>
    <row r="1471" spans="1:2" x14ac:dyDescent="0.3">
      <c r="A1471">
        <v>2.8</v>
      </c>
      <c r="B1471">
        <v>1</v>
      </c>
    </row>
    <row r="1472" spans="1:2" x14ac:dyDescent="0.3">
      <c r="A1472">
        <v>2.8</v>
      </c>
      <c r="B1472">
        <v>1</v>
      </c>
    </row>
    <row r="1473" spans="1:2" x14ac:dyDescent="0.3">
      <c r="A1473">
        <v>2.8</v>
      </c>
      <c r="B1473">
        <v>1</v>
      </c>
    </row>
    <row r="1474" spans="1:2" x14ac:dyDescent="0.3">
      <c r="A1474">
        <v>2.79</v>
      </c>
      <c r="B1474">
        <v>1</v>
      </c>
    </row>
    <row r="1475" spans="1:2" x14ac:dyDescent="0.3">
      <c r="A1475">
        <v>2.78</v>
      </c>
      <c r="B1475">
        <v>1</v>
      </c>
    </row>
    <row r="1476" spans="1:2" x14ac:dyDescent="0.3">
      <c r="A1476">
        <v>2.78</v>
      </c>
      <c r="B1476">
        <v>1</v>
      </c>
    </row>
    <row r="1477" spans="1:2" x14ac:dyDescent="0.3">
      <c r="A1477">
        <v>2.77</v>
      </c>
      <c r="B1477">
        <v>1</v>
      </c>
    </row>
    <row r="1478" spans="1:2" x14ac:dyDescent="0.3">
      <c r="A1478">
        <v>2.77</v>
      </c>
      <c r="B1478">
        <v>1</v>
      </c>
    </row>
    <row r="1479" spans="1:2" x14ac:dyDescent="0.3">
      <c r="A1479">
        <v>2.77</v>
      </c>
      <c r="B1479">
        <v>1</v>
      </c>
    </row>
    <row r="1480" spans="1:2" x14ac:dyDescent="0.3">
      <c r="A1480">
        <v>2.76</v>
      </c>
      <c r="B1480">
        <v>1</v>
      </c>
    </row>
    <row r="1481" spans="1:2" x14ac:dyDescent="0.3">
      <c r="A1481">
        <v>2.76</v>
      </c>
      <c r="B1481">
        <v>1</v>
      </c>
    </row>
    <row r="1482" spans="1:2" x14ac:dyDescent="0.3">
      <c r="A1482">
        <v>2.76</v>
      </c>
      <c r="B1482">
        <v>1</v>
      </c>
    </row>
    <row r="1483" spans="1:2" x14ac:dyDescent="0.3">
      <c r="A1483">
        <v>2.75</v>
      </c>
      <c r="B1483">
        <v>1</v>
      </c>
    </row>
    <row r="1484" spans="1:2" x14ac:dyDescent="0.3">
      <c r="A1484">
        <v>2.75</v>
      </c>
      <c r="B1484">
        <v>1</v>
      </c>
    </row>
    <row r="1485" spans="1:2" x14ac:dyDescent="0.3">
      <c r="A1485">
        <v>2.75</v>
      </c>
      <c r="B1485">
        <v>1</v>
      </c>
    </row>
    <row r="1486" spans="1:2" x14ac:dyDescent="0.3">
      <c r="A1486">
        <v>2.75</v>
      </c>
      <c r="B1486">
        <v>1</v>
      </c>
    </row>
    <row r="1487" spans="1:2" x14ac:dyDescent="0.3">
      <c r="A1487">
        <v>2.75</v>
      </c>
      <c r="B1487">
        <v>1</v>
      </c>
    </row>
    <row r="1488" spans="1:2" x14ac:dyDescent="0.3">
      <c r="A1488">
        <v>2.75</v>
      </c>
      <c r="B1488">
        <v>1</v>
      </c>
    </row>
    <row r="1489" spans="1:2" x14ac:dyDescent="0.3">
      <c r="A1489">
        <v>2.74</v>
      </c>
      <c r="B1489">
        <v>1</v>
      </c>
    </row>
    <row r="1490" spans="1:2" x14ac:dyDescent="0.3">
      <c r="A1490">
        <v>2.74</v>
      </c>
      <c r="B1490">
        <v>1</v>
      </c>
    </row>
    <row r="1491" spans="1:2" x14ac:dyDescent="0.3">
      <c r="A1491">
        <v>2.74</v>
      </c>
      <c r="B1491">
        <v>1</v>
      </c>
    </row>
    <row r="1492" spans="1:2" x14ac:dyDescent="0.3">
      <c r="A1492">
        <v>2.74</v>
      </c>
      <c r="B1492">
        <v>1</v>
      </c>
    </row>
    <row r="1493" spans="1:2" x14ac:dyDescent="0.3">
      <c r="A1493">
        <v>2.74</v>
      </c>
      <c r="B1493">
        <v>1</v>
      </c>
    </row>
    <row r="1494" spans="1:2" x14ac:dyDescent="0.3">
      <c r="A1494">
        <v>2.74</v>
      </c>
      <c r="B1494">
        <v>1</v>
      </c>
    </row>
    <row r="1495" spans="1:2" x14ac:dyDescent="0.3">
      <c r="A1495">
        <v>2.73</v>
      </c>
      <c r="B1495">
        <v>1</v>
      </c>
    </row>
    <row r="1496" spans="1:2" x14ac:dyDescent="0.3">
      <c r="A1496">
        <v>2.73</v>
      </c>
      <c r="B1496">
        <v>1</v>
      </c>
    </row>
    <row r="1497" spans="1:2" x14ac:dyDescent="0.3">
      <c r="A1497">
        <v>2.73</v>
      </c>
      <c r="B1497">
        <v>1</v>
      </c>
    </row>
    <row r="1498" spans="1:2" x14ac:dyDescent="0.3">
      <c r="A1498">
        <v>2.73</v>
      </c>
      <c r="B1498">
        <v>1</v>
      </c>
    </row>
    <row r="1499" spans="1:2" x14ac:dyDescent="0.3">
      <c r="A1499">
        <v>2.72</v>
      </c>
      <c r="B1499">
        <v>1</v>
      </c>
    </row>
    <row r="1500" spans="1:2" x14ac:dyDescent="0.3">
      <c r="A1500">
        <v>2.72</v>
      </c>
      <c r="B1500">
        <v>1</v>
      </c>
    </row>
    <row r="1501" spans="1:2" x14ac:dyDescent="0.3">
      <c r="A1501">
        <v>2.72</v>
      </c>
      <c r="B1501">
        <v>1</v>
      </c>
    </row>
    <row r="1502" spans="1:2" x14ac:dyDescent="0.3">
      <c r="A1502">
        <v>2.72</v>
      </c>
      <c r="B1502">
        <v>1</v>
      </c>
    </row>
    <row r="1503" spans="1:2" x14ac:dyDescent="0.3">
      <c r="A1503">
        <v>2.71</v>
      </c>
      <c r="B1503">
        <v>1</v>
      </c>
    </row>
    <row r="1504" spans="1:2" x14ac:dyDescent="0.3">
      <c r="A1504">
        <v>2.71</v>
      </c>
      <c r="B1504">
        <v>1</v>
      </c>
    </row>
    <row r="1505" spans="1:2" x14ac:dyDescent="0.3">
      <c r="A1505">
        <v>2.71</v>
      </c>
      <c r="B1505">
        <v>1</v>
      </c>
    </row>
    <row r="1506" spans="1:2" x14ac:dyDescent="0.3">
      <c r="A1506">
        <v>2.7</v>
      </c>
      <c r="B1506">
        <v>1</v>
      </c>
    </row>
    <row r="1507" spans="1:2" x14ac:dyDescent="0.3">
      <c r="A1507">
        <v>2.7</v>
      </c>
      <c r="B1507">
        <v>1</v>
      </c>
    </row>
    <row r="1508" spans="1:2" x14ac:dyDescent="0.3">
      <c r="A1508">
        <v>2.7</v>
      </c>
      <c r="B1508">
        <v>1</v>
      </c>
    </row>
    <row r="1509" spans="1:2" x14ac:dyDescent="0.3">
      <c r="A1509">
        <v>2.7</v>
      </c>
      <c r="B1509">
        <v>1</v>
      </c>
    </row>
    <row r="1510" spans="1:2" x14ac:dyDescent="0.3">
      <c r="A1510">
        <v>2.69</v>
      </c>
      <c r="B1510">
        <v>1</v>
      </c>
    </row>
    <row r="1511" spans="1:2" x14ac:dyDescent="0.3">
      <c r="A1511">
        <v>2.68</v>
      </c>
      <c r="B1511">
        <v>1</v>
      </c>
    </row>
    <row r="1512" spans="1:2" x14ac:dyDescent="0.3">
      <c r="A1512">
        <v>2.67</v>
      </c>
      <c r="B1512">
        <v>1</v>
      </c>
    </row>
    <row r="1513" spans="1:2" x14ac:dyDescent="0.3">
      <c r="A1513">
        <v>2.67</v>
      </c>
      <c r="B1513">
        <v>1</v>
      </c>
    </row>
    <row r="1514" spans="1:2" x14ac:dyDescent="0.3">
      <c r="A1514">
        <v>2.67</v>
      </c>
      <c r="B1514">
        <v>1</v>
      </c>
    </row>
    <row r="1515" spans="1:2" x14ac:dyDescent="0.3">
      <c r="A1515">
        <v>2.67</v>
      </c>
      <c r="B1515">
        <v>1</v>
      </c>
    </row>
    <row r="1516" spans="1:2" x14ac:dyDescent="0.3">
      <c r="A1516">
        <v>2.66</v>
      </c>
      <c r="B1516">
        <v>1</v>
      </c>
    </row>
    <row r="1517" spans="1:2" x14ac:dyDescent="0.3">
      <c r="A1517">
        <v>2.66</v>
      </c>
      <c r="B1517">
        <v>1</v>
      </c>
    </row>
    <row r="1518" spans="1:2" x14ac:dyDescent="0.3">
      <c r="A1518">
        <v>2.65</v>
      </c>
      <c r="B1518">
        <v>1</v>
      </c>
    </row>
    <row r="1519" spans="1:2" x14ac:dyDescent="0.3">
      <c r="A1519">
        <v>2.65</v>
      </c>
      <c r="B1519">
        <v>1</v>
      </c>
    </row>
    <row r="1520" spans="1:2" x14ac:dyDescent="0.3">
      <c r="A1520">
        <v>2.64</v>
      </c>
      <c r="B1520">
        <v>1</v>
      </c>
    </row>
    <row r="1521" spans="1:2" x14ac:dyDescent="0.3">
      <c r="A1521">
        <v>2.64</v>
      </c>
      <c r="B1521">
        <v>1</v>
      </c>
    </row>
    <row r="1522" spans="1:2" x14ac:dyDescent="0.3">
      <c r="A1522">
        <v>2.64</v>
      </c>
      <c r="B1522">
        <v>1</v>
      </c>
    </row>
    <row r="1523" spans="1:2" x14ac:dyDescent="0.3">
      <c r="A1523">
        <v>2.64</v>
      </c>
      <c r="B1523">
        <v>1</v>
      </c>
    </row>
    <row r="1524" spans="1:2" x14ac:dyDescent="0.3">
      <c r="A1524">
        <v>2.63</v>
      </c>
      <c r="B1524">
        <v>1</v>
      </c>
    </row>
    <row r="1525" spans="1:2" x14ac:dyDescent="0.3">
      <c r="A1525">
        <v>2.63</v>
      </c>
      <c r="B1525">
        <v>1</v>
      </c>
    </row>
    <row r="1526" spans="1:2" x14ac:dyDescent="0.3">
      <c r="A1526">
        <v>2.63</v>
      </c>
      <c r="B1526">
        <v>1</v>
      </c>
    </row>
    <row r="1527" spans="1:2" x14ac:dyDescent="0.3">
      <c r="A1527">
        <v>2.63</v>
      </c>
      <c r="B1527">
        <v>1</v>
      </c>
    </row>
    <row r="1528" spans="1:2" x14ac:dyDescent="0.3">
      <c r="A1528">
        <v>2.62</v>
      </c>
      <c r="B1528">
        <v>1</v>
      </c>
    </row>
    <row r="1529" spans="1:2" x14ac:dyDescent="0.3">
      <c r="A1529">
        <v>2.62</v>
      </c>
      <c r="B1529">
        <v>1</v>
      </c>
    </row>
    <row r="1530" spans="1:2" x14ac:dyDescent="0.3">
      <c r="A1530">
        <v>2.61</v>
      </c>
      <c r="B1530">
        <v>1</v>
      </c>
    </row>
    <row r="1531" spans="1:2" x14ac:dyDescent="0.3">
      <c r="A1531">
        <v>2.6</v>
      </c>
      <c r="B1531">
        <v>1</v>
      </c>
    </row>
    <row r="1532" spans="1:2" x14ac:dyDescent="0.3">
      <c r="A1532">
        <v>2.6</v>
      </c>
      <c r="B1532">
        <v>1</v>
      </c>
    </row>
    <row r="1533" spans="1:2" x14ac:dyDescent="0.3">
      <c r="A1533">
        <v>2.6</v>
      </c>
      <c r="B1533">
        <v>1</v>
      </c>
    </row>
    <row r="1534" spans="1:2" x14ac:dyDescent="0.3">
      <c r="A1534">
        <v>2.6</v>
      </c>
      <c r="B1534">
        <v>1</v>
      </c>
    </row>
    <row r="1535" spans="1:2" x14ac:dyDescent="0.3">
      <c r="A1535">
        <v>2.6</v>
      </c>
      <c r="B1535">
        <v>1</v>
      </c>
    </row>
    <row r="1536" spans="1:2" x14ac:dyDescent="0.3">
      <c r="A1536">
        <v>2.59</v>
      </c>
      <c r="B1536">
        <v>1</v>
      </c>
    </row>
    <row r="1537" spans="1:2" x14ac:dyDescent="0.3">
      <c r="A1537">
        <v>2.59</v>
      </c>
      <c r="B1537">
        <v>1</v>
      </c>
    </row>
    <row r="1538" spans="1:2" x14ac:dyDescent="0.3">
      <c r="A1538">
        <v>2.58</v>
      </c>
      <c r="B1538">
        <v>1</v>
      </c>
    </row>
    <row r="1539" spans="1:2" x14ac:dyDescent="0.3">
      <c r="A1539">
        <v>2.58</v>
      </c>
      <c r="B1539">
        <v>1</v>
      </c>
    </row>
    <row r="1540" spans="1:2" x14ac:dyDescent="0.3">
      <c r="A1540">
        <v>2.58</v>
      </c>
      <c r="B1540">
        <v>1</v>
      </c>
    </row>
    <row r="1541" spans="1:2" x14ac:dyDescent="0.3">
      <c r="A1541">
        <v>2.57</v>
      </c>
      <c r="B1541">
        <v>1</v>
      </c>
    </row>
    <row r="1542" spans="1:2" x14ac:dyDescent="0.3">
      <c r="A1542">
        <v>2.56</v>
      </c>
      <c r="B1542">
        <v>1</v>
      </c>
    </row>
    <row r="1543" spans="1:2" x14ac:dyDescent="0.3">
      <c r="A1543">
        <v>2.56</v>
      </c>
      <c r="B1543">
        <v>1</v>
      </c>
    </row>
    <row r="1544" spans="1:2" x14ac:dyDescent="0.3">
      <c r="A1544">
        <v>2.56</v>
      </c>
      <c r="B1544">
        <v>1</v>
      </c>
    </row>
    <row r="1545" spans="1:2" x14ac:dyDescent="0.3">
      <c r="A1545">
        <v>2.56</v>
      </c>
      <c r="B1545">
        <v>1</v>
      </c>
    </row>
    <row r="1546" spans="1:2" x14ac:dyDescent="0.3">
      <c r="A1546">
        <v>2.56</v>
      </c>
      <c r="B1546">
        <v>1</v>
      </c>
    </row>
    <row r="1547" spans="1:2" x14ac:dyDescent="0.3">
      <c r="A1547">
        <v>2.5499999999999998</v>
      </c>
      <c r="B1547">
        <v>1</v>
      </c>
    </row>
    <row r="1548" spans="1:2" x14ac:dyDescent="0.3">
      <c r="A1548">
        <v>2.5499999999999998</v>
      </c>
      <c r="B1548">
        <v>1</v>
      </c>
    </row>
    <row r="1549" spans="1:2" x14ac:dyDescent="0.3">
      <c r="A1549">
        <v>2.5499999999999998</v>
      </c>
      <c r="B1549">
        <v>1</v>
      </c>
    </row>
    <row r="1550" spans="1:2" x14ac:dyDescent="0.3">
      <c r="A1550">
        <v>2.5499999999999998</v>
      </c>
      <c r="B1550">
        <v>1</v>
      </c>
    </row>
    <row r="1551" spans="1:2" x14ac:dyDescent="0.3">
      <c r="A1551">
        <v>2.54</v>
      </c>
      <c r="B1551">
        <v>1</v>
      </c>
    </row>
    <row r="1552" spans="1:2" x14ac:dyDescent="0.3">
      <c r="A1552">
        <v>2.54</v>
      </c>
      <c r="B1552">
        <v>1</v>
      </c>
    </row>
    <row r="1553" spans="1:2" x14ac:dyDescent="0.3">
      <c r="A1553">
        <v>2.54</v>
      </c>
      <c r="B1553">
        <v>1</v>
      </c>
    </row>
    <row r="1554" spans="1:2" x14ac:dyDescent="0.3">
      <c r="A1554">
        <v>2.54</v>
      </c>
      <c r="B1554">
        <v>1</v>
      </c>
    </row>
    <row r="1555" spans="1:2" x14ac:dyDescent="0.3">
      <c r="A1555">
        <v>2.5299999999999998</v>
      </c>
      <c r="B1555">
        <v>1</v>
      </c>
    </row>
    <row r="1556" spans="1:2" x14ac:dyDescent="0.3">
      <c r="A1556">
        <v>2.52</v>
      </c>
      <c r="B1556">
        <v>1</v>
      </c>
    </row>
    <row r="1557" spans="1:2" x14ac:dyDescent="0.3">
      <c r="A1557">
        <v>2.5099999999999998</v>
      </c>
      <c r="B1557">
        <v>1</v>
      </c>
    </row>
    <row r="1558" spans="1:2" x14ac:dyDescent="0.3">
      <c r="A1558">
        <v>2.5099999999999998</v>
      </c>
      <c r="B1558">
        <v>1</v>
      </c>
    </row>
    <row r="1559" spans="1:2" x14ac:dyDescent="0.3">
      <c r="A1559">
        <v>2.5099999999999998</v>
      </c>
      <c r="B1559">
        <v>1</v>
      </c>
    </row>
    <row r="1560" spans="1:2" x14ac:dyDescent="0.3">
      <c r="A1560">
        <v>2.5099999999999998</v>
      </c>
      <c r="B1560">
        <v>1</v>
      </c>
    </row>
    <row r="1561" spans="1:2" x14ac:dyDescent="0.3">
      <c r="A1561">
        <v>2.5099999999999998</v>
      </c>
      <c r="B1561">
        <v>1</v>
      </c>
    </row>
    <row r="1562" spans="1:2" x14ac:dyDescent="0.3">
      <c r="A1562">
        <v>2.5</v>
      </c>
      <c r="B1562">
        <v>1</v>
      </c>
    </row>
    <row r="1563" spans="1:2" x14ac:dyDescent="0.3">
      <c r="A1563">
        <v>2.4900000000000002</v>
      </c>
      <c r="B1563">
        <v>1</v>
      </c>
    </row>
    <row r="1564" spans="1:2" x14ac:dyDescent="0.3">
      <c r="A1564">
        <v>2.4900000000000002</v>
      </c>
      <c r="B1564">
        <v>1</v>
      </c>
    </row>
    <row r="1565" spans="1:2" x14ac:dyDescent="0.3">
      <c r="A1565">
        <v>2.4900000000000002</v>
      </c>
      <c r="B1565">
        <v>1</v>
      </c>
    </row>
    <row r="1566" spans="1:2" x14ac:dyDescent="0.3">
      <c r="A1566">
        <v>2.48</v>
      </c>
      <c r="B1566">
        <v>1</v>
      </c>
    </row>
    <row r="1567" spans="1:2" x14ac:dyDescent="0.3">
      <c r="A1567">
        <v>2.48</v>
      </c>
      <c r="B1567">
        <v>1</v>
      </c>
    </row>
    <row r="1568" spans="1:2" x14ac:dyDescent="0.3">
      <c r="A1568">
        <v>2.48</v>
      </c>
      <c r="B1568">
        <v>1</v>
      </c>
    </row>
    <row r="1569" spans="1:2" x14ac:dyDescent="0.3">
      <c r="A1569">
        <v>2.48</v>
      </c>
      <c r="B1569">
        <v>1</v>
      </c>
    </row>
    <row r="1570" spans="1:2" x14ac:dyDescent="0.3">
      <c r="A1570">
        <v>2.48</v>
      </c>
      <c r="B1570">
        <v>1</v>
      </c>
    </row>
    <row r="1571" spans="1:2" x14ac:dyDescent="0.3">
      <c r="A1571">
        <v>2.4700000000000002</v>
      </c>
      <c r="B1571">
        <v>1</v>
      </c>
    </row>
    <row r="1572" spans="1:2" x14ac:dyDescent="0.3">
      <c r="A1572">
        <v>2.4700000000000002</v>
      </c>
      <c r="B1572">
        <v>1</v>
      </c>
    </row>
    <row r="1573" spans="1:2" x14ac:dyDescent="0.3">
      <c r="A1573">
        <v>2.46</v>
      </c>
      <c r="B1573">
        <v>1</v>
      </c>
    </row>
    <row r="1574" spans="1:2" x14ac:dyDescent="0.3">
      <c r="A1574">
        <v>2.46</v>
      </c>
      <c r="B1574">
        <v>1</v>
      </c>
    </row>
    <row r="1575" spans="1:2" x14ac:dyDescent="0.3">
      <c r="A1575">
        <v>2.46</v>
      </c>
      <c r="B1575">
        <v>1</v>
      </c>
    </row>
    <row r="1576" spans="1:2" x14ac:dyDescent="0.3">
      <c r="A1576">
        <v>2.46</v>
      </c>
      <c r="B1576">
        <v>1</v>
      </c>
    </row>
    <row r="1577" spans="1:2" x14ac:dyDescent="0.3">
      <c r="A1577">
        <v>2.46</v>
      </c>
      <c r="B1577">
        <v>1</v>
      </c>
    </row>
    <row r="1578" spans="1:2" x14ac:dyDescent="0.3">
      <c r="A1578">
        <v>2.4500000000000002</v>
      </c>
      <c r="B1578">
        <v>1</v>
      </c>
    </row>
    <row r="1579" spans="1:2" x14ac:dyDescent="0.3">
      <c r="A1579">
        <v>2.4500000000000002</v>
      </c>
      <c r="B1579">
        <v>1</v>
      </c>
    </row>
    <row r="1580" spans="1:2" x14ac:dyDescent="0.3">
      <c r="A1580">
        <v>2.4500000000000002</v>
      </c>
      <c r="B1580">
        <v>1</v>
      </c>
    </row>
    <row r="1581" spans="1:2" x14ac:dyDescent="0.3">
      <c r="A1581">
        <v>2.4300000000000002</v>
      </c>
      <c r="B1581">
        <v>1</v>
      </c>
    </row>
    <row r="1582" spans="1:2" x14ac:dyDescent="0.3">
      <c r="A1582">
        <v>2.4300000000000002</v>
      </c>
      <c r="B1582">
        <v>1</v>
      </c>
    </row>
    <row r="1583" spans="1:2" x14ac:dyDescent="0.3">
      <c r="A1583">
        <v>2.4300000000000002</v>
      </c>
      <c r="B1583">
        <v>1</v>
      </c>
    </row>
    <row r="1584" spans="1:2" x14ac:dyDescent="0.3">
      <c r="A1584">
        <v>2.42</v>
      </c>
      <c r="B1584">
        <v>1</v>
      </c>
    </row>
    <row r="1585" spans="1:2" x14ac:dyDescent="0.3">
      <c r="A1585">
        <v>2.42</v>
      </c>
      <c r="B1585">
        <v>1</v>
      </c>
    </row>
    <row r="1586" spans="1:2" x14ac:dyDescent="0.3">
      <c r="A1586">
        <v>2.42</v>
      </c>
      <c r="B1586">
        <v>1</v>
      </c>
    </row>
    <row r="1587" spans="1:2" x14ac:dyDescent="0.3">
      <c r="A1587">
        <v>2.41</v>
      </c>
      <c r="B1587">
        <v>1</v>
      </c>
    </row>
    <row r="1588" spans="1:2" x14ac:dyDescent="0.3">
      <c r="A1588">
        <v>2.41</v>
      </c>
      <c r="B1588">
        <v>1</v>
      </c>
    </row>
    <row r="1589" spans="1:2" x14ac:dyDescent="0.3">
      <c r="A1589">
        <v>2.41</v>
      </c>
      <c r="B1589">
        <v>1</v>
      </c>
    </row>
    <row r="1590" spans="1:2" x14ac:dyDescent="0.3">
      <c r="A1590">
        <v>2.41</v>
      </c>
      <c r="B1590">
        <v>1</v>
      </c>
    </row>
    <row r="1591" spans="1:2" x14ac:dyDescent="0.3">
      <c r="A1591">
        <v>2.4</v>
      </c>
      <c r="B1591">
        <v>1</v>
      </c>
    </row>
    <row r="1592" spans="1:2" x14ac:dyDescent="0.3">
      <c r="A1592">
        <v>2.4</v>
      </c>
      <c r="B1592">
        <v>1</v>
      </c>
    </row>
    <row r="1593" spans="1:2" x14ac:dyDescent="0.3">
      <c r="A1593">
        <v>2.4</v>
      </c>
      <c r="B1593">
        <v>1</v>
      </c>
    </row>
    <row r="1594" spans="1:2" x14ac:dyDescent="0.3">
      <c r="A1594">
        <v>2.39</v>
      </c>
      <c r="B1594">
        <v>1</v>
      </c>
    </row>
    <row r="1595" spans="1:2" x14ac:dyDescent="0.3">
      <c r="A1595">
        <v>2.39</v>
      </c>
      <c r="B1595">
        <v>1</v>
      </c>
    </row>
    <row r="1596" spans="1:2" x14ac:dyDescent="0.3">
      <c r="A1596">
        <v>2.39</v>
      </c>
      <c r="B1596">
        <v>1</v>
      </c>
    </row>
    <row r="1597" spans="1:2" x14ac:dyDescent="0.3">
      <c r="A1597">
        <v>2.39</v>
      </c>
      <c r="B1597">
        <v>1</v>
      </c>
    </row>
    <row r="1598" spans="1:2" x14ac:dyDescent="0.3">
      <c r="A1598">
        <v>2.38</v>
      </c>
      <c r="B1598">
        <v>1</v>
      </c>
    </row>
    <row r="1599" spans="1:2" x14ac:dyDescent="0.3">
      <c r="A1599">
        <v>2.38</v>
      </c>
      <c r="B1599">
        <v>1</v>
      </c>
    </row>
    <row r="1600" spans="1:2" x14ac:dyDescent="0.3">
      <c r="A1600">
        <v>2.38</v>
      </c>
      <c r="B1600">
        <v>1</v>
      </c>
    </row>
    <row r="1601" spans="1:2" x14ac:dyDescent="0.3">
      <c r="A1601">
        <v>2.37</v>
      </c>
      <c r="B1601">
        <v>1</v>
      </c>
    </row>
    <row r="1602" spans="1:2" x14ac:dyDescent="0.3">
      <c r="A1602">
        <v>2.36</v>
      </c>
      <c r="B1602">
        <v>1</v>
      </c>
    </row>
    <row r="1603" spans="1:2" x14ac:dyDescent="0.3">
      <c r="A1603">
        <v>2.36</v>
      </c>
      <c r="B1603">
        <v>1</v>
      </c>
    </row>
    <row r="1604" spans="1:2" x14ac:dyDescent="0.3">
      <c r="A1604">
        <v>2.36</v>
      </c>
      <c r="B1604">
        <v>1</v>
      </c>
    </row>
    <row r="1605" spans="1:2" x14ac:dyDescent="0.3">
      <c r="A1605">
        <v>2.36</v>
      </c>
      <c r="B1605">
        <v>1</v>
      </c>
    </row>
    <row r="1606" spans="1:2" x14ac:dyDescent="0.3">
      <c r="A1606">
        <v>2.36</v>
      </c>
      <c r="B1606">
        <v>1</v>
      </c>
    </row>
    <row r="1607" spans="1:2" x14ac:dyDescent="0.3">
      <c r="A1607">
        <v>2.36</v>
      </c>
      <c r="B1607">
        <v>1</v>
      </c>
    </row>
    <row r="1608" spans="1:2" x14ac:dyDescent="0.3">
      <c r="A1608">
        <v>2.34</v>
      </c>
      <c r="B1608">
        <v>1</v>
      </c>
    </row>
    <row r="1609" spans="1:2" x14ac:dyDescent="0.3">
      <c r="A1609">
        <v>2.34</v>
      </c>
      <c r="B1609">
        <v>1</v>
      </c>
    </row>
    <row r="1610" spans="1:2" x14ac:dyDescent="0.3">
      <c r="A1610">
        <v>2.33</v>
      </c>
      <c r="B1610">
        <v>1</v>
      </c>
    </row>
    <row r="1611" spans="1:2" x14ac:dyDescent="0.3">
      <c r="A1611">
        <v>2.33</v>
      </c>
      <c r="B1611">
        <v>1</v>
      </c>
    </row>
    <row r="1612" spans="1:2" x14ac:dyDescent="0.3">
      <c r="A1612">
        <v>2.33</v>
      </c>
      <c r="B1612">
        <v>1</v>
      </c>
    </row>
    <row r="1613" spans="1:2" x14ac:dyDescent="0.3">
      <c r="A1613">
        <v>2.33</v>
      </c>
      <c r="B1613">
        <v>1</v>
      </c>
    </row>
    <row r="1614" spans="1:2" x14ac:dyDescent="0.3">
      <c r="A1614">
        <v>2.3199999999999998</v>
      </c>
      <c r="B1614">
        <v>1</v>
      </c>
    </row>
    <row r="1615" spans="1:2" x14ac:dyDescent="0.3">
      <c r="A1615">
        <v>2.3199999999999998</v>
      </c>
      <c r="B1615">
        <v>1</v>
      </c>
    </row>
    <row r="1616" spans="1:2" x14ac:dyDescent="0.3">
      <c r="A1616">
        <v>2.3199999999999998</v>
      </c>
      <c r="B1616">
        <v>1</v>
      </c>
    </row>
    <row r="1617" spans="1:2" x14ac:dyDescent="0.3">
      <c r="A1617">
        <v>2.3199999999999998</v>
      </c>
      <c r="B1617">
        <v>1</v>
      </c>
    </row>
    <row r="1618" spans="1:2" x14ac:dyDescent="0.3">
      <c r="A1618">
        <v>2.3199999999999998</v>
      </c>
      <c r="B1618">
        <v>1</v>
      </c>
    </row>
    <row r="1619" spans="1:2" x14ac:dyDescent="0.3">
      <c r="A1619">
        <v>2.31</v>
      </c>
      <c r="B1619">
        <v>1</v>
      </c>
    </row>
    <row r="1620" spans="1:2" x14ac:dyDescent="0.3">
      <c r="A1620">
        <v>2.31</v>
      </c>
      <c r="B1620">
        <v>1</v>
      </c>
    </row>
    <row r="1621" spans="1:2" x14ac:dyDescent="0.3">
      <c r="A1621">
        <v>2.31</v>
      </c>
      <c r="B1621">
        <v>1</v>
      </c>
    </row>
    <row r="1622" spans="1:2" x14ac:dyDescent="0.3">
      <c r="A1622">
        <v>2.31</v>
      </c>
      <c r="B1622">
        <v>1</v>
      </c>
    </row>
    <row r="1623" spans="1:2" x14ac:dyDescent="0.3">
      <c r="A1623">
        <v>2.2999999999999998</v>
      </c>
      <c r="B1623">
        <v>1</v>
      </c>
    </row>
    <row r="1624" spans="1:2" x14ac:dyDescent="0.3">
      <c r="A1624">
        <v>2.2999999999999998</v>
      </c>
      <c r="B1624">
        <v>1</v>
      </c>
    </row>
    <row r="1625" spans="1:2" x14ac:dyDescent="0.3">
      <c r="A1625">
        <v>2.2999999999999998</v>
      </c>
      <c r="B1625">
        <v>1</v>
      </c>
    </row>
    <row r="1626" spans="1:2" x14ac:dyDescent="0.3">
      <c r="A1626">
        <v>2.2999999999999998</v>
      </c>
      <c r="B1626">
        <v>1</v>
      </c>
    </row>
    <row r="1627" spans="1:2" x14ac:dyDescent="0.3">
      <c r="A1627">
        <v>2.2799999999999998</v>
      </c>
      <c r="B1627">
        <v>1</v>
      </c>
    </row>
    <row r="1628" spans="1:2" x14ac:dyDescent="0.3">
      <c r="A1628">
        <v>2.2599999999999998</v>
      </c>
      <c r="B1628">
        <v>1</v>
      </c>
    </row>
    <row r="1629" spans="1:2" x14ac:dyDescent="0.3">
      <c r="A1629">
        <v>2.2599999999999998</v>
      </c>
      <c r="B1629">
        <v>1</v>
      </c>
    </row>
    <row r="1630" spans="1:2" x14ac:dyDescent="0.3">
      <c r="A1630">
        <v>2.2599999999999998</v>
      </c>
      <c r="B1630">
        <v>1</v>
      </c>
    </row>
    <row r="1631" spans="1:2" x14ac:dyDescent="0.3">
      <c r="A1631">
        <v>2.25</v>
      </c>
      <c r="B1631">
        <v>1</v>
      </c>
    </row>
    <row r="1632" spans="1:2" x14ac:dyDescent="0.3">
      <c r="A1632">
        <v>2.2400000000000002</v>
      </c>
      <c r="B1632">
        <v>1</v>
      </c>
    </row>
    <row r="1633" spans="1:2" x14ac:dyDescent="0.3">
      <c r="A1633">
        <v>2.2400000000000002</v>
      </c>
      <c r="B1633">
        <v>1</v>
      </c>
    </row>
    <row r="1634" spans="1:2" x14ac:dyDescent="0.3">
      <c r="A1634">
        <v>2.2400000000000002</v>
      </c>
      <c r="B1634">
        <v>1</v>
      </c>
    </row>
    <row r="1635" spans="1:2" x14ac:dyDescent="0.3">
      <c r="A1635">
        <v>2.2400000000000002</v>
      </c>
      <c r="B1635">
        <v>1</v>
      </c>
    </row>
    <row r="1636" spans="1:2" x14ac:dyDescent="0.3">
      <c r="A1636">
        <v>2.23</v>
      </c>
      <c r="B1636">
        <v>1</v>
      </c>
    </row>
    <row r="1637" spans="1:2" x14ac:dyDescent="0.3">
      <c r="A1637">
        <v>2.23</v>
      </c>
      <c r="B1637">
        <v>1</v>
      </c>
    </row>
    <row r="1638" spans="1:2" x14ac:dyDescent="0.3">
      <c r="A1638">
        <v>2.2200000000000002</v>
      </c>
      <c r="B1638">
        <v>1</v>
      </c>
    </row>
    <row r="1639" spans="1:2" x14ac:dyDescent="0.3">
      <c r="A1639">
        <v>2.21</v>
      </c>
      <c r="B1639">
        <v>1</v>
      </c>
    </row>
    <row r="1640" spans="1:2" x14ac:dyDescent="0.3">
      <c r="A1640">
        <v>2.21</v>
      </c>
      <c r="B1640">
        <v>1</v>
      </c>
    </row>
    <row r="1641" spans="1:2" x14ac:dyDescent="0.3">
      <c r="A1641">
        <v>2.21</v>
      </c>
      <c r="B1641">
        <v>1</v>
      </c>
    </row>
    <row r="1642" spans="1:2" x14ac:dyDescent="0.3">
      <c r="A1642">
        <v>2.2000000000000002</v>
      </c>
      <c r="B1642">
        <v>1</v>
      </c>
    </row>
    <row r="1643" spans="1:2" x14ac:dyDescent="0.3">
      <c r="A1643">
        <v>2.2000000000000002</v>
      </c>
      <c r="B1643">
        <v>1</v>
      </c>
    </row>
    <row r="1644" spans="1:2" x14ac:dyDescent="0.3">
      <c r="A1644">
        <v>2.2000000000000002</v>
      </c>
      <c r="B1644">
        <v>1</v>
      </c>
    </row>
    <row r="1645" spans="1:2" x14ac:dyDescent="0.3">
      <c r="A1645">
        <v>2.19</v>
      </c>
      <c r="B1645">
        <v>1</v>
      </c>
    </row>
    <row r="1646" spans="1:2" x14ac:dyDescent="0.3">
      <c r="A1646">
        <v>2.19</v>
      </c>
      <c r="B1646">
        <v>1</v>
      </c>
    </row>
    <row r="1647" spans="1:2" x14ac:dyDescent="0.3">
      <c r="A1647">
        <v>2.19</v>
      </c>
      <c r="B1647">
        <v>1</v>
      </c>
    </row>
    <row r="1648" spans="1:2" x14ac:dyDescent="0.3">
      <c r="A1648">
        <v>2.1800000000000002</v>
      </c>
      <c r="B1648">
        <v>1</v>
      </c>
    </row>
    <row r="1649" spans="1:2" x14ac:dyDescent="0.3">
      <c r="A1649">
        <v>2.17</v>
      </c>
      <c r="B1649">
        <v>1</v>
      </c>
    </row>
    <row r="1650" spans="1:2" x14ac:dyDescent="0.3">
      <c r="A1650">
        <v>2.16</v>
      </c>
      <c r="B1650">
        <v>1</v>
      </c>
    </row>
    <row r="1651" spans="1:2" x14ac:dyDescent="0.3">
      <c r="A1651">
        <v>2.16</v>
      </c>
      <c r="B1651">
        <v>1</v>
      </c>
    </row>
    <row r="1652" spans="1:2" x14ac:dyDescent="0.3">
      <c r="A1652">
        <v>2.16</v>
      </c>
      <c r="B1652">
        <v>1</v>
      </c>
    </row>
    <row r="1653" spans="1:2" x14ac:dyDescent="0.3">
      <c r="A1653">
        <v>2.15</v>
      </c>
      <c r="B1653">
        <v>1</v>
      </c>
    </row>
    <row r="1654" spans="1:2" x14ac:dyDescent="0.3">
      <c r="A1654">
        <v>2.15</v>
      </c>
      <c r="B1654">
        <v>1</v>
      </c>
    </row>
    <row r="1655" spans="1:2" x14ac:dyDescent="0.3">
      <c r="A1655">
        <v>2.13</v>
      </c>
      <c r="B1655">
        <v>1</v>
      </c>
    </row>
    <row r="1656" spans="1:2" x14ac:dyDescent="0.3">
      <c r="A1656">
        <v>2.13</v>
      </c>
      <c r="B1656">
        <v>1</v>
      </c>
    </row>
    <row r="1657" spans="1:2" x14ac:dyDescent="0.3">
      <c r="A1657">
        <v>2.13</v>
      </c>
      <c r="B1657">
        <v>1</v>
      </c>
    </row>
    <row r="1658" spans="1:2" x14ac:dyDescent="0.3">
      <c r="A1658">
        <v>2.12</v>
      </c>
      <c r="B1658">
        <v>1</v>
      </c>
    </row>
    <row r="1659" spans="1:2" x14ac:dyDescent="0.3">
      <c r="A1659">
        <v>2.12</v>
      </c>
      <c r="B1659">
        <v>1</v>
      </c>
    </row>
    <row r="1660" spans="1:2" x14ac:dyDescent="0.3">
      <c r="A1660">
        <v>2.12</v>
      </c>
      <c r="B1660">
        <v>1</v>
      </c>
    </row>
    <row r="1661" spans="1:2" x14ac:dyDescent="0.3">
      <c r="A1661">
        <v>2.1</v>
      </c>
      <c r="B1661">
        <v>1</v>
      </c>
    </row>
    <row r="1662" spans="1:2" x14ac:dyDescent="0.3">
      <c r="A1662">
        <v>2.1</v>
      </c>
      <c r="B1662">
        <v>1</v>
      </c>
    </row>
    <row r="1663" spans="1:2" x14ac:dyDescent="0.3">
      <c r="A1663">
        <v>2.09</v>
      </c>
      <c r="B1663">
        <v>1</v>
      </c>
    </row>
    <row r="1664" spans="1:2" x14ac:dyDescent="0.3">
      <c r="A1664">
        <v>2.09</v>
      </c>
      <c r="B1664">
        <v>1</v>
      </c>
    </row>
    <row r="1665" spans="1:2" x14ac:dyDescent="0.3">
      <c r="A1665">
        <v>2.09</v>
      </c>
      <c r="B1665">
        <v>1</v>
      </c>
    </row>
    <row r="1666" spans="1:2" x14ac:dyDescent="0.3">
      <c r="A1666">
        <v>2.08</v>
      </c>
      <c r="B1666">
        <v>1</v>
      </c>
    </row>
    <row r="1667" spans="1:2" x14ac:dyDescent="0.3">
      <c r="A1667">
        <v>2.0699999999999998</v>
      </c>
      <c r="B1667">
        <v>1</v>
      </c>
    </row>
    <row r="1668" spans="1:2" x14ac:dyDescent="0.3">
      <c r="A1668">
        <v>2.0699999999999998</v>
      </c>
      <c r="B1668">
        <v>1</v>
      </c>
    </row>
    <row r="1669" spans="1:2" x14ac:dyDescent="0.3">
      <c r="A1669">
        <v>2.0699999999999998</v>
      </c>
      <c r="B1669">
        <v>1</v>
      </c>
    </row>
    <row r="1670" spans="1:2" x14ac:dyDescent="0.3">
      <c r="A1670">
        <v>2.0699999999999998</v>
      </c>
      <c r="B1670">
        <v>1</v>
      </c>
    </row>
    <row r="1671" spans="1:2" x14ac:dyDescent="0.3">
      <c r="A1671">
        <v>2.06</v>
      </c>
      <c r="B1671">
        <v>1</v>
      </c>
    </row>
    <row r="1672" spans="1:2" x14ac:dyDescent="0.3">
      <c r="A1672">
        <v>2.06</v>
      </c>
      <c r="B1672">
        <v>1</v>
      </c>
    </row>
    <row r="1673" spans="1:2" x14ac:dyDescent="0.3">
      <c r="A1673">
        <v>2.06</v>
      </c>
      <c r="B1673">
        <v>1</v>
      </c>
    </row>
    <row r="1674" spans="1:2" x14ac:dyDescent="0.3">
      <c r="A1674">
        <v>2.06</v>
      </c>
      <c r="B1674">
        <v>1</v>
      </c>
    </row>
    <row r="1675" spans="1:2" x14ac:dyDescent="0.3">
      <c r="A1675">
        <v>2.0499999999999998</v>
      </c>
      <c r="B1675">
        <v>1</v>
      </c>
    </row>
    <row r="1676" spans="1:2" x14ac:dyDescent="0.3">
      <c r="A1676">
        <v>2.0499999999999998</v>
      </c>
      <c r="B1676">
        <v>1</v>
      </c>
    </row>
    <row r="1677" spans="1:2" x14ac:dyDescent="0.3">
      <c r="A1677">
        <v>2.0499999999999998</v>
      </c>
      <c r="B1677">
        <v>1</v>
      </c>
    </row>
    <row r="1678" spans="1:2" x14ac:dyDescent="0.3">
      <c r="A1678">
        <v>2.0299999999999998</v>
      </c>
      <c r="B1678">
        <v>1</v>
      </c>
    </row>
    <row r="1679" spans="1:2" x14ac:dyDescent="0.3">
      <c r="A1679">
        <v>2.0299999999999998</v>
      </c>
      <c r="B1679">
        <v>1</v>
      </c>
    </row>
    <row r="1680" spans="1:2" x14ac:dyDescent="0.3">
      <c r="A1680">
        <v>2.02</v>
      </c>
      <c r="B1680">
        <v>1</v>
      </c>
    </row>
    <row r="1681" spans="1:2" x14ac:dyDescent="0.3">
      <c r="A1681">
        <v>2.02</v>
      </c>
      <c r="B1681">
        <v>1</v>
      </c>
    </row>
    <row r="1682" spans="1:2" x14ac:dyDescent="0.3">
      <c r="A1682">
        <v>2.02</v>
      </c>
      <c r="B1682">
        <v>1</v>
      </c>
    </row>
    <row r="1683" spans="1:2" x14ac:dyDescent="0.3">
      <c r="A1683">
        <v>2.02</v>
      </c>
      <c r="B1683">
        <v>1</v>
      </c>
    </row>
    <row r="1684" spans="1:2" x14ac:dyDescent="0.3">
      <c r="A1684">
        <v>2.0099999999999998</v>
      </c>
      <c r="B1684">
        <v>1</v>
      </c>
    </row>
    <row r="1685" spans="1:2" x14ac:dyDescent="0.3">
      <c r="A1685">
        <v>1.99</v>
      </c>
      <c r="B1685">
        <v>1</v>
      </c>
    </row>
    <row r="1686" spans="1:2" x14ac:dyDescent="0.3">
      <c r="A1686">
        <v>1.98</v>
      </c>
      <c r="B1686">
        <v>1</v>
      </c>
    </row>
    <row r="1687" spans="1:2" x14ac:dyDescent="0.3">
      <c r="A1687">
        <v>1.98</v>
      </c>
      <c r="B1687">
        <v>1</v>
      </c>
    </row>
    <row r="1688" spans="1:2" x14ac:dyDescent="0.3">
      <c r="A1688">
        <v>1.98</v>
      </c>
      <c r="B1688">
        <v>1</v>
      </c>
    </row>
    <row r="1689" spans="1:2" x14ac:dyDescent="0.3">
      <c r="A1689">
        <v>1.98</v>
      </c>
      <c r="B1689">
        <v>1</v>
      </c>
    </row>
    <row r="1690" spans="1:2" x14ac:dyDescent="0.3">
      <c r="A1690">
        <v>1.98</v>
      </c>
      <c r="B1690">
        <v>1</v>
      </c>
    </row>
    <row r="1691" spans="1:2" x14ac:dyDescent="0.3">
      <c r="A1691">
        <v>1.97</v>
      </c>
      <c r="B1691">
        <v>1</v>
      </c>
    </row>
    <row r="1692" spans="1:2" x14ac:dyDescent="0.3">
      <c r="A1692">
        <v>1.97</v>
      </c>
      <c r="B1692">
        <v>1</v>
      </c>
    </row>
    <row r="1693" spans="1:2" x14ac:dyDescent="0.3">
      <c r="A1693">
        <v>1.97</v>
      </c>
      <c r="B1693">
        <v>1</v>
      </c>
    </row>
    <row r="1694" spans="1:2" x14ac:dyDescent="0.3">
      <c r="A1694">
        <v>1.96</v>
      </c>
      <c r="B1694">
        <v>1</v>
      </c>
    </row>
    <row r="1695" spans="1:2" x14ac:dyDescent="0.3">
      <c r="A1695">
        <v>1.94</v>
      </c>
      <c r="B1695">
        <v>1</v>
      </c>
    </row>
    <row r="1696" spans="1:2" x14ac:dyDescent="0.3">
      <c r="A1696">
        <v>1.94</v>
      </c>
      <c r="B1696">
        <v>1</v>
      </c>
    </row>
    <row r="1697" spans="1:2" x14ac:dyDescent="0.3">
      <c r="A1697">
        <v>1.94</v>
      </c>
      <c r="B1697">
        <v>1</v>
      </c>
    </row>
    <row r="1698" spans="1:2" x14ac:dyDescent="0.3">
      <c r="A1698">
        <v>1.92</v>
      </c>
      <c r="B1698">
        <v>1</v>
      </c>
    </row>
    <row r="1699" spans="1:2" x14ac:dyDescent="0.3">
      <c r="A1699">
        <v>1.92</v>
      </c>
      <c r="B1699">
        <v>1</v>
      </c>
    </row>
    <row r="1700" spans="1:2" x14ac:dyDescent="0.3">
      <c r="A1700">
        <v>1.9</v>
      </c>
      <c r="B1700">
        <v>1</v>
      </c>
    </row>
    <row r="1701" spans="1:2" x14ac:dyDescent="0.3">
      <c r="A1701">
        <v>1.9</v>
      </c>
      <c r="B1701">
        <v>1</v>
      </c>
    </row>
    <row r="1702" spans="1:2" x14ac:dyDescent="0.3">
      <c r="A1702">
        <v>1.89</v>
      </c>
      <c r="B1702">
        <v>1</v>
      </c>
    </row>
    <row r="1703" spans="1:2" x14ac:dyDescent="0.3">
      <c r="A1703">
        <v>1.89</v>
      </c>
      <c r="B1703">
        <v>1</v>
      </c>
    </row>
    <row r="1704" spans="1:2" x14ac:dyDescent="0.3">
      <c r="A1704">
        <v>1.87</v>
      </c>
      <c r="B1704">
        <v>1</v>
      </c>
    </row>
    <row r="1705" spans="1:2" x14ac:dyDescent="0.3">
      <c r="A1705">
        <v>1.86</v>
      </c>
      <c r="B1705">
        <v>1</v>
      </c>
    </row>
    <row r="1706" spans="1:2" x14ac:dyDescent="0.3">
      <c r="A1706">
        <v>1.86</v>
      </c>
      <c r="B1706">
        <v>1</v>
      </c>
    </row>
    <row r="1707" spans="1:2" x14ac:dyDescent="0.3">
      <c r="A1707">
        <v>1.86</v>
      </c>
      <c r="B1707">
        <v>1</v>
      </c>
    </row>
    <row r="1708" spans="1:2" x14ac:dyDescent="0.3">
      <c r="A1708">
        <v>1.86</v>
      </c>
      <c r="B1708">
        <v>1</v>
      </c>
    </row>
    <row r="1709" spans="1:2" x14ac:dyDescent="0.3">
      <c r="A1709">
        <v>1.85</v>
      </c>
      <c r="B1709">
        <v>1</v>
      </c>
    </row>
    <row r="1710" spans="1:2" x14ac:dyDescent="0.3">
      <c r="A1710">
        <v>1.84</v>
      </c>
      <c r="B1710">
        <v>1</v>
      </c>
    </row>
    <row r="1711" spans="1:2" x14ac:dyDescent="0.3">
      <c r="A1711">
        <v>1.84</v>
      </c>
      <c r="B1711">
        <v>1</v>
      </c>
    </row>
    <row r="1712" spans="1:2" x14ac:dyDescent="0.3">
      <c r="A1712">
        <v>1.82</v>
      </c>
      <c r="B1712">
        <v>1</v>
      </c>
    </row>
    <row r="1713" spans="1:2" x14ac:dyDescent="0.3">
      <c r="A1713">
        <v>1.8</v>
      </c>
      <c r="B1713">
        <v>1</v>
      </c>
    </row>
    <row r="1714" spans="1:2" x14ac:dyDescent="0.3">
      <c r="A1714">
        <v>1.8</v>
      </c>
      <c r="B1714">
        <v>1</v>
      </c>
    </row>
    <row r="1715" spans="1:2" x14ac:dyDescent="0.3">
      <c r="A1715">
        <v>1.8</v>
      </c>
      <c r="B1715">
        <v>1</v>
      </c>
    </row>
    <row r="1716" spans="1:2" x14ac:dyDescent="0.3">
      <c r="A1716">
        <v>1.8</v>
      </c>
      <c r="B1716">
        <v>1</v>
      </c>
    </row>
    <row r="1717" spans="1:2" x14ac:dyDescent="0.3">
      <c r="A1717">
        <v>1.79</v>
      </c>
      <c r="B1717">
        <v>1</v>
      </c>
    </row>
    <row r="1718" spans="1:2" x14ac:dyDescent="0.3">
      <c r="A1718">
        <v>1.78</v>
      </c>
      <c r="B1718">
        <v>1</v>
      </c>
    </row>
    <row r="1719" spans="1:2" x14ac:dyDescent="0.3">
      <c r="A1719">
        <v>1.77</v>
      </c>
      <c r="B1719">
        <v>1</v>
      </c>
    </row>
    <row r="1720" spans="1:2" x14ac:dyDescent="0.3">
      <c r="A1720">
        <v>1.77</v>
      </c>
      <c r="B1720">
        <v>1</v>
      </c>
    </row>
    <row r="1721" spans="1:2" x14ac:dyDescent="0.3">
      <c r="A1721">
        <v>1.77</v>
      </c>
      <c r="B1721">
        <v>1</v>
      </c>
    </row>
    <row r="1722" spans="1:2" x14ac:dyDescent="0.3">
      <c r="A1722">
        <v>1.77</v>
      </c>
      <c r="B1722">
        <v>1</v>
      </c>
    </row>
    <row r="1723" spans="1:2" x14ac:dyDescent="0.3">
      <c r="A1723">
        <v>1.76</v>
      </c>
      <c r="B1723">
        <v>1</v>
      </c>
    </row>
    <row r="1724" spans="1:2" x14ac:dyDescent="0.3">
      <c r="A1724">
        <v>1.76</v>
      </c>
      <c r="B1724">
        <v>1</v>
      </c>
    </row>
    <row r="1725" spans="1:2" x14ac:dyDescent="0.3">
      <c r="A1725">
        <v>1.76</v>
      </c>
      <c r="B1725">
        <v>1</v>
      </c>
    </row>
    <row r="1726" spans="1:2" x14ac:dyDescent="0.3">
      <c r="A1726">
        <v>1.75</v>
      </c>
      <c r="B1726">
        <v>1</v>
      </c>
    </row>
    <row r="1727" spans="1:2" x14ac:dyDescent="0.3">
      <c r="A1727">
        <v>1.74</v>
      </c>
      <c r="B1727">
        <v>1</v>
      </c>
    </row>
    <row r="1728" spans="1:2" x14ac:dyDescent="0.3">
      <c r="A1728">
        <v>1.74</v>
      </c>
      <c r="B1728">
        <v>1</v>
      </c>
    </row>
    <row r="1729" spans="1:2" x14ac:dyDescent="0.3">
      <c r="A1729">
        <v>1.74</v>
      </c>
      <c r="B1729">
        <v>1</v>
      </c>
    </row>
    <row r="1730" spans="1:2" x14ac:dyDescent="0.3">
      <c r="A1730">
        <v>1.73</v>
      </c>
      <c r="B1730">
        <v>1</v>
      </c>
    </row>
    <row r="1731" spans="1:2" x14ac:dyDescent="0.3">
      <c r="A1731">
        <v>1.73</v>
      </c>
      <c r="B1731">
        <v>1</v>
      </c>
    </row>
    <row r="1732" spans="1:2" x14ac:dyDescent="0.3">
      <c r="A1732">
        <v>1.73</v>
      </c>
      <c r="B1732">
        <v>1</v>
      </c>
    </row>
    <row r="1733" spans="1:2" x14ac:dyDescent="0.3">
      <c r="A1733">
        <v>1.72</v>
      </c>
      <c r="B1733">
        <v>1</v>
      </c>
    </row>
    <row r="1734" spans="1:2" x14ac:dyDescent="0.3">
      <c r="A1734">
        <v>1.71</v>
      </c>
      <c r="B1734">
        <v>1</v>
      </c>
    </row>
    <row r="1735" spans="1:2" x14ac:dyDescent="0.3">
      <c r="A1735">
        <v>1.71</v>
      </c>
      <c r="B1735">
        <v>1</v>
      </c>
    </row>
    <row r="1736" spans="1:2" x14ac:dyDescent="0.3">
      <c r="A1736">
        <v>1.7</v>
      </c>
      <c r="B1736">
        <v>1</v>
      </c>
    </row>
    <row r="1737" spans="1:2" x14ac:dyDescent="0.3">
      <c r="A1737">
        <v>1.7</v>
      </c>
      <c r="B1737">
        <v>1</v>
      </c>
    </row>
    <row r="1738" spans="1:2" x14ac:dyDescent="0.3">
      <c r="A1738">
        <v>1.7</v>
      </c>
      <c r="B1738">
        <v>1</v>
      </c>
    </row>
    <row r="1739" spans="1:2" x14ac:dyDescent="0.3">
      <c r="A1739">
        <v>1.7</v>
      </c>
      <c r="B1739">
        <v>1</v>
      </c>
    </row>
    <row r="1740" spans="1:2" x14ac:dyDescent="0.3">
      <c r="A1740">
        <v>1.69</v>
      </c>
      <c r="B1740">
        <v>1</v>
      </c>
    </row>
    <row r="1741" spans="1:2" x14ac:dyDescent="0.3">
      <c r="A1741">
        <v>1.69</v>
      </c>
      <c r="B1741">
        <v>1</v>
      </c>
    </row>
    <row r="1742" spans="1:2" x14ac:dyDescent="0.3">
      <c r="A1742">
        <v>1.67</v>
      </c>
      <c r="B1742">
        <v>1</v>
      </c>
    </row>
    <row r="1743" spans="1:2" x14ac:dyDescent="0.3">
      <c r="A1743">
        <v>1.67</v>
      </c>
      <c r="B1743">
        <v>1</v>
      </c>
    </row>
    <row r="1744" spans="1:2" x14ac:dyDescent="0.3">
      <c r="A1744">
        <v>1.67</v>
      </c>
      <c r="B1744">
        <v>1</v>
      </c>
    </row>
    <row r="1745" spans="1:2" x14ac:dyDescent="0.3">
      <c r="A1745">
        <v>1.67</v>
      </c>
      <c r="B1745">
        <v>1</v>
      </c>
    </row>
    <row r="1746" spans="1:2" x14ac:dyDescent="0.3">
      <c r="A1746">
        <v>1.66</v>
      </c>
      <c r="B1746">
        <v>1</v>
      </c>
    </row>
    <row r="1747" spans="1:2" x14ac:dyDescent="0.3">
      <c r="A1747">
        <v>1.66</v>
      </c>
      <c r="B1747">
        <v>1</v>
      </c>
    </row>
    <row r="1748" spans="1:2" x14ac:dyDescent="0.3">
      <c r="A1748">
        <v>1.65</v>
      </c>
      <c r="B1748">
        <v>1</v>
      </c>
    </row>
    <row r="1749" spans="1:2" x14ac:dyDescent="0.3">
      <c r="A1749">
        <v>1.65</v>
      </c>
      <c r="B1749">
        <v>1</v>
      </c>
    </row>
    <row r="1750" spans="1:2" x14ac:dyDescent="0.3">
      <c r="A1750">
        <v>1.65</v>
      </c>
      <c r="B1750">
        <v>1</v>
      </c>
    </row>
    <row r="1751" spans="1:2" x14ac:dyDescent="0.3">
      <c r="A1751">
        <v>1.63</v>
      </c>
      <c r="B1751">
        <v>1</v>
      </c>
    </row>
    <row r="1752" spans="1:2" x14ac:dyDescent="0.3">
      <c r="A1752">
        <v>1.62</v>
      </c>
      <c r="B1752">
        <v>1</v>
      </c>
    </row>
    <row r="1753" spans="1:2" x14ac:dyDescent="0.3">
      <c r="A1753">
        <v>1.62</v>
      </c>
      <c r="B1753">
        <v>1</v>
      </c>
    </row>
    <row r="1754" spans="1:2" x14ac:dyDescent="0.3">
      <c r="A1754">
        <v>1.61</v>
      </c>
      <c r="B1754">
        <v>1</v>
      </c>
    </row>
    <row r="1755" spans="1:2" x14ac:dyDescent="0.3">
      <c r="A1755">
        <v>1.61</v>
      </c>
      <c r="B1755">
        <v>1</v>
      </c>
    </row>
    <row r="1756" spans="1:2" x14ac:dyDescent="0.3">
      <c r="A1756">
        <v>1.6</v>
      </c>
      <c r="B1756">
        <v>1</v>
      </c>
    </row>
    <row r="1757" spans="1:2" x14ac:dyDescent="0.3">
      <c r="A1757">
        <v>1.6</v>
      </c>
      <c r="B1757">
        <v>1</v>
      </c>
    </row>
    <row r="1758" spans="1:2" x14ac:dyDescent="0.3">
      <c r="A1758">
        <v>1.6</v>
      </c>
      <c r="B1758">
        <v>1</v>
      </c>
    </row>
    <row r="1759" spans="1:2" x14ac:dyDescent="0.3">
      <c r="A1759">
        <v>1.57</v>
      </c>
      <c r="B1759">
        <v>1</v>
      </c>
    </row>
    <row r="1760" spans="1:2" x14ac:dyDescent="0.3">
      <c r="A1760">
        <v>1.57</v>
      </c>
      <c r="B1760">
        <v>1</v>
      </c>
    </row>
    <row r="1761" spans="1:2" x14ac:dyDescent="0.3">
      <c r="A1761">
        <v>1.57</v>
      </c>
      <c r="B1761">
        <v>1</v>
      </c>
    </row>
    <row r="1762" spans="1:2" x14ac:dyDescent="0.3">
      <c r="A1762">
        <v>1.56</v>
      </c>
      <c r="B1762">
        <v>1</v>
      </c>
    </row>
    <row r="1763" spans="1:2" x14ac:dyDescent="0.3">
      <c r="A1763">
        <v>1.55</v>
      </c>
      <c r="B1763">
        <v>1</v>
      </c>
    </row>
    <row r="1764" spans="1:2" x14ac:dyDescent="0.3">
      <c r="A1764">
        <v>1.55</v>
      </c>
      <c r="B1764">
        <v>1</v>
      </c>
    </row>
    <row r="1765" spans="1:2" x14ac:dyDescent="0.3">
      <c r="A1765">
        <v>1.55</v>
      </c>
      <c r="B1765">
        <v>1</v>
      </c>
    </row>
    <row r="1766" spans="1:2" x14ac:dyDescent="0.3">
      <c r="A1766">
        <v>1.54</v>
      </c>
      <c r="B1766">
        <v>1</v>
      </c>
    </row>
    <row r="1767" spans="1:2" x14ac:dyDescent="0.3">
      <c r="A1767">
        <v>1.54</v>
      </c>
      <c r="B1767">
        <v>1</v>
      </c>
    </row>
    <row r="1768" spans="1:2" x14ac:dyDescent="0.3">
      <c r="A1768">
        <v>1.53</v>
      </c>
      <c r="B1768">
        <v>1</v>
      </c>
    </row>
    <row r="1769" spans="1:2" x14ac:dyDescent="0.3">
      <c r="A1769">
        <v>1.53</v>
      </c>
      <c r="B1769">
        <v>1</v>
      </c>
    </row>
    <row r="1770" spans="1:2" x14ac:dyDescent="0.3">
      <c r="A1770">
        <v>1.53</v>
      </c>
      <c r="B1770">
        <v>1</v>
      </c>
    </row>
    <row r="1771" spans="1:2" x14ac:dyDescent="0.3">
      <c r="A1771">
        <v>1.53</v>
      </c>
      <c r="B1771">
        <v>1</v>
      </c>
    </row>
    <row r="1772" spans="1:2" x14ac:dyDescent="0.3">
      <c r="A1772">
        <v>1.53</v>
      </c>
      <c r="B1772">
        <v>1</v>
      </c>
    </row>
    <row r="1773" spans="1:2" x14ac:dyDescent="0.3">
      <c r="A1773">
        <v>1.53</v>
      </c>
      <c r="B1773">
        <v>1</v>
      </c>
    </row>
    <row r="1774" spans="1:2" x14ac:dyDescent="0.3">
      <c r="A1774">
        <v>1.52</v>
      </c>
      <c r="B1774">
        <v>1</v>
      </c>
    </row>
    <row r="1775" spans="1:2" x14ac:dyDescent="0.3">
      <c r="A1775">
        <v>1.52</v>
      </c>
      <c r="B1775">
        <v>1</v>
      </c>
    </row>
    <row r="1776" spans="1:2" x14ac:dyDescent="0.3">
      <c r="A1776">
        <v>1.52</v>
      </c>
      <c r="B1776">
        <v>1</v>
      </c>
    </row>
    <row r="1777" spans="1:2" x14ac:dyDescent="0.3">
      <c r="A1777">
        <v>1.51</v>
      </c>
      <c r="B1777">
        <v>1</v>
      </c>
    </row>
    <row r="1778" spans="1:2" x14ac:dyDescent="0.3">
      <c r="A1778">
        <v>1.51</v>
      </c>
      <c r="B1778">
        <v>1</v>
      </c>
    </row>
    <row r="1779" spans="1:2" x14ac:dyDescent="0.3">
      <c r="A1779">
        <v>1.51</v>
      </c>
      <c r="B1779">
        <v>1</v>
      </c>
    </row>
    <row r="1780" spans="1:2" x14ac:dyDescent="0.3">
      <c r="A1780">
        <v>1.5</v>
      </c>
      <c r="B1780">
        <v>1</v>
      </c>
    </row>
    <row r="1781" spans="1:2" x14ac:dyDescent="0.3">
      <c r="A1781">
        <v>1.5</v>
      </c>
      <c r="B1781">
        <v>1</v>
      </c>
    </row>
    <row r="1782" spans="1:2" x14ac:dyDescent="0.3">
      <c r="A1782">
        <v>1.5</v>
      </c>
      <c r="B1782">
        <v>1</v>
      </c>
    </row>
    <row r="1783" spans="1:2" x14ac:dyDescent="0.3">
      <c r="A1783">
        <v>1.49</v>
      </c>
      <c r="B1783">
        <v>1</v>
      </c>
    </row>
    <row r="1784" spans="1:2" x14ac:dyDescent="0.3">
      <c r="A1784">
        <v>1.49</v>
      </c>
      <c r="B1784">
        <v>1</v>
      </c>
    </row>
    <row r="1785" spans="1:2" x14ac:dyDescent="0.3">
      <c r="A1785">
        <v>1.48</v>
      </c>
      <c r="B1785">
        <v>1</v>
      </c>
    </row>
    <row r="1786" spans="1:2" x14ac:dyDescent="0.3">
      <c r="A1786">
        <v>1.47</v>
      </c>
      <c r="B1786">
        <v>1</v>
      </c>
    </row>
    <row r="1787" spans="1:2" x14ac:dyDescent="0.3">
      <c r="A1787">
        <v>1.47</v>
      </c>
      <c r="B1787">
        <v>1</v>
      </c>
    </row>
    <row r="1788" spans="1:2" x14ac:dyDescent="0.3">
      <c r="A1788">
        <v>1.47</v>
      </c>
      <c r="B1788">
        <v>1</v>
      </c>
    </row>
    <row r="1789" spans="1:2" x14ac:dyDescent="0.3">
      <c r="A1789">
        <v>1.47</v>
      </c>
      <c r="B1789">
        <v>1</v>
      </c>
    </row>
    <row r="1790" spans="1:2" x14ac:dyDescent="0.3">
      <c r="A1790">
        <v>1.47</v>
      </c>
      <c r="B1790">
        <v>1</v>
      </c>
    </row>
    <row r="1791" spans="1:2" x14ac:dyDescent="0.3">
      <c r="A1791">
        <v>1.46</v>
      </c>
      <c r="B1791">
        <v>1</v>
      </c>
    </row>
    <row r="1792" spans="1:2" x14ac:dyDescent="0.3">
      <c r="A1792">
        <v>1.46</v>
      </c>
      <c r="B1792">
        <v>1</v>
      </c>
    </row>
    <row r="1793" spans="1:2" x14ac:dyDescent="0.3">
      <c r="A1793">
        <v>1.44</v>
      </c>
      <c r="B1793">
        <v>1</v>
      </c>
    </row>
    <row r="1794" spans="1:2" x14ac:dyDescent="0.3">
      <c r="A1794">
        <v>1.44</v>
      </c>
      <c r="B1794">
        <v>1</v>
      </c>
    </row>
    <row r="1795" spans="1:2" x14ac:dyDescent="0.3">
      <c r="A1795">
        <v>1.44</v>
      </c>
      <c r="B1795">
        <v>1</v>
      </c>
    </row>
    <row r="1796" spans="1:2" x14ac:dyDescent="0.3">
      <c r="A1796">
        <v>1.44</v>
      </c>
      <c r="B1796">
        <v>1</v>
      </c>
    </row>
    <row r="1797" spans="1:2" x14ac:dyDescent="0.3">
      <c r="A1797">
        <v>1.43</v>
      </c>
      <c r="B1797">
        <v>1</v>
      </c>
    </row>
    <row r="1798" spans="1:2" x14ac:dyDescent="0.3">
      <c r="A1798">
        <v>1.43</v>
      </c>
      <c r="B1798">
        <v>1</v>
      </c>
    </row>
    <row r="1799" spans="1:2" x14ac:dyDescent="0.3">
      <c r="A1799">
        <v>1.42</v>
      </c>
      <c r="B1799">
        <v>1</v>
      </c>
    </row>
    <row r="1800" spans="1:2" x14ac:dyDescent="0.3">
      <c r="A1800">
        <v>1.42</v>
      </c>
      <c r="B1800">
        <v>1</v>
      </c>
    </row>
    <row r="1801" spans="1:2" x14ac:dyDescent="0.3">
      <c r="A1801">
        <v>1.42</v>
      </c>
      <c r="B1801">
        <v>1</v>
      </c>
    </row>
    <row r="1802" spans="1:2" x14ac:dyDescent="0.3">
      <c r="A1802">
        <v>1.42</v>
      </c>
      <c r="B1802">
        <v>1</v>
      </c>
    </row>
    <row r="1803" spans="1:2" x14ac:dyDescent="0.3">
      <c r="A1803">
        <v>1.42</v>
      </c>
      <c r="B1803">
        <v>1</v>
      </c>
    </row>
    <row r="1804" spans="1:2" x14ac:dyDescent="0.3">
      <c r="A1804">
        <v>1.4</v>
      </c>
      <c r="B1804">
        <v>1</v>
      </c>
    </row>
    <row r="1805" spans="1:2" x14ac:dyDescent="0.3">
      <c r="A1805">
        <v>1.39</v>
      </c>
      <c r="B1805">
        <v>1</v>
      </c>
    </row>
    <row r="1806" spans="1:2" x14ac:dyDescent="0.3">
      <c r="A1806">
        <v>1.37</v>
      </c>
      <c r="B1806">
        <v>1</v>
      </c>
    </row>
    <row r="1807" spans="1:2" x14ac:dyDescent="0.3">
      <c r="A1807">
        <v>1.37</v>
      </c>
      <c r="B1807">
        <v>1</v>
      </c>
    </row>
    <row r="1808" spans="1:2" x14ac:dyDescent="0.3">
      <c r="A1808">
        <v>1.36</v>
      </c>
      <c r="B1808">
        <v>1</v>
      </c>
    </row>
    <row r="1809" spans="1:2" x14ac:dyDescent="0.3">
      <c r="A1809">
        <v>1.36</v>
      </c>
      <c r="B1809">
        <v>1</v>
      </c>
    </row>
    <row r="1810" spans="1:2" x14ac:dyDescent="0.3">
      <c r="A1810">
        <v>1.35</v>
      </c>
      <c r="B1810">
        <v>1</v>
      </c>
    </row>
    <row r="1811" spans="1:2" x14ac:dyDescent="0.3">
      <c r="A1811">
        <v>1.35</v>
      </c>
      <c r="B1811">
        <v>1</v>
      </c>
    </row>
    <row r="1812" spans="1:2" x14ac:dyDescent="0.3">
      <c r="A1812">
        <v>1.35</v>
      </c>
      <c r="B1812">
        <v>1</v>
      </c>
    </row>
    <row r="1813" spans="1:2" x14ac:dyDescent="0.3">
      <c r="A1813">
        <v>1.34</v>
      </c>
      <c r="B1813">
        <v>1</v>
      </c>
    </row>
    <row r="1814" spans="1:2" x14ac:dyDescent="0.3">
      <c r="A1814">
        <v>1.34</v>
      </c>
      <c r="B1814">
        <v>1</v>
      </c>
    </row>
    <row r="1815" spans="1:2" x14ac:dyDescent="0.3">
      <c r="A1815">
        <v>1.34</v>
      </c>
      <c r="B1815">
        <v>1</v>
      </c>
    </row>
    <row r="1816" spans="1:2" x14ac:dyDescent="0.3">
      <c r="A1816">
        <v>1.34</v>
      </c>
      <c r="B1816">
        <v>1</v>
      </c>
    </row>
    <row r="1817" spans="1:2" x14ac:dyDescent="0.3">
      <c r="A1817">
        <v>1.34</v>
      </c>
      <c r="B1817">
        <v>1</v>
      </c>
    </row>
    <row r="1818" spans="1:2" x14ac:dyDescent="0.3">
      <c r="A1818">
        <v>1.34</v>
      </c>
      <c r="B1818">
        <v>1</v>
      </c>
    </row>
    <row r="1819" spans="1:2" x14ac:dyDescent="0.3">
      <c r="A1819">
        <v>1.34</v>
      </c>
      <c r="B1819">
        <v>1</v>
      </c>
    </row>
    <row r="1820" spans="1:2" x14ac:dyDescent="0.3">
      <c r="A1820">
        <v>1.33</v>
      </c>
      <c r="B1820">
        <v>1</v>
      </c>
    </row>
    <row r="1821" spans="1:2" x14ac:dyDescent="0.3">
      <c r="A1821">
        <v>1.32</v>
      </c>
      <c r="B1821">
        <v>1</v>
      </c>
    </row>
    <row r="1822" spans="1:2" x14ac:dyDescent="0.3">
      <c r="A1822">
        <v>1.32</v>
      </c>
      <c r="B1822">
        <v>1</v>
      </c>
    </row>
    <row r="1823" spans="1:2" x14ac:dyDescent="0.3">
      <c r="A1823">
        <v>1.32</v>
      </c>
      <c r="B1823">
        <v>1</v>
      </c>
    </row>
    <row r="1824" spans="1:2" x14ac:dyDescent="0.3">
      <c r="A1824">
        <v>1.32</v>
      </c>
      <c r="B1824">
        <v>1</v>
      </c>
    </row>
    <row r="1825" spans="1:2" x14ac:dyDescent="0.3">
      <c r="A1825">
        <v>1.32</v>
      </c>
      <c r="B1825">
        <v>1</v>
      </c>
    </row>
    <row r="1826" spans="1:2" x14ac:dyDescent="0.3">
      <c r="A1826">
        <v>1.31</v>
      </c>
      <c r="B1826">
        <v>1</v>
      </c>
    </row>
    <row r="1827" spans="1:2" x14ac:dyDescent="0.3">
      <c r="A1827">
        <v>1.31</v>
      </c>
      <c r="B1827">
        <v>1</v>
      </c>
    </row>
    <row r="1828" spans="1:2" x14ac:dyDescent="0.3">
      <c r="A1828">
        <v>1.31</v>
      </c>
      <c r="B1828">
        <v>1</v>
      </c>
    </row>
    <row r="1829" spans="1:2" x14ac:dyDescent="0.3">
      <c r="A1829">
        <v>1.28</v>
      </c>
      <c r="B1829">
        <v>1</v>
      </c>
    </row>
    <row r="1830" spans="1:2" x14ac:dyDescent="0.3">
      <c r="A1830">
        <v>1.28</v>
      </c>
      <c r="B1830">
        <v>1</v>
      </c>
    </row>
    <row r="1831" spans="1:2" x14ac:dyDescent="0.3">
      <c r="A1831">
        <v>1.28</v>
      </c>
      <c r="B1831">
        <v>1</v>
      </c>
    </row>
    <row r="1832" spans="1:2" x14ac:dyDescent="0.3">
      <c r="A1832">
        <v>1.26</v>
      </c>
      <c r="B1832">
        <v>1</v>
      </c>
    </row>
    <row r="1833" spans="1:2" x14ac:dyDescent="0.3">
      <c r="A1833">
        <v>1.26</v>
      </c>
      <c r="B1833">
        <v>1</v>
      </c>
    </row>
    <row r="1834" spans="1:2" x14ac:dyDescent="0.3">
      <c r="A1834">
        <v>1.26</v>
      </c>
      <c r="B1834">
        <v>1</v>
      </c>
    </row>
    <row r="1835" spans="1:2" x14ac:dyDescent="0.3">
      <c r="A1835">
        <v>1.26</v>
      </c>
      <c r="B1835">
        <v>1</v>
      </c>
    </row>
    <row r="1836" spans="1:2" x14ac:dyDescent="0.3">
      <c r="A1836">
        <v>1.24</v>
      </c>
      <c r="B1836">
        <v>1</v>
      </c>
    </row>
    <row r="1837" spans="1:2" x14ac:dyDescent="0.3">
      <c r="A1837">
        <v>1.24</v>
      </c>
      <c r="B1837">
        <v>1</v>
      </c>
    </row>
    <row r="1838" spans="1:2" x14ac:dyDescent="0.3">
      <c r="A1838">
        <v>1.22</v>
      </c>
      <c r="B1838">
        <v>1</v>
      </c>
    </row>
    <row r="1839" spans="1:2" x14ac:dyDescent="0.3">
      <c r="A1839">
        <v>1.22</v>
      </c>
      <c r="B1839">
        <v>1</v>
      </c>
    </row>
    <row r="1840" spans="1:2" x14ac:dyDescent="0.3">
      <c r="A1840">
        <v>1.22</v>
      </c>
      <c r="B1840">
        <v>1</v>
      </c>
    </row>
    <row r="1841" spans="1:2" x14ac:dyDescent="0.3">
      <c r="A1841">
        <v>1.22</v>
      </c>
      <c r="B1841">
        <v>1</v>
      </c>
    </row>
    <row r="1842" spans="1:2" x14ac:dyDescent="0.3">
      <c r="A1842">
        <v>1.21</v>
      </c>
      <c r="B1842">
        <v>1</v>
      </c>
    </row>
    <row r="1843" spans="1:2" x14ac:dyDescent="0.3">
      <c r="A1843">
        <v>1.21</v>
      </c>
      <c r="B1843">
        <v>1</v>
      </c>
    </row>
    <row r="1844" spans="1:2" x14ac:dyDescent="0.3">
      <c r="A1844">
        <v>1.21</v>
      </c>
      <c r="B1844">
        <v>1</v>
      </c>
    </row>
    <row r="1845" spans="1:2" x14ac:dyDescent="0.3">
      <c r="A1845">
        <v>1.19</v>
      </c>
      <c r="B1845">
        <v>1</v>
      </c>
    </row>
    <row r="1846" spans="1:2" x14ac:dyDescent="0.3">
      <c r="A1846">
        <v>1.19</v>
      </c>
      <c r="B1846">
        <v>1</v>
      </c>
    </row>
    <row r="1847" spans="1:2" x14ac:dyDescent="0.3">
      <c r="A1847">
        <v>1.19</v>
      </c>
      <c r="B1847">
        <v>1</v>
      </c>
    </row>
    <row r="1848" spans="1:2" x14ac:dyDescent="0.3">
      <c r="A1848">
        <v>1.18</v>
      </c>
      <c r="B1848">
        <v>1</v>
      </c>
    </row>
    <row r="1849" spans="1:2" x14ac:dyDescent="0.3">
      <c r="A1849">
        <v>1.17</v>
      </c>
      <c r="B1849">
        <v>1</v>
      </c>
    </row>
    <row r="1850" spans="1:2" x14ac:dyDescent="0.3">
      <c r="A1850">
        <v>1.17</v>
      </c>
      <c r="B1850">
        <v>1</v>
      </c>
    </row>
    <row r="1851" spans="1:2" x14ac:dyDescent="0.3">
      <c r="A1851">
        <v>1.17</v>
      </c>
      <c r="B1851">
        <v>1</v>
      </c>
    </row>
    <row r="1852" spans="1:2" x14ac:dyDescent="0.3">
      <c r="A1852">
        <v>1.17</v>
      </c>
      <c r="B1852">
        <v>1</v>
      </c>
    </row>
    <row r="1853" spans="1:2" x14ac:dyDescent="0.3">
      <c r="A1853">
        <v>1.1599999999999999</v>
      </c>
      <c r="B1853">
        <v>1</v>
      </c>
    </row>
    <row r="1854" spans="1:2" x14ac:dyDescent="0.3">
      <c r="A1854">
        <v>1.1499999999999999</v>
      </c>
      <c r="B1854">
        <v>1</v>
      </c>
    </row>
    <row r="1855" spans="1:2" x14ac:dyDescent="0.3">
      <c r="A1855">
        <v>1.1399999999999999</v>
      </c>
      <c r="B1855">
        <v>1</v>
      </c>
    </row>
    <row r="1856" spans="1:2" x14ac:dyDescent="0.3">
      <c r="A1856">
        <v>1.1399999999999999</v>
      </c>
      <c r="B1856">
        <v>1</v>
      </c>
    </row>
    <row r="1857" spans="1:2" x14ac:dyDescent="0.3">
      <c r="A1857">
        <v>1.1399999999999999</v>
      </c>
      <c r="B1857">
        <v>1</v>
      </c>
    </row>
    <row r="1858" spans="1:2" x14ac:dyDescent="0.3">
      <c r="A1858">
        <v>1.1299999999999999</v>
      </c>
      <c r="B1858">
        <v>1</v>
      </c>
    </row>
    <row r="1859" spans="1:2" x14ac:dyDescent="0.3">
      <c r="A1859">
        <v>1.1200000000000001</v>
      </c>
      <c r="B1859">
        <v>1</v>
      </c>
    </row>
    <row r="1860" spans="1:2" x14ac:dyDescent="0.3">
      <c r="A1860">
        <v>1.1200000000000001</v>
      </c>
      <c r="B1860">
        <v>1</v>
      </c>
    </row>
    <row r="1861" spans="1:2" x14ac:dyDescent="0.3">
      <c r="A1861">
        <v>1.0900000000000001</v>
      </c>
      <c r="B1861">
        <v>1</v>
      </c>
    </row>
    <row r="1862" spans="1:2" x14ac:dyDescent="0.3">
      <c r="A1862">
        <v>1.08</v>
      </c>
      <c r="B1862">
        <v>1</v>
      </c>
    </row>
    <row r="1863" spans="1:2" x14ac:dyDescent="0.3">
      <c r="A1863">
        <v>1.08</v>
      </c>
      <c r="B1863">
        <v>1</v>
      </c>
    </row>
    <row r="1864" spans="1:2" x14ac:dyDescent="0.3">
      <c r="A1864">
        <v>1.08</v>
      </c>
      <c r="B1864">
        <v>1</v>
      </c>
    </row>
    <row r="1865" spans="1:2" x14ac:dyDescent="0.3">
      <c r="A1865">
        <v>1.08</v>
      </c>
      <c r="B1865">
        <v>1</v>
      </c>
    </row>
    <row r="1866" spans="1:2" x14ac:dyDescent="0.3">
      <c r="A1866">
        <v>1.08</v>
      </c>
      <c r="B1866">
        <v>1</v>
      </c>
    </row>
    <row r="1867" spans="1:2" x14ac:dyDescent="0.3">
      <c r="A1867">
        <v>1.07</v>
      </c>
      <c r="B1867">
        <v>1</v>
      </c>
    </row>
    <row r="1868" spans="1:2" x14ac:dyDescent="0.3">
      <c r="A1868">
        <v>1.07</v>
      </c>
      <c r="B1868">
        <v>1</v>
      </c>
    </row>
    <row r="1869" spans="1:2" x14ac:dyDescent="0.3">
      <c r="A1869">
        <v>1.06</v>
      </c>
      <c r="B1869">
        <v>1</v>
      </c>
    </row>
    <row r="1870" spans="1:2" x14ac:dyDescent="0.3">
      <c r="A1870">
        <v>1.04</v>
      </c>
      <c r="B1870">
        <v>1</v>
      </c>
    </row>
    <row r="1871" spans="1:2" x14ac:dyDescent="0.3">
      <c r="A1871">
        <v>1.04</v>
      </c>
      <c r="B1871">
        <v>1</v>
      </c>
    </row>
    <row r="1872" spans="1:2" x14ac:dyDescent="0.3">
      <c r="A1872">
        <v>1.03</v>
      </c>
      <c r="B1872">
        <v>1</v>
      </c>
    </row>
    <row r="1873" spans="1:2" x14ac:dyDescent="0.3">
      <c r="A1873">
        <v>1.03</v>
      </c>
      <c r="B1873">
        <v>1</v>
      </c>
    </row>
    <row r="1874" spans="1:2" x14ac:dyDescent="0.3">
      <c r="A1874">
        <v>1.02</v>
      </c>
      <c r="B1874">
        <v>1</v>
      </c>
    </row>
    <row r="1875" spans="1:2" x14ac:dyDescent="0.3">
      <c r="A1875">
        <v>1.01</v>
      </c>
      <c r="B1875">
        <v>1</v>
      </c>
    </row>
    <row r="1876" spans="1:2" x14ac:dyDescent="0.3">
      <c r="A1876">
        <v>1.01</v>
      </c>
      <c r="B1876">
        <v>1</v>
      </c>
    </row>
    <row r="1877" spans="1:2" x14ac:dyDescent="0.3">
      <c r="A1877">
        <v>1</v>
      </c>
      <c r="B1877">
        <v>1</v>
      </c>
    </row>
    <row r="1878" spans="1:2" x14ac:dyDescent="0.3">
      <c r="A1878">
        <v>1</v>
      </c>
      <c r="B1878">
        <v>1</v>
      </c>
    </row>
    <row r="1879" spans="1:2" x14ac:dyDescent="0.3">
      <c r="A1879">
        <v>0.99</v>
      </c>
      <c r="B1879">
        <v>1</v>
      </c>
    </row>
    <row r="1880" spans="1:2" x14ac:dyDescent="0.3">
      <c r="A1880">
        <v>0.98</v>
      </c>
      <c r="B1880">
        <v>1</v>
      </c>
    </row>
    <row r="1881" spans="1:2" x14ac:dyDescent="0.3">
      <c r="A1881">
        <v>0.97</v>
      </c>
      <c r="B1881">
        <v>1</v>
      </c>
    </row>
    <row r="1882" spans="1:2" x14ac:dyDescent="0.3">
      <c r="A1882">
        <v>0.97</v>
      </c>
      <c r="B1882">
        <v>1</v>
      </c>
    </row>
    <row r="1883" spans="1:2" x14ac:dyDescent="0.3">
      <c r="A1883">
        <v>0.97</v>
      </c>
      <c r="B1883">
        <v>1</v>
      </c>
    </row>
    <row r="1884" spans="1:2" x14ac:dyDescent="0.3">
      <c r="A1884">
        <v>0.97</v>
      </c>
      <c r="B1884">
        <v>1</v>
      </c>
    </row>
    <row r="1885" spans="1:2" x14ac:dyDescent="0.3">
      <c r="A1885">
        <v>0.96</v>
      </c>
      <c r="B1885">
        <v>1</v>
      </c>
    </row>
    <row r="1886" spans="1:2" x14ac:dyDescent="0.3">
      <c r="A1886">
        <v>0.96</v>
      </c>
      <c r="B1886">
        <v>1</v>
      </c>
    </row>
    <row r="1887" spans="1:2" x14ac:dyDescent="0.3">
      <c r="A1887">
        <v>0.95</v>
      </c>
      <c r="B1887">
        <v>1</v>
      </c>
    </row>
    <row r="1888" spans="1:2" x14ac:dyDescent="0.3">
      <c r="A1888">
        <v>0.94</v>
      </c>
      <c r="B1888">
        <v>1</v>
      </c>
    </row>
    <row r="1889" spans="1:2" x14ac:dyDescent="0.3">
      <c r="A1889">
        <v>0.94</v>
      </c>
      <c r="B1889">
        <v>1</v>
      </c>
    </row>
    <row r="1890" spans="1:2" x14ac:dyDescent="0.3">
      <c r="A1890">
        <v>0.94</v>
      </c>
      <c r="B1890">
        <v>1</v>
      </c>
    </row>
    <row r="1891" spans="1:2" x14ac:dyDescent="0.3">
      <c r="A1891">
        <v>0.93</v>
      </c>
      <c r="B1891">
        <v>1</v>
      </c>
    </row>
    <row r="1892" spans="1:2" x14ac:dyDescent="0.3">
      <c r="A1892">
        <v>0.93</v>
      </c>
      <c r="B1892">
        <v>1</v>
      </c>
    </row>
    <row r="1893" spans="1:2" x14ac:dyDescent="0.3">
      <c r="A1893">
        <v>0.92</v>
      </c>
      <c r="B1893">
        <v>1</v>
      </c>
    </row>
    <row r="1894" spans="1:2" x14ac:dyDescent="0.3">
      <c r="A1894">
        <v>0.91</v>
      </c>
      <c r="B1894">
        <v>1</v>
      </c>
    </row>
    <row r="1895" spans="1:2" x14ac:dyDescent="0.3">
      <c r="A1895">
        <v>0.91</v>
      </c>
      <c r="B1895">
        <v>1</v>
      </c>
    </row>
    <row r="1896" spans="1:2" x14ac:dyDescent="0.3">
      <c r="A1896">
        <v>0.9</v>
      </c>
      <c r="B1896">
        <v>1</v>
      </c>
    </row>
    <row r="1897" spans="1:2" x14ac:dyDescent="0.3">
      <c r="A1897">
        <v>0.89</v>
      </c>
      <c r="B1897">
        <v>1</v>
      </c>
    </row>
    <row r="1898" spans="1:2" x14ac:dyDescent="0.3">
      <c r="A1898">
        <v>0.88</v>
      </c>
      <c r="B1898">
        <v>1</v>
      </c>
    </row>
    <row r="1899" spans="1:2" x14ac:dyDescent="0.3">
      <c r="A1899">
        <v>0.88</v>
      </c>
      <c r="B1899">
        <v>1</v>
      </c>
    </row>
    <row r="1900" spans="1:2" x14ac:dyDescent="0.3">
      <c r="A1900">
        <v>0.88</v>
      </c>
      <c r="B1900">
        <v>1</v>
      </c>
    </row>
    <row r="1901" spans="1:2" x14ac:dyDescent="0.3">
      <c r="A1901">
        <v>0.87</v>
      </c>
      <c r="B1901">
        <v>1</v>
      </c>
    </row>
    <row r="1902" spans="1:2" x14ac:dyDescent="0.3">
      <c r="A1902">
        <v>0.84</v>
      </c>
      <c r="B1902">
        <v>1</v>
      </c>
    </row>
    <row r="1903" spans="1:2" x14ac:dyDescent="0.3">
      <c r="A1903">
        <v>0.83</v>
      </c>
      <c r="B1903">
        <v>1</v>
      </c>
    </row>
    <row r="1904" spans="1:2" x14ac:dyDescent="0.3">
      <c r="A1904">
        <v>0.82</v>
      </c>
      <c r="B1904">
        <v>1</v>
      </c>
    </row>
    <row r="1905" spans="1:2" x14ac:dyDescent="0.3">
      <c r="A1905">
        <v>0.82</v>
      </c>
      <c r="B1905">
        <v>1</v>
      </c>
    </row>
    <row r="1906" spans="1:2" x14ac:dyDescent="0.3">
      <c r="A1906">
        <v>0.81</v>
      </c>
      <c r="B1906">
        <v>1</v>
      </c>
    </row>
    <row r="1907" spans="1:2" x14ac:dyDescent="0.3">
      <c r="A1907">
        <v>0.79</v>
      </c>
      <c r="B1907">
        <v>1</v>
      </c>
    </row>
    <row r="1908" spans="1:2" x14ac:dyDescent="0.3">
      <c r="A1908">
        <v>0.79</v>
      </c>
      <c r="B1908">
        <v>1</v>
      </c>
    </row>
    <row r="1909" spans="1:2" x14ac:dyDescent="0.3">
      <c r="A1909">
        <v>0.79</v>
      </c>
      <c r="B1909">
        <v>1</v>
      </c>
    </row>
    <row r="1910" spans="1:2" x14ac:dyDescent="0.3">
      <c r="A1910">
        <v>0.79</v>
      </c>
      <c r="B1910">
        <v>1</v>
      </c>
    </row>
    <row r="1911" spans="1:2" x14ac:dyDescent="0.3">
      <c r="A1911">
        <v>0.78</v>
      </c>
      <c r="B1911">
        <v>1</v>
      </c>
    </row>
    <row r="1912" spans="1:2" x14ac:dyDescent="0.3">
      <c r="A1912">
        <v>0.78</v>
      </c>
      <c r="B1912">
        <v>1</v>
      </c>
    </row>
    <row r="1913" spans="1:2" x14ac:dyDescent="0.3">
      <c r="A1913">
        <v>0.77</v>
      </c>
      <c r="B1913">
        <v>1</v>
      </c>
    </row>
    <row r="1914" spans="1:2" x14ac:dyDescent="0.3">
      <c r="A1914">
        <v>0.76</v>
      </c>
      <c r="B1914">
        <v>1</v>
      </c>
    </row>
    <row r="1915" spans="1:2" x14ac:dyDescent="0.3">
      <c r="A1915">
        <v>0.76</v>
      </c>
      <c r="B1915">
        <v>1</v>
      </c>
    </row>
    <row r="1916" spans="1:2" x14ac:dyDescent="0.3">
      <c r="A1916">
        <v>0.75</v>
      </c>
      <c r="B1916">
        <v>1</v>
      </c>
    </row>
    <row r="1917" spans="1:2" x14ac:dyDescent="0.3">
      <c r="A1917">
        <v>0.74</v>
      </c>
      <c r="B1917">
        <v>1</v>
      </c>
    </row>
    <row r="1918" spans="1:2" x14ac:dyDescent="0.3">
      <c r="A1918">
        <v>0.73</v>
      </c>
      <c r="B1918">
        <v>1</v>
      </c>
    </row>
    <row r="1919" spans="1:2" x14ac:dyDescent="0.3">
      <c r="A1919">
        <v>0.73</v>
      </c>
      <c r="B1919">
        <v>1</v>
      </c>
    </row>
    <row r="1920" spans="1:2" x14ac:dyDescent="0.3">
      <c r="A1920">
        <v>0.72</v>
      </c>
      <c r="B1920">
        <v>1</v>
      </c>
    </row>
    <row r="1921" spans="1:2" x14ac:dyDescent="0.3">
      <c r="A1921">
        <v>0.72</v>
      </c>
      <c r="B1921">
        <v>1</v>
      </c>
    </row>
    <row r="1922" spans="1:2" x14ac:dyDescent="0.3">
      <c r="A1922">
        <v>0.71</v>
      </c>
      <c r="B1922">
        <v>1</v>
      </c>
    </row>
    <row r="1923" spans="1:2" x14ac:dyDescent="0.3">
      <c r="A1923">
        <v>0.71</v>
      </c>
      <c r="B1923">
        <v>1</v>
      </c>
    </row>
    <row r="1924" spans="1:2" x14ac:dyDescent="0.3">
      <c r="A1924">
        <v>0.71</v>
      </c>
      <c r="B1924">
        <v>1</v>
      </c>
    </row>
    <row r="1925" spans="1:2" x14ac:dyDescent="0.3">
      <c r="A1925">
        <v>0.71</v>
      </c>
      <c r="B1925">
        <v>1</v>
      </c>
    </row>
    <row r="1926" spans="1:2" x14ac:dyDescent="0.3">
      <c r="A1926">
        <v>0.69</v>
      </c>
      <c r="B1926">
        <v>1</v>
      </c>
    </row>
    <row r="1927" spans="1:2" x14ac:dyDescent="0.3">
      <c r="A1927">
        <v>0.68</v>
      </c>
      <c r="B1927">
        <v>1</v>
      </c>
    </row>
    <row r="1928" spans="1:2" x14ac:dyDescent="0.3">
      <c r="A1928">
        <v>0.68</v>
      </c>
      <c r="B1928">
        <v>1</v>
      </c>
    </row>
    <row r="1929" spans="1:2" x14ac:dyDescent="0.3">
      <c r="A1929">
        <v>0.68</v>
      </c>
      <c r="B1929">
        <v>1</v>
      </c>
    </row>
    <row r="1930" spans="1:2" x14ac:dyDescent="0.3">
      <c r="A1930">
        <v>0.67</v>
      </c>
      <c r="B1930">
        <v>1</v>
      </c>
    </row>
    <row r="1931" spans="1:2" x14ac:dyDescent="0.3">
      <c r="A1931">
        <v>0.66</v>
      </c>
      <c r="B1931">
        <v>1</v>
      </c>
    </row>
    <row r="1932" spans="1:2" x14ac:dyDescent="0.3">
      <c r="A1932">
        <v>0.66</v>
      </c>
      <c r="B1932">
        <v>1</v>
      </c>
    </row>
    <row r="1933" spans="1:2" x14ac:dyDescent="0.3">
      <c r="A1933">
        <v>0.63</v>
      </c>
      <c r="B1933">
        <v>1</v>
      </c>
    </row>
    <row r="1934" spans="1:2" x14ac:dyDescent="0.3">
      <c r="A1934">
        <v>0.63</v>
      </c>
      <c r="B1934">
        <v>1</v>
      </c>
    </row>
    <row r="1935" spans="1:2" x14ac:dyDescent="0.3">
      <c r="A1935">
        <v>0.62</v>
      </c>
      <c r="B1935">
        <v>1</v>
      </c>
    </row>
    <row r="1936" spans="1:2" x14ac:dyDescent="0.3">
      <c r="A1936">
        <v>0.62</v>
      </c>
      <c r="B1936">
        <v>1</v>
      </c>
    </row>
    <row r="1937" spans="1:2" x14ac:dyDescent="0.3">
      <c r="A1937">
        <v>0.61</v>
      </c>
      <c r="B1937">
        <v>1</v>
      </c>
    </row>
    <row r="1938" spans="1:2" x14ac:dyDescent="0.3">
      <c r="A1938">
        <v>0.61</v>
      </c>
      <c r="B1938">
        <v>1</v>
      </c>
    </row>
    <row r="1939" spans="1:2" x14ac:dyDescent="0.3">
      <c r="A1939">
        <v>0.6</v>
      </c>
      <c r="B1939">
        <v>1</v>
      </c>
    </row>
    <row r="1940" spans="1:2" x14ac:dyDescent="0.3">
      <c r="A1940">
        <v>0.6</v>
      </c>
      <c r="B1940">
        <v>1</v>
      </c>
    </row>
    <row r="1941" spans="1:2" x14ac:dyDescent="0.3">
      <c r="A1941">
        <v>0.6</v>
      </c>
      <c r="B1941">
        <v>1</v>
      </c>
    </row>
    <row r="1942" spans="1:2" x14ac:dyDescent="0.3">
      <c r="A1942">
        <v>0.56999999999999995</v>
      </c>
      <c r="B1942">
        <v>1</v>
      </c>
    </row>
    <row r="1943" spans="1:2" x14ac:dyDescent="0.3">
      <c r="A1943">
        <v>0.56999999999999995</v>
      </c>
      <c r="B1943">
        <v>1</v>
      </c>
    </row>
    <row r="1944" spans="1:2" x14ac:dyDescent="0.3">
      <c r="A1944">
        <v>0.56000000000000005</v>
      </c>
      <c r="B1944">
        <v>1</v>
      </c>
    </row>
    <row r="1945" spans="1:2" x14ac:dyDescent="0.3">
      <c r="A1945">
        <v>0.55000000000000004</v>
      </c>
      <c r="B1945">
        <v>1</v>
      </c>
    </row>
    <row r="1946" spans="1:2" x14ac:dyDescent="0.3">
      <c r="A1946">
        <v>0.55000000000000004</v>
      </c>
      <c r="B1946">
        <v>1</v>
      </c>
    </row>
    <row r="1947" spans="1:2" x14ac:dyDescent="0.3">
      <c r="A1947">
        <v>0.55000000000000004</v>
      </c>
      <c r="B1947">
        <v>1</v>
      </c>
    </row>
    <row r="1948" spans="1:2" x14ac:dyDescent="0.3">
      <c r="A1948">
        <v>0.54</v>
      </c>
      <c r="B1948">
        <v>1</v>
      </c>
    </row>
    <row r="1949" spans="1:2" x14ac:dyDescent="0.3">
      <c r="A1949">
        <v>0.54</v>
      </c>
      <c r="B1949">
        <v>1</v>
      </c>
    </row>
    <row r="1950" spans="1:2" x14ac:dyDescent="0.3">
      <c r="A1950">
        <v>0.53</v>
      </c>
      <c r="B1950">
        <v>1</v>
      </c>
    </row>
    <row r="1951" spans="1:2" x14ac:dyDescent="0.3">
      <c r="A1951">
        <v>0.53</v>
      </c>
      <c r="B1951">
        <v>1</v>
      </c>
    </row>
    <row r="1952" spans="1:2" x14ac:dyDescent="0.3">
      <c r="A1952">
        <v>0.52</v>
      </c>
      <c r="B1952">
        <v>1</v>
      </c>
    </row>
    <row r="1953" spans="1:2" x14ac:dyDescent="0.3">
      <c r="A1953">
        <v>0.49</v>
      </c>
      <c r="B1953">
        <v>1</v>
      </c>
    </row>
    <row r="1954" spans="1:2" x14ac:dyDescent="0.3">
      <c r="A1954">
        <v>0.49</v>
      </c>
      <c r="B1954">
        <v>1</v>
      </c>
    </row>
    <row r="1955" spans="1:2" x14ac:dyDescent="0.3">
      <c r="A1955">
        <v>0.47</v>
      </c>
      <c r="B1955">
        <v>1</v>
      </c>
    </row>
    <row r="1956" spans="1:2" x14ac:dyDescent="0.3">
      <c r="A1956">
        <v>0.47</v>
      </c>
      <c r="B1956">
        <v>1</v>
      </c>
    </row>
    <row r="1957" spans="1:2" x14ac:dyDescent="0.3">
      <c r="A1957">
        <v>0.46</v>
      </c>
      <c r="B1957">
        <v>1</v>
      </c>
    </row>
    <row r="1958" spans="1:2" x14ac:dyDescent="0.3">
      <c r="A1958">
        <v>0.45</v>
      </c>
      <c r="B1958">
        <v>1</v>
      </c>
    </row>
    <row r="1959" spans="1:2" x14ac:dyDescent="0.3">
      <c r="A1959">
        <v>0.45</v>
      </c>
      <c r="B1959">
        <v>1</v>
      </c>
    </row>
    <row r="1960" spans="1:2" x14ac:dyDescent="0.3">
      <c r="A1960">
        <v>0.44</v>
      </c>
      <c r="B1960">
        <v>1</v>
      </c>
    </row>
    <row r="1961" spans="1:2" x14ac:dyDescent="0.3">
      <c r="A1961">
        <v>0.44</v>
      </c>
      <c r="B1961">
        <v>1</v>
      </c>
    </row>
    <row r="1962" spans="1:2" x14ac:dyDescent="0.3">
      <c r="A1962">
        <v>0.43</v>
      </c>
      <c r="B1962">
        <v>1</v>
      </c>
    </row>
    <row r="1963" spans="1:2" x14ac:dyDescent="0.3">
      <c r="A1963">
        <v>0.42</v>
      </c>
      <c r="B1963">
        <v>1</v>
      </c>
    </row>
    <row r="1964" spans="1:2" x14ac:dyDescent="0.3">
      <c r="A1964">
        <v>0.41</v>
      </c>
      <c r="B1964">
        <v>1</v>
      </c>
    </row>
    <row r="1965" spans="1:2" x14ac:dyDescent="0.3">
      <c r="A1965">
        <v>0.4</v>
      </c>
      <c r="B1965">
        <v>1</v>
      </c>
    </row>
    <row r="1966" spans="1:2" x14ac:dyDescent="0.3">
      <c r="A1966">
        <v>0.4</v>
      </c>
      <c r="B1966">
        <v>1</v>
      </c>
    </row>
    <row r="1967" spans="1:2" x14ac:dyDescent="0.3">
      <c r="A1967">
        <v>0.4</v>
      </c>
      <c r="B1967">
        <v>1</v>
      </c>
    </row>
    <row r="1968" spans="1:2" x14ac:dyDescent="0.3">
      <c r="A1968">
        <v>0.39</v>
      </c>
      <c r="B1968">
        <v>1</v>
      </c>
    </row>
    <row r="1969" spans="1:2" x14ac:dyDescent="0.3">
      <c r="A1969">
        <v>0.38</v>
      </c>
      <c r="B1969">
        <v>1</v>
      </c>
    </row>
    <row r="1970" spans="1:2" x14ac:dyDescent="0.3">
      <c r="A1970">
        <v>0.38</v>
      </c>
      <c r="B1970">
        <v>1</v>
      </c>
    </row>
    <row r="1971" spans="1:2" x14ac:dyDescent="0.3">
      <c r="A1971">
        <v>0.37</v>
      </c>
      <c r="B1971">
        <v>1</v>
      </c>
    </row>
    <row r="1972" spans="1:2" x14ac:dyDescent="0.3">
      <c r="A1972">
        <v>0.36</v>
      </c>
      <c r="B1972">
        <v>1</v>
      </c>
    </row>
    <row r="1973" spans="1:2" x14ac:dyDescent="0.3">
      <c r="A1973">
        <v>0.36</v>
      </c>
      <c r="B1973">
        <v>1</v>
      </c>
    </row>
    <row r="1974" spans="1:2" x14ac:dyDescent="0.3">
      <c r="A1974">
        <v>0.35</v>
      </c>
      <c r="B1974">
        <v>1</v>
      </c>
    </row>
    <row r="1975" spans="1:2" x14ac:dyDescent="0.3">
      <c r="A1975">
        <v>0.31</v>
      </c>
      <c r="B1975">
        <v>1</v>
      </c>
    </row>
    <row r="1976" spans="1:2" x14ac:dyDescent="0.3">
      <c r="A1976">
        <v>0.3</v>
      </c>
      <c r="B1976">
        <v>1</v>
      </c>
    </row>
    <row r="1977" spans="1:2" x14ac:dyDescent="0.3">
      <c r="A1977">
        <v>0.3</v>
      </c>
      <c r="B1977">
        <v>1</v>
      </c>
    </row>
    <row r="1978" spans="1:2" x14ac:dyDescent="0.3">
      <c r="A1978">
        <v>0.27</v>
      </c>
      <c r="B1978">
        <v>1</v>
      </c>
    </row>
    <row r="1979" spans="1:2" x14ac:dyDescent="0.3">
      <c r="A1979">
        <v>0.26</v>
      </c>
      <c r="B1979">
        <v>1</v>
      </c>
    </row>
    <row r="1980" spans="1:2" x14ac:dyDescent="0.3">
      <c r="A1980">
        <v>0.25</v>
      </c>
      <c r="B1980">
        <v>1</v>
      </c>
    </row>
    <row r="1981" spans="1:2" x14ac:dyDescent="0.3">
      <c r="A1981">
        <v>0.24</v>
      </c>
      <c r="B1981">
        <v>1</v>
      </c>
    </row>
    <row r="1982" spans="1:2" x14ac:dyDescent="0.3">
      <c r="A1982">
        <v>0.24</v>
      </c>
      <c r="B1982">
        <v>1</v>
      </c>
    </row>
    <row r="1983" spans="1:2" x14ac:dyDescent="0.3">
      <c r="A1983">
        <v>0.21</v>
      </c>
      <c r="B1983">
        <v>1</v>
      </c>
    </row>
    <row r="1984" spans="1:2" x14ac:dyDescent="0.3">
      <c r="A1984">
        <v>0.21</v>
      </c>
      <c r="B1984">
        <v>1</v>
      </c>
    </row>
    <row r="1985" spans="1:2" x14ac:dyDescent="0.3">
      <c r="A1985">
        <v>0.2</v>
      </c>
      <c r="B1985">
        <v>1</v>
      </c>
    </row>
    <row r="1986" spans="1:2" x14ac:dyDescent="0.3">
      <c r="A1986">
        <v>0.2</v>
      </c>
      <c r="B1986">
        <v>1</v>
      </c>
    </row>
    <row r="1987" spans="1:2" x14ac:dyDescent="0.3">
      <c r="A1987">
        <v>0.18</v>
      </c>
      <c r="B1987">
        <v>1</v>
      </c>
    </row>
    <row r="1988" spans="1:2" x14ac:dyDescent="0.3">
      <c r="A1988">
        <v>0.18</v>
      </c>
      <c r="B1988">
        <v>1</v>
      </c>
    </row>
    <row r="1989" spans="1:2" x14ac:dyDescent="0.3">
      <c r="A1989">
        <v>0.18</v>
      </c>
      <c r="B1989">
        <v>1</v>
      </c>
    </row>
    <row r="1990" spans="1:2" x14ac:dyDescent="0.3">
      <c r="A1990">
        <v>0.17</v>
      </c>
      <c r="B1990">
        <v>1</v>
      </c>
    </row>
    <row r="1991" spans="1:2" x14ac:dyDescent="0.3">
      <c r="A1991">
        <v>0.16</v>
      </c>
      <c r="B1991">
        <v>1</v>
      </c>
    </row>
    <row r="1992" spans="1:2" x14ac:dyDescent="0.3">
      <c r="A1992">
        <v>0.14000000000000001</v>
      </c>
      <c r="B1992">
        <v>1</v>
      </c>
    </row>
    <row r="1993" spans="1:2" x14ac:dyDescent="0.3">
      <c r="A1993">
        <v>0.13</v>
      </c>
      <c r="B1993">
        <v>1</v>
      </c>
    </row>
    <row r="1994" spans="1:2" x14ac:dyDescent="0.3">
      <c r="A1994">
        <v>0.12</v>
      </c>
      <c r="B1994">
        <v>1</v>
      </c>
    </row>
    <row r="1995" spans="1:2" x14ac:dyDescent="0.3">
      <c r="A1995">
        <v>0.1</v>
      </c>
      <c r="B1995">
        <v>1</v>
      </c>
    </row>
    <row r="1996" spans="1:2" x14ac:dyDescent="0.3">
      <c r="A1996">
        <v>0.1</v>
      </c>
      <c r="B1996">
        <v>1</v>
      </c>
    </row>
    <row r="1997" spans="1:2" x14ac:dyDescent="0.3">
      <c r="A1997">
        <v>0.06</v>
      </c>
      <c r="B1997">
        <v>1</v>
      </c>
    </row>
    <row r="1998" spans="1:2" x14ac:dyDescent="0.3">
      <c r="A1998">
        <v>0.05</v>
      </c>
      <c r="B1998">
        <v>1</v>
      </c>
    </row>
    <row r="1999" spans="1:2" x14ac:dyDescent="0.3">
      <c r="A1999">
        <v>0.03</v>
      </c>
      <c r="B1999">
        <v>1</v>
      </c>
    </row>
    <row r="2000" spans="1:2" x14ac:dyDescent="0.3">
      <c r="A2000">
        <v>0.02</v>
      </c>
      <c r="B2000">
        <v>1</v>
      </c>
    </row>
    <row r="2001" spans="1:2" x14ac:dyDescent="0.3">
      <c r="A2001">
        <v>0.02</v>
      </c>
      <c r="B2001">
        <v>1</v>
      </c>
    </row>
  </sheetData>
  <sortState xmlns:xlrd2="http://schemas.microsoft.com/office/spreadsheetml/2017/richdata2" ref="A2:A2001">
    <sortCondition descending="1" ref="A1:A2001"/>
  </sortState>
  <mergeCells count="1">
    <mergeCell ref="P62:S6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73A7-89FF-454A-BE64-C3802BCB83A3}">
  <dimension ref="A1:BE2001"/>
  <sheetViews>
    <sheetView topLeftCell="M1" zoomScaleNormal="90" workbookViewId="0">
      <selection activeCell="T5" sqref="T5"/>
    </sheetView>
  </sheetViews>
  <sheetFormatPr baseColWidth="10" defaultRowHeight="14.4" x14ac:dyDescent="0.3"/>
  <cols>
    <col min="1" max="1" width="22.44140625" customWidth="1"/>
    <col min="4" max="4" width="28.6640625" bestFit="1" customWidth="1"/>
    <col min="5" max="5" width="16.77734375" customWidth="1"/>
    <col min="6" max="6" width="22.77734375" customWidth="1"/>
    <col min="7" max="7" width="14.77734375" customWidth="1"/>
    <col min="8" max="8" width="17.44140625" customWidth="1"/>
    <col min="10" max="10" width="24" customWidth="1"/>
    <col min="11" max="11" width="11.77734375" customWidth="1"/>
    <col min="12" max="12" width="21.77734375" customWidth="1"/>
    <col min="13" max="13" width="32.77734375" customWidth="1"/>
    <col min="25" max="25" width="14.109375" customWidth="1"/>
    <col min="26" max="26" width="17.6640625" customWidth="1"/>
    <col min="27" max="27" width="19.44140625" customWidth="1"/>
    <col min="33" max="33" width="10.6640625" customWidth="1"/>
    <col min="39" max="39" width="24.77734375" bestFit="1" customWidth="1"/>
    <col min="40" max="40" width="14.109375" bestFit="1" customWidth="1"/>
    <col min="41" max="41" width="19.44140625" customWidth="1"/>
    <col min="42" max="42" width="15.109375" customWidth="1"/>
    <col min="43" max="43" width="16.77734375" customWidth="1"/>
    <col min="44" max="44" width="17.77734375" customWidth="1"/>
    <col min="50" max="50" width="23.109375" customWidth="1"/>
  </cols>
  <sheetData>
    <row r="1" spans="1:57" x14ac:dyDescent="0.3">
      <c r="A1" t="s">
        <v>4</v>
      </c>
      <c r="B1" s="1" t="s">
        <v>4779</v>
      </c>
      <c r="AH1" t="s">
        <v>3</v>
      </c>
      <c r="AI1" t="s">
        <v>4779</v>
      </c>
    </row>
    <row r="2" spans="1:57" x14ac:dyDescent="0.3">
      <c r="A2" t="s">
        <v>11</v>
      </c>
      <c r="B2">
        <v>1</v>
      </c>
      <c r="AH2" t="s">
        <v>10</v>
      </c>
      <c r="AI2">
        <v>1</v>
      </c>
    </row>
    <row r="3" spans="1:57" x14ac:dyDescent="0.3">
      <c r="A3" t="s">
        <v>17</v>
      </c>
      <c r="B3">
        <v>1</v>
      </c>
      <c r="AH3" t="s">
        <v>10</v>
      </c>
      <c r="AI3">
        <v>1</v>
      </c>
      <c r="AX3" s="47" t="s">
        <v>4804</v>
      </c>
      <c r="AY3" s="47" t="s">
        <v>4712</v>
      </c>
      <c r="AZ3" s="38" t="s">
        <v>4713</v>
      </c>
      <c r="BA3" s="38" t="s">
        <v>4715</v>
      </c>
      <c r="BB3" s="38" t="s">
        <v>4716</v>
      </c>
    </row>
    <row r="4" spans="1:57" x14ac:dyDescent="0.3">
      <c r="A4" t="s">
        <v>23</v>
      </c>
      <c r="B4">
        <v>1</v>
      </c>
      <c r="O4" s="2" t="s">
        <v>4792</v>
      </c>
      <c r="P4" t="s">
        <v>4712</v>
      </c>
      <c r="AH4" t="s">
        <v>10</v>
      </c>
      <c r="AI4">
        <v>1</v>
      </c>
      <c r="AM4" s="2" t="s">
        <v>4803</v>
      </c>
      <c r="AN4" t="s">
        <v>4780</v>
      </c>
      <c r="AX4" s="49" t="s">
        <v>3273</v>
      </c>
      <c r="AY4">
        <v>2</v>
      </c>
      <c r="AZ4">
        <f>AY4/2000</f>
        <v>1E-3</v>
      </c>
      <c r="BA4">
        <f>AY4</f>
        <v>2</v>
      </c>
      <c r="BB4">
        <f>AZ4</f>
        <v>1E-3</v>
      </c>
    </row>
    <row r="5" spans="1:57" x14ac:dyDescent="0.3">
      <c r="A5" t="s">
        <v>29</v>
      </c>
      <c r="B5">
        <v>1</v>
      </c>
      <c r="D5" s="42" t="s">
        <v>4794</v>
      </c>
      <c r="E5" s="18" t="s">
        <v>4712</v>
      </c>
      <c r="F5" s="42" t="s">
        <v>4793</v>
      </c>
      <c r="G5" s="42" t="s">
        <v>4715</v>
      </c>
      <c r="H5" s="42" t="s">
        <v>4716</v>
      </c>
      <c r="L5" s="42" t="s">
        <v>4762</v>
      </c>
      <c r="M5" s="42" t="s">
        <v>4764</v>
      </c>
      <c r="O5" s="3" t="s">
        <v>560</v>
      </c>
      <c r="P5">
        <v>19</v>
      </c>
      <c r="AH5" t="s">
        <v>10</v>
      </c>
      <c r="AI5">
        <v>1</v>
      </c>
      <c r="AM5" s="3" t="s">
        <v>3273</v>
      </c>
      <c r="AN5">
        <v>2</v>
      </c>
      <c r="AX5" s="49" t="s">
        <v>452</v>
      </c>
      <c r="AY5">
        <v>37</v>
      </c>
      <c r="AZ5">
        <f t="shared" ref="AZ5:AZ64" si="0">AY5/2000</f>
        <v>1.8499999999999999E-2</v>
      </c>
      <c r="BA5">
        <f>AY5+BA4</f>
        <v>39</v>
      </c>
      <c r="BB5">
        <f>AZ5+BB4</f>
        <v>1.95E-2</v>
      </c>
      <c r="BE5">
        <v>37</v>
      </c>
    </row>
    <row r="6" spans="1:57" x14ac:dyDescent="0.3">
      <c r="A6" t="s">
        <v>29</v>
      </c>
      <c r="B6">
        <v>1</v>
      </c>
      <c r="D6" s="3" t="s">
        <v>560</v>
      </c>
      <c r="E6">
        <v>19</v>
      </c>
      <c r="F6">
        <f>E6/2000</f>
        <v>9.4999999999999998E-3</v>
      </c>
      <c r="G6">
        <f>E6</f>
        <v>19</v>
      </c>
      <c r="H6">
        <f>F6</f>
        <v>9.4999999999999998E-3</v>
      </c>
      <c r="J6" s="58"/>
      <c r="K6" s="58"/>
      <c r="L6">
        <f t="shared" ref="L6:L32" si="1">ABS(E6-K$45)</f>
        <v>55.074074074074076</v>
      </c>
      <c r="O6" s="3" t="s">
        <v>11</v>
      </c>
      <c r="P6">
        <v>313</v>
      </c>
      <c r="AH6" t="s">
        <v>35</v>
      </c>
      <c r="AI6">
        <v>1</v>
      </c>
      <c r="AM6" s="3" t="s">
        <v>452</v>
      </c>
      <c r="AN6">
        <v>37</v>
      </c>
      <c r="AX6" s="49" t="s">
        <v>633</v>
      </c>
      <c r="AY6">
        <v>2</v>
      </c>
      <c r="AZ6">
        <f t="shared" si="0"/>
        <v>1E-3</v>
      </c>
      <c r="BA6">
        <f t="shared" ref="BA6:BA64" si="2">AY6+BA5</f>
        <v>41</v>
      </c>
      <c r="BB6">
        <f t="shared" ref="BB6:BB64" si="3">AZ6+BB5</f>
        <v>2.0500000000000001E-2</v>
      </c>
    </row>
    <row r="7" spans="1:57" x14ac:dyDescent="0.3">
      <c r="A7" t="s">
        <v>11</v>
      </c>
      <c r="B7">
        <v>1</v>
      </c>
      <c r="D7" s="3" t="s">
        <v>11</v>
      </c>
      <c r="E7">
        <v>313</v>
      </c>
      <c r="F7">
        <f>E7/2000</f>
        <v>0.1565</v>
      </c>
      <c r="G7">
        <f>E7+G6</f>
        <v>332</v>
      </c>
      <c r="H7">
        <f>F7+H6</f>
        <v>0.16600000000000001</v>
      </c>
      <c r="L7">
        <f t="shared" si="1"/>
        <v>238.92592592592592</v>
      </c>
      <c r="O7" s="3" t="s">
        <v>706</v>
      </c>
      <c r="P7">
        <v>70</v>
      </c>
      <c r="AH7" t="s">
        <v>10</v>
      </c>
      <c r="AI7">
        <v>1</v>
      </c>
      <c r="AM7" s="3" t="s">
        <v>633</v>
      </c>
      <c r="AN7">
        <v>2</v>
      </c>
      <c r="AX7" s="49" t="s">
        <v>1632</v>
      </c>
      <c r="AY7">
        <v>8</v>
      </c>
      <c r="AZ7">
        <f t="shared" si="0"/>
        <v>4.0000000000000001E-3</v>
      </c>
      <c r="BA7">
        <f t="shared" si="2"/>
        <v>49</v>
      </c>
      <c r="BB7">
        <f t="shared" si="3"/>
        <v>2.4500000000000001E-2</v>
      </c>
      <c r="BE7">
        <v>8</v>
      </c>
    </row>
    <row r="8" spans="1:57" x14ac:dyDescent="0.3">
      <c r="A8" t="s">
        <v>11</v>
      </c>
      <c r="B8">
        <v>1</v>
      </c>
      <c r="D8" s="3" t="s">
        <v>706</v>
      </c>
      <c r="E8">
        <v>70</v>
      </c>
      <c r="F8">
        <f>E8/2000</f>
        <v>3.5000000000000003E-2</v>
      </c>
      <c r="G8">
        <f>G7+E8</f>
        <v>402</v>
      </c>
      <c r="H8">
        <f>H7+F8</f>
        <v>0.20100000000000001</v>
      </c>
      <c r="L8">
        <f t="shared" si="1"/>
        <v>4.0740740740740762</v>
      </c>
      <c r="O8" s="3" t="s">
        <v>687</v>
      </c>
      <c r="P8">
        <v>53</v>
      </c>
      <c r="AH8" t="s">
        <v>35</v>
      </c>
      <c r="AI8">
        <v>1</v>
      </c>
      <c r="AM8" s="3" t="s">
        <v>1632</v>
      </c>
      <c r="AN8">
        <v>8</v>
      </c>
      <c r="AX8" s="49" t="s">
        <v>4420</v>
      </c>
      <c r="AY8">
        <v>1</v>
      </c>
      <c r="AZ8">
        <f t="shared" si="0"/>
        <v>5.0000000000000001E-4</v>
      </c>
      <c r="BA8">
        <f t="shared" si="2"/>
        <v>50</v>
      </c>
      <c r="BB8">
        <f t="shared" si="3"/>
        <v>2.5000000000000001E-2</v>
      </c>
    </row>
    <row r="9" spans="1:57" x14ac:dyDescent="0.3">
      <c r="A9" t="s">
        <v>52</v>
      </c>
      <c r="B9">
        <v>1</v>
      </c>
      <c r="D9" s="3" t="s">
        <v>687</v>
      </c>
      <c r="E9">
        <v>53</v>
      </c>
      <c r="F9">
        <f t="shared" ref="F9:F32" si="4">E9/2000</f>
        <v>2.6499999999999999E-2</v>
      </c>
      <c r="G9">
        <f t="shared" ref="G9:G32" si="5">G8+E9</f>
        <v>455</v>
      </c>
      <c r="H9">
        <f>H8+F9</f>
        <v>0.22750000000000001</v>
      </c>
      <c r="L9">
        <f t="shared" si="1"/>
        <v>21.074074074074076</v>
      </c>
      <c r="O9" s="3" t="s">
        <v>510</v>
      </c>
      <c r="P9">
        <v>50</v>
      </c>
      <c r="AH9" t="s">
        <v>51</v>
      </c>
      <c r="AI9">
        <v>1</v>
      </c>
      <c r="AM9" s="3" t="s">
        <v>4420</v>
      </c>
      <c r="AN9">
        <v>1</v>
      </c>
      <c r="AX9" s="49" t="s">
        <v>521</v>
      </c>
      <c r="AY9">
        <v>9</v>
      </c>
      <c r="AZ9">
        <f t="shared" si="0"/>
        <v>4.4999999999999997E-3</v>
      </c>
      <c r="BA9">
        <f t="shared" si="2"/>
        <v>59</v>
      </c>
      <c r="BB9">
        <f t="shared" si="3"/>
        <v>2.9500000000000002E-2</v>
      </c>
      <c r="BE9">
        <v>9</v>
      </c>
    </row>
    <row r="10" spans="1:57" x14ac:dyDescent="0.3">
      <c r="A10" t="s">
        <v>58</v>
      </c>
      <c r="B10">
        <v>1</v>
      </c>
      <c r="D10" s="3" t="s">
        <v>510</v>
      </c>
      <c r="E10">
        <v>50</v>
      </c>
      <c r="F10">
        <f t="shared" si="4"/>
        <v>2.5000000000000001E-2</v>
      </c>
      <c r="G10">
        <f t="shared" si="5"/>
        <v>505</v>
      </c>
      <c r="H10">
        <f t="shared" ref="H10:H32" si="6">H9+F10</f>
        <v>0.2525</v>
      </c>
      <c r="L10">
        <f t="shared" si="1"/>
        <v>24.074074074074076</v>
      </c>
      <c r="O10" s="3" t="s">
        <v>17</v>
      </c>
      <c r="P10">
        <v>31</v>
      </c>
      <c r="AH10" t="s">
        <v>10</v>
      </c>
      <c r="AI10">
        <v>1</v>
      </c>
      <c r="AM10" s="3" t="s">
        <v>521</v>
      </c>
      <c r="AN10">
        <v>9</v>
      </c>
      <c r="AX10" s="49" t="s">
        <v>401</v>
      </c>
      <c r="AY10">
        <v>20</v>
      </c>
      <c r="AZ10">
        <f t="shared" si="0"/>
        <v>0.01</v>
      </c>
      <c r="BA10">
        <f t="shared" si="2"/>
        <v>79</v>
      </c>
      <c r="BB10">
        <f t="shared" si="3"/>
        <v>3.95E-2</v>
      </c>
      <c r="BE10">
        <v>20</v>
      </c>
    </row>
    <row r="11" spans="1:57" x14ac:dyDescent="0.3">
      <c r="A11" t="s">
        <v>64</v>
      </c>
      <c r="B11">
        <v>1</v>
      </c>
      <c r="D11" s="3" t="s">
        <v>17</v>
      </c>
      <c r="E11">
        <v>31</v>
      </c>
      <c r="F11">
        <f t="shared" si="4"/>
        <v>1.55E-2</v>
      </c>
      <c r="G11">
        <f t="shared" si="5"/>
        <v>536</v>
      </c>
      <c r="H11">
        <f t="shared" si="6"/>
        <v>0.26800000000000002</v>
      </c>
      <c r="L11">
        <f t="shared" si="1"/>
        <v>43.074074074074076</v>
      </c>
      <c r="O11" s="3" t="s">
        <v>726</v>
      </c>
      <c r="P11">
        <v>79</v>
      </c>
      <c r="AH11" t="s">
        <v>10</v>
      </c>
      <c r="AI11">
        <v>1</v>
      </c>
      <c r="AM11" s="3" t="s">
        <v>401</v>
      </c>
      <c r="AN11">
        <v>20</v>
      </c>
      <c r="AX11" s="49" t="s">
        <v>657</v>
      </c>
      <c r="AY11">
        <v>15</v>
      </c>
      <c r="AZ11">
        <f t="shared" si="0"/>
        <v>7.4999999999999997E-3</v>
      </c>
      <c r="BA11">
        <f t="shared" si="2"/>
        <v>94</v>
      </c>
      <c r="BB11">
        <f t="shared" si="3"/>
        <v>4.7E-2</v>
      </c>
      <c r="BE11">
        <v>15</v>
      </c>
    </row>
    <row r="12" spans="1:57" x14ac:dyDescent="0.3">
      <c r="A12" t="s">
        <v>58</v>
      </c>
      <c r="B12">
        <v>1</v>
      </c>
      <c r="D12" s="3" t="s">
        <v>726</v>
      </c>
      <c r="E12">
        <v>79</v>
      </c>
      <c r="F12">
        <f t="shared" si="4"/>
        <v>3.95E-2</v>
      </c>
      <c r="G12">
        <f t="shared" si="5"/>
        <v>615</v>
      </c>
      <c r="H12">
        <f t="shared" si="6"/>
        <v>0.3075</v>
      </c>
      <c r="L12">
        <f t="shared" si="1"/>
        <v>4.9259259259259238</v>
      </c>
      <c r="O12" s="3" t="s">
        <v>52</v>
      </c>
      <c r="P12">
        <v>74</v>
      </c>
      <c r="AH12" t="s">
        <v>70</v>
      </c>
      <c r="AI12">
        <v>1</v>
      </c>
      <c r="AM12" s="3" t="s">
        <v>657</v>
      </c>
      <c r="AN12">
        <v>15</v>
      </c>
      <c r="AX12" s="49" t="s">
        <v>417</v>
      </c>
      <c r="AY12">
        <v>56</v>
      </c>
      <c r="AZ12">
        <f t="shared" si="0"/>
        <v>2.8000000000000001E-2</v>
      </c>
      <c r="BA12">
        <f t="shared" si="2"/>
        <v>150</v>
      </c>
      <c r="BB12">
        <f t="shared" si="3"/>
        <v>7.4999999999999997E-2</v>
      </c>
      <c r="BE12">
        <v>56</v>
      </c>
    </row>
    <row r="13" spans="1:57" x14ac:dyDescent="0.3">
      <c r="A13" t="s">
        <v>58</v>
      </c>
      <c r="B13">
        <v>1</v>
      </c>
      <c r="D13" s="3" t="s">
        <v>52</v>
      </c>
      <c r="E13">
        <v>74</v>
      </c>
      <c r="F13">
        <f t="shared" si="4"/>
        <v>3.6999999999999998E-2</v>
      </c>
      <c r="G13">
        <f t="shared" si="5"/>
        <v>689</v>
      </c>
      <c r="H13">
        <f t="shared" si="6"/>
        <v>0.34449999999999997</v>
      </c>
      <c r="L13">
        <f t="shared" si="1"/>
        <v>7.4074074074076179E-2</v>
      </c>
      <c r="O13" s="3" t="s">
        <v>58</v>
      </c>
      <c r="P13">
        <v>158</v>
      </c>
      <c r="AH13" t="s">
        <v>76</v>
      </c>
      <c r="AI13">
        <v>1</v>
      </c>
      <c r="AM13" s="3" t="s">
        <v>417</v>
      </c>
      <c r="AN13">
        <v>56</v>
      </c>
      <c r="AX13" s="49" t="s">
        <v>3550</v>
      </c>
      <c r="AY13">
        <v>5</v>
      </c>
      <c r="AZ13">
        <f t="shared" si="0"/>
        <v>2.5000000000000001E-3</v>
      </c>
      <c r="BA13">
        <f t="shared" si="2"/>
        <v>155</v>
      </c>
      <c r="BB13">
        <f t="shared" si="3"/>
        <v>7.7499999999999999E-2</v>
      </c>
      <c r="BE13">
        <v>5</v>
      </c>
    </row>
    <row r="14" spans="1:57" x14ac:dyDescent="0.3">
      <c r="A14" t="s">
        <v>29</v>
      </c>
      <c r="B14">
        <v>1</v>
      </c>
      <c r="D14" s="3" t="s">
        <v>58</v>
      </c>
      <c r="E14">
        <v>158</v>
      </c>
      <c r="F14">
        <f t="shared" si="4"/>
        <v>7.9000000000000001E-2</v>
      </c>
      <c r="G14">
        <f t="shared" si="5"/>
        <v>847</v>
      </c>
      <c r="H14">
        <f t="shared" si="6"/>
        <v>0.42349999999999999</v>
      </c>
      <c r="L14">
        <f t="shared" si="1"/>
        <v>83.925925925925924</v>
      </c>
      <c r="M14" s="42" t="s">
        <v>4796</v>
      </c>
      <c r="O14" s="3" t="s">
        <v>141</v>
      </c>
      <c r="P14">
        <v>45</v>
      </c>
      <c r="AH14" t="s">
        <v>82</v>
      </c>
      <c r="AI14">
        <v>1</v>
      </c>
      <c r="AM14" s="3" t="s">
        <v>3550</v>
      </c>
      <c r="AN14">
        <v>5</v>
      </c>
      <c r="AX14" s="49" t="s">
        <v>3276</v>
      </c>
      <c r="AY14">
        <v>4</v>
      </c>
      <c r="AZ14">
        <f t="shared" si="0"/>
        <v>2E-3</v>
      </c>
      <c r="BA14">
        <f t="shared" si="2"/>
        <v>159</v>
      </c>
      <c r="BB14">
        <f t="shared" si="3"/>
        <v>7.9500000000000001E-2</v>
      </c>
      <c r="BE14">
        <v>4</v>
      </c>
    </row>
    <row r="15" spans="1:57" x14ac:dyDescent="0.3">
      <c r="A15" t="s">
        <v>23</v>
      </c>
      <c r="B15">
        <v>1</v>
      </c>
      <c r="D15" s="3" t="s">
        <v>141</v>
      </c>
      <c r="E15">
        <v>45</v>
      </c>
      <c r="F15">
        <f t="shared" si="4"/>
        <v>2.2499999999999999E-2</v>
      </c>
      <c r="G15">
        <f t="shared" si="5"/>
        <v>892</v>
      </c>
      <c r="H15">
        <f t="shared" si="6"/>
        <v>0.44600000000000001</v>
      </c>
      <c r="L15">
        <f t="shared" si="1"/>
        <v>29.074074074074076</v>
      </c>
      <c r="M15">
        <f t="shared" ref="M15:M41" si="7">(E6-K$45)^2</f>
        <v>3033.1536351165983</v>
      </c>
      <c r="O15" s="3" t="s">
        <v>130</v>
      </c>
      <c r="P15">
        <v>83</v>
      </c>
      <c r="AH15" t="s">
        <v>10</v>
      </c>
      <c r="AI15">
        <v>1</v>
      </c>
      <c r="AM15" s="3" t="s">
        <v>3276</v>
      </c>
      <c r="AN15">
        <v>4</v>
      </c>
      <c r="AX15" s="49" t="s">
        <v>297</v>
      </c>
      <c r="AY15">
        <v>25</v>
      </c>
      <c r="AZ15">
        <f t="shared" si="0"/>
        <v>1.2500000000000001E-2</v>
      </c>
      <c r="BA15">
        <f t="shared" si="2"/>
        <v>184</v>
      </c>
      <c r="BB15">
        <f t="shared" si="3"/>
        <v>9.1999999999999998E-2</v>
      </c>
      <c r="BE15">
        <v>25</v>
      </c>
    </row>
    <row r="16" spans="1:57" x14ac:dyDescent="0.3">
      <c r="A16" t="s">
        <v>11</v>
      </c>
      <c r="B16">
        <v>1</v>
      </c>
      <c r="D16" s="3" t="s">
        <v>130</v>
      </c>
      <c r="E16">
        <v>83</v>
      </c>
      <c r="F16">
        <f t="shared" si="4"/>
        <v>4.1500000000000002E-2</v>
      </c>
      <c r="G16">
        <f t="shared" si="5"/>
        <v>975</v>
      </c>
      <c r="H16">
        <f t="shared" si="6"/>
        <v>0.48749999999999999</v>
      </c>
      <c r="L16">
        <f t="shared" si="1"/>
        <v>8.9259259259259238</v>
      </c>
      <c r="M16">
        <f t="shared" si="7"/>
        <v>57085.598079561045</v>
      </c>
      <c r="O16" s="3" t="s">
        <v>464</v>
      </c>
      <c r="P16">
        <v>33</v>
      </c>
      <c r="AH16" t="s">
        <v>10</v>
      </c>
      <c r="AI16">
        <v>1</v>
      </c>
      <c r="AM16" s="3" t="s">
        <v>297</v>
      </c>
      <c r="AN16">
        <v>25</v>
      </c>
      <c r="AX16" s="49" t="s">
        <v>3592</v>
      </c>
      <c r="AY16">
        <v>2</v>
      </c>
      <c r="AZ16">
        <f t="shared" si="0"/>
        <v>1E-3</v>
      </c>
      <c r="BA16">
        <f t="shared" si="2"/>
        <v>186</v>
      </c>
      <c r="BB16">
        <f t="shared" si="3"/>
        <v>9.2999999999999999E-2</v>
      </c>
      <c r="BE16">
        <v>2</v>
      </c>
    </row>
    <row r="17" spans="1:57" x14ac:dyDescent="0.3">
      <c r="A17" t="s">
        <v>98</v>
      </c>
      <c r="B17">
        <v>1</v>
      </c>
      <c r="D17" s="3" t="s">
        <v>464</v>
      </c>
      <c r="E17">
        <v>33</v>
      </c>
      <c r="F17">
        <f t="shared" si="4"/>
        <v>1.6500000000000001E-2</v>
      </c>
      <c r="G17">
        <f t="shared" si="5"/>
        <v>1008</v>
      </c>
      <c r="H17">
        <f t="shared" si="6"/>
        <v>0.504</v>
      </c>
      <c r="L17">
        <f t="shared" si="1"/>
        <v>41.074074074074076</v>
      </c>
      <c r="M17">
        <f t="shared" si="7"/>
        <v>16.598079561042542</v>
      </c>
      <c r="O17" s="3" t="s">
        <v>743</v>
      </c>
      <c r="P17">
        <v>65</v>
      </c>
      <c r="AH17" t="s">
        <v>10</v>
      </c>
      <c r="AI17">
        <v>1</v>
      </c>
      <c r="AM17" s="3" t="s">
        <v>3592</v>
      </c>
      <c r="AN17">
        <v>2</v>
      </c>
      <c r="AX17" s="49" t="s">
        <v>681</v>
      </c>
      <c r="AY17">
        <v>10</v>
      </c>
      <c r="AZ17">
        <f t="shared" si="0"/>
        <v>5.0000000000000001E-3</v>
      </c>
      <c r="BA17">
        <f t="shared" si="2"/>
        <v>196</v>
      </c>
      <c r="BB17">
        <f t="shared" si="3"/>
        <v>9.8000000000000004E-2</v>
      </c>
      <c r="BE17">
        <v>10</v>
      </c>
    </row>
    <row r="18" spans="1:57" x14ac:dyDescent="0.3">
      <c r="A18" t="s">
        <v>29</v>
      </c>
      <c r="B18">
        <v>1</v>
      </c>
      <c r="D18" s="3" t="s">
        <v>743</v>
      </c>
      <c r="E18">
        <v>65</v>
      </c>
      <c r="F18">
        <f t="shared" si="4"/>
        <v>3.2500000000000001E-2</v>
      </c>
      <c r="G18">
        <f t="shared" si="5"/>
        <v>1073</v>
      </c>
      <c r="H18">
        <f t="shared" si="6"/>
        <v>0.53649999999999998</v>
      </c>
      <c r="L18">
        <f t="shared" si="1"/>
        <v>9.0740740740740762</v>
      </c>
      <c r="M18">
        <f t="shared" si="7"/>
        <v>444.11659807956113</v>
      </c>
      <c r="O18" s="3" t="s">
        <v>715</v>
      </c>
      <c r="P18">
        <v>37</v>
      </c>
      <c r="AH18" t="s">
        <v>104</v>
      </c>
      <c r="AI18">
        <v>1</v>
      </c>
      <c r="AM18" s="3" t="s">
        <v>681</v>
      </c>
      <c r="AN18">
        <v>10</v>
      </c>
      <c r="AX18" s="49" t="s">
        <v>436</v>
      </c>
      <c r="AY18">
        <v>11</v>
      </c>
      <c r="AZ18">
        <f t="shared" si="0"/>
        <v>5.4999999999999997E-3</v>
      </c>
      <c r="BA18">
        <f t="shared" si="2"/>
        <v>207</v>
      </c>
      <c r="BB18">
        <f t="shared" si="3"/>
        <v>0.10350000000000001</v>
      </c>
      <c r="BE18">
        <v>11</v>
      </c>
    </row>
    <row r="19" spans="1:57" x14ac:dyDescent="0.3">
      <c r="A19" t="s">
        <v>11</v>
      </c>
      <c r="B19">
        <v>1</v>
      </c>
      <c r="D19" s="3" t="s">
        <v>715</v>
      </c>
      <c r="E19">
        <v>37</v>
      </c>
      <c r="F19">
        <f t="shared" si="4"/>
        <v>1.8499999999999999E-2</v>
      </c>
      <c r="G19">
        <f t="shared" si="5"/>
        <v>1110</v>
      </c>
      <c r="H19">
        <f t="shared" si="6"/>
        <v>0.55499999999999994</v>
      </c>
      <c r="L19">
        <f t="shared" si="1"/>
        <v>37.074074074074076</v>
      </c>
      <c r="M19">
        <f t="shared" si="7"/>
        <v>579.56104252400564</v>
      </c>
      <c r="O19" s="3" t="s">
        <v>243</v>
      </c>
      <c r="P19">
        <v>44</v>
      </c>
      <c r="AH19" t="s">
        <v>104</v>
      </c>
      <c r="AI19">
        <v>1</v>
      </c>
      <c r="AM19" s="3" t="s">
        <v>436</v>
      </c>
      <c r="AN19">
        <v>11</v>
      </c>
      <c r="AX19" s="49" t="s">
        <v>104</v>
      </c>
      <c r="AY19">
        <v>63</v>
      </c>
      <c r="AZ19">
        <f t="shared" si="0"/>
        <v>3.15E-2</v>
      </c>
      <c r="BA19">
        <f t="shared" si="2"/>
        <v>270</v>
      </c>
      <c r="BB19">
        <f t="shared" si="3"/>
        <v>0.13500000000000001</v>
      </c>
      <c r="BE19">
        <v>63</v>
      </c>
    </row>
    <row r="20" spans="1:57" x14ac:dyDescent="0.3">
      <c r="A20" t="s">
        <v>11</v>
      </c>
      <c r="B20">
        <v>1</v>
      </c>
      <c r="D20" s="3" t="s">
        <v>243</v>
      </c>
      <c r="E20">
        <v>44</v>
      </c>
      <c r="F20">
        <f t="shared" si="4"/>
        <v>2.1999999999999999E-2</v>
      </c>
      <c r="G20">
        <f t="shared" si="5"/>
        <v>1154</v>
      </c>
      <c r="H20">
        <f t="shared" si="6"/>
        <v>0.57699999999999996</v>
      </c>
      <c r="L20">
        <f t="shared" si="1"/>
        <v>30.074074074074076</v>
      </c>
      <c r="M20">
        <f t="shared" si="7"/>
        <v>1855.3758573388204</v>
      </c>
      <c r="O20" s="3" t="s">
        <v>23</v>
      </c>
      <c r="P20">
        <v>112</v>
      </c>
      <c r="AH20" t="s">
        <v>35</v>
      </c>
      <c r="AI20">
        <v>1</v>
      </c>
      <c r="AM20" s="3" t="s">
        <v>104</v>
      </c>
      <c r="AN20">
        <v>63</v>
      </c>
      <c r="AX20" s="49" t="s">
        <v>4106</v>
      </c>
      <c r="AY20">
        <v>1</v>
      </c>
      <c r="AZ20">
        <f t="shared" si="0"/>
        <v>5.0000000000000001E-4</v>
      </c>
      <c r="BA20">
        <f t="shared" si="2"/>
        <v>271</v>
      </c>
      <c r="BB20">
        <f t="shared" si="3"/>
        <v>0.13550000000000001</v>
      </c>
    </row>
    <row r="21" spans="1:57" x14ac:dyDescent="0.3">
      <c r="A21" t="s">
        <v>58</v>
      </c>
      <c r="B21">
        <v>1</v>
      </c>
      <c r="D21" s="3" t="s">
        <v>23</v>
      </c>
      <c r="E21">
        <v>112</v>
      </c>
      <c r="F21">
        <f t="shared" si="4"/>
        <v>5.6000000000000001E-2</v>
      </c>
      <c r="G21">
        <f t="shared" si="5"/>
        <v>1266</v>
      </c>
      <c r="H21">
        <f t="shared" si="6"/>
        <v>0.63300000000000001</v>
      </c>
      <c r="L21">
        <f t="shared" si="1"/>
        <v>37.925925925925924</v>
      </c>
      <c r="M21">
        <f t="shared" si="7"/>
        <v>24.264746227709171</v>
      </c>
      <c r="O21" s="3" t="s">
        <v>634</v>
      </c>
      <c r="P21">
        <v>97</v>
      </c>
      <c r="AH21" t="s">
        <v>10</v>
      </c>
      <c r="AI21">
        <v>1</v>
      </c>
      <c r="AM21" s="3" t="s">
        <v>4106</v>
      </c>
      <c r="AN21">
        <v>1</v>
      </c>
      <c r="AX21" s="49" t="s">
        <v>124</v>
      </c>
      <c r="AY21">
        <v>65</v>
      </c>
      <c r="AZ21">
        <f t="shared" si="0"/>
        <v>3.2500000000000001E-2</v>
      </c>
      <c r="BA21">
        <f t="shared" si="2"/>
        <v>336</v>
      </c>
      <c r="BB21">
        <f t="shared" si="3"/>
        <v>0.16800000000000001</v>
      </c>
      <c r="BE21">
        <v>65</v>
      </c>
    </row>
    <row r="22" spans="1:57" x14ac:dyDescent="0.3">
      <c r="A22" t="s">
        <v>52</v>
      </c>
      <c r="B22">
        <v>1</v>
      </c>
      <c r="D22" s="3" t="s">
        <v>634</v>
      </c>
      <c r="E22">
        <v>97</v>
      </c>
      <c r="F22">
        <f t="shared" si="4"/>
        <v>4.8500000000000001E-2</v>
      </c>
      <c r="G22">
        <f t="shared" si="5"/>
        <v>1363</v>
      </c>
      <c r="H22">
        <f t="shared" si="6"/>
        <v>0.68149999999999999</v>
      </c>
      <c r="L22">
        <f t="shared" si="1"/>
        <v>22.925925925925924</v>
      </c>
      <c r="M22">
        <f t="shared" si="7"/>
        <v>5.4869684499317247E-3</v>
      </c>
      <c r="O22" s="3" t="s">
        <v>232</v>
      </c>
      <c r="P22">
        <v>61</v>
      </c>
      <c r="AH22" t="s">
        <v>124</v>
      </c>
      <c r="AI22">
        <v>1</v>
      </c>
      <c r="AM22" s="3" t="s">
        <v>124</v>
      </c>
      <c r="AN22">
        <v>65</v>
      </c>
      <c r="AX22" s="49" t="s">
        <v>2364</v>
      </c>
      <c r="AY22">
        <v>12</v>
      </c>
      <c r="AZ22">
        <f t="shared" si="0"/>
        <v>6.0000000000000001E-3</v>
      </c>
      <c r="BA22">
        <f t="shared" si="2"/>
        <v>348</v>
      </c>
      <c r="BB22">
        <f t="shared" si="3"/>
        <v>0.17400000000000002</v>
      </c>
      <c r="BE22">
        <v>12</v>
      </c>
    </row>
    <row r="23" spans="1:57" x14ac:dyDescent="0.3">
      <c r="A23" t="s">
        <v>130</v>
      </c>
      <c r="B23">
        <v>1</v>
      </c>
      <c r="D23" s="3" t="s">
        <v>232</v>
      </c>
      <c r="E23">
        <v>61</v>
      </c>
      <c r="F23">
        <f t="shared" si="4"/>
        <v>3.0499999999999999E-2</v>
      </c>
      <c r="G23">
        <f t="shared" si="5"/>
        <v>1424</v>
      </c>
      <c r="H23">
        <f t="shared" si="6"/>
        <v>0.71199999999999997</v>
      </c>
      <c r="L23">
        <f t="shared" si="1"/>
        <v>13.074074074074076</v>
      </c>
      <c r="M23">
        <f t="shared" si="7"/>
        <v>7043.5610425240047</v>
      </c>
      <c r="O23" s="3" t="s">
        <v>29</v>
      </c>
      <c r="P23">
        <v>90</v>
      </c>
      <c r="AH23" t="s">
        <v>10</v>
      </c>
      <c r="AI23">
        <v>1</v>
      </c>
      <c r="AM23" s="3" t="s">
        <v>2364</v>
      </c>
      <c r="AN23">
        <v>12</v>
      </c>
      <c r="AX23" s="49" t="s">
        <v>737</v>
      </c>
      <c r="AY23">
        <v>20</v>
      </c>
      <c r="AZ23">
        <f t="shared" si="0"/>
        <v>0.01</v>
      </c>
      <c r="BA23">
        <f t="shared" si="2"/>
        <v>368</v>
      </c>
      <c r="BB23">
        <f t="shared" si="3"/>
        <v>0.18400000000000002</v>
      </c>
      <c r="BE23">
        <v>20</v>
      </c>
    </row>
    <row r="24" spans="1:57" x14ac:dyDescent="0.3">
      <c r="A24" t="s">
        <v>29</v>
      </c>
      <c r="B24">
        <v>1</v>
      </c>
      <c r="D24" s="3" t="s">
        <v>29</v>
      </c>
      <c r="E24">
        <v>90</v>
      </c>
      <c r="F24">
        <f t="shared" si="4"/>
        <v>4.4999999999999998E-2</v>
      </c>
      <c r="G24">
        <f t="shared" si="5"/>
        <v>1514</v>
      </c>
      <c r="H24">
        <f t="shared" si="6"/>
        <v>0.75700000000000001</v>
      </c>
      <c r="L24">
        <f t="shared" si="1"/>
        <v>15.925925925925924</v>
      </c>
      <c r="M24">
        <f t="shared" si="7"/>
        <v>845.3017832647464</v>
      </c>
      <c r="O24" s="3" t="s">
        <v>64</v>
      </c>
      <c r="P24">
        <v>88</v>
      </c>
      <c r="AH24" t="s">
        <v>10</v>
      </c>
      <c r="AI24">
        <v>1</v>
      </c>
      <c r="AM24" s="3" t="s">
        <v>737</v>
      </c>
      <c r="AN24">
        <v>20</v>
      </c>
      <c r="AX24" s="49" t="s">
        <v>3354</v>
      </c>
      <c r="AY24">
        <v>2</v>
      </c>
      <c r="AZ24">
        <f t="shared" si="0"/>
        <v>1E-3</v>
      </c>
      <c r="BA24">
        <f t="shared" si="2"/>
        <v>370</v>
      </c>
      <c r="BB24">
        <f t="shared" si="3"/>
        <v>0.18500000000000003</v>
      </c>
      <c r="BE24">
        <v>2</v>
      </c>
    </row>
    <row r="25" spans="1:57" x14ac:dyDescent="0.3">
      <c r="A25" t="s">
        <v>141</v>
      </c>
      <c r="B25">
        <v>1</v>
      </c>
      <c r="D25" s="3" t="s">
        <v>64</v>
      </c>
      <c r="E25">
        <v>88</v>
      </c>
      <c r="F25">
        <f t="shared" si="4"/>
        <v>4.3999999999999997E-2</v>
      </c>
      <c r="G25">
        <f t="shared" si="5"/>
        <v>1602</v>
      </c>
      <c r="H25">
        <f t="shared" si="6"/>
        <v>0.80100000000000005</v>
      </c>
      <c r="L25">
        <f t="shared" si="1"/>
        <v>13.925925925925924</v>
      </c>
      <c r="M25">
        <f t="shared" si="7"/>
        <v>79.672153635116558</v>
      </c>
      <c r="O25" s="3" t="s">
        <v>250</v>
      </c>
      <c r="P25">
        <v>26</v>
      </c>
      <c r="AH25" t="s">
        <v>10</v>
      </c>
      <c r="AI25">
        <v>1</v>
      </c>
      <c r="AM25" s="3" t="s">
        <v>3354</v>
      </c>
      <c r="AN25">
        <v>2</v>
      </c>
      <c r="AX25" s="49" t="s">
        <v>1172</v>
      </c>
      <c r="AY25">
        <v>27</v>
      </c>
      <c r="AZ25">
        <f t="shared" si="0"/>
        <v>1.35E-2</v>
      </c>
      <c r="BA25">
        <f t="shared" si="2"/>
        <v>397</v>
      </c>
      <c r="BB25">
        <f t="shared" si="3"/>
        <v>0.19850000000000004</v>
      </c>
      <c r="BE25">
        <v>27</v>
      </c>
    </row>
    <row r="26" spans="1:57" x14ac:dyDescent="0.3">
      <c r="A26" t="s">
        <v>11</v>
      </c>
      <c r="B26">
        <v>1</v>
      </c>
      <c r="D26" s="3" t="s">
        <v>250</v>
      </c>
      <c r="E26">
        <v>26</v>
      </c>
      <c r="F26">
        <f t="shared" si="4"/>
        <v>1.2999999999999999E-2</v>
      </c>
      <c r="G26">
        <f t="shared" si="5"/>
        <v>1628</v>
      </c>
      <c r="H26">
        <f t="shared" si="6"/>
        <v>0.81400000000000006</v>
      </c>
      <c r="L26">
        <f t="shared" si="1"/>
        <v>48.074074074074076</v>
      </c>
      <c r="M26">
        <f t="shared" si="7"/>
        <v>1687.0795610425241</v>
      </c>
      <c r="O26" s="3" t="s">
        <v>174</v>
      </c>
      <c r="P26">
        <v>31</v>
      </c>
      <c r="AH26" t="s">
        <v>10</v>
      </c>
      <c r="AI26">
        <v>1</v>
      </c>
      <c r="AM26" s="3" t="s">
        <v>1172</v>
      </c>
      <c r="AN26">
        <v>27</v>
      </c>
      <c r="AQ26" s="15" t="s">
        <v>4806</v>
      </c>
      <c r="AR26" s="15" t="s">
        <v>4798</v>
      </c>
      <c r="AX26" s="49" t="s">
        <v>2672</v>
      </c>
      <c r="AY26">
        <v>7</v>
      </c>
      <c r="AZ26">
        <f t="shared" si="0"/>
        <v>3.5000000000000001E-3</v>
      </c>
      <c r="BA26">
        <f t="shared" si="2"/>
        <v>404</v>
      </c>
      <c r="BB26">
        <f t="shared" si="3"/>
        <v>0.20200000000000004</v>
      </c>
      <c r="BE26">
        <v>7</v>
      </c>
    </row>
    <row r="27" spans="1:57" x14ac:dyDescent="0.3">
      <c r="A27" t="s">
        <v>151</v>
      </c>
      <c r="B27">
        <v>1</v>
      </c>
      <c r="D27" s="3" t="s">
        <v>174</v>
      </c>
      <c r="E27">
        <v>31</v>
      </c>
      <c r="F27">
        <f t="shared" si="4"/>
        <v>1.55E-2</v>
      </c>
      <c r="G27">
        <f t="shared" si="5"/>
        <v>1659</v>
      </c>
      <c r="H27">
        <f t="shared" si="6"/>
        <v>0.82950000000000002</v>
      </c>
      <c r="L27">
        <f t="shared" si="1"/>
        <v>43.074074074074076</v>
      </c>
      <c r="M27">
        <f t="shared" si="7"/>
        <v>82.338820301783301</v>
      </c>
      <c r="O27" s="3" t="s">
        <v>98</v>
      </c>
      <c r="P27">
        <v>59</v>
      </c>
      <c r="AH27" t="s">
        <v>10</v>
      </c>
      <c r="AI27">
        <v>1</v>
      </c>
      <c r="AM27" s="3" t="s">
        <v>2672</v>
      </c>
      <c r="AN27">
        <v>7</v>
      </c>
      <c r="AP27" s="40" t="s">
        <v>4807</v>
      </c>
      <c r="AQ27" s="22">
        <f>AVERAGE(AY4:AY64)</f>
        <v>32.786885245901637</v>
      </c>
      <c r="AR27">
        <f>AVERAGE(BE4:BE64)</f>
        <v>19.794871794871796</v>
      </c>
      <c r="AX27" s="49" t="s">
        <v>1079</v>
      </c>
      <c r="AY27">
        <v>8</v>
      </c>
      <c r="AZ27">
        <f t="shared" si="0"/>
        <v>4.0000000000000001E-3</v>
      </c>
      <c r="BA27">
        <f t="shared" si="2"/>
        <v>412</v>
      </c>
      <c r="BB27">
        <f t="shared" si="3"/>
        <v>0.20600000000000004</v>
      </c>
      <c r="BE27">
        <v>8</v>
      </c>
    </row>
    <row r="28" spans="1:57" x14ac:dyDescent="0.3">
      <c r="A28" t="s">
        <v>11</v>
      </c>
      <c r="B28">
        <v>1</v>
      </c>
      <c r="D28" s="3" t="s">
        <v>98</v>
      </c>
      <c r="E28">
        <v>59</v>
      </c>
      <c r="F28">
        <f t="shared" si="4"/>
        <v>2.9499999999999998E-2</v>
      </c>
      <c r="G28">
        <f t="shared" si="5"/>
        <v>1718</v>
      </c>
      <c r="H28">
        <f t="shared" si="6"/>
        <v>0.85899999999999999</v>
      </c>
      <c r="L28">
        <f t="shared" si="1"/>
        <v>15.074074074074076</v>
      </c>
      <c r="M28">
        <f t="shared" si="7"/>
        <v>1374.4869684499315</v>
      </c>
      <c r="O28" s="3" t="s">
        <v>151</v>
      </c>
      <c r="P28">
        <v>67</v>
      </c>
      <c r="AH28" t="s">
        <v>35</v>
      </c>
      <c r="AI28">
        <v>1</v>
      </c>
      <c r="AM28" s="3" t="s">
        <v>1079</v>
      </c>
      <c r="AN28">
        <v>8</v>
      </c>
      <c r="AP28" s="40" t="s">
        <v>4800</v>
      </c>
      <c r="AQ28" s="22">
        <f>GEOMEAN(AY4:AY64)</f>
        <v>7.5718541225464522</v>
      </c>
      <c r="AR28" s="22">
        <f>GEOMEAN(BE4:BE64)</f>
        <v>13.93003736704161</v>
      </c>
      <c r="AX28" s="49" t="s">
        <v>2612</v>
      </c>
      <c r="AY28">
        <v>1</v>
      </c>
      <c r="AZ28">
        <f t="shared" si="0"/>
        <v>5.0000000000000001E-4</v>
      </c>
      <c r="BA28">
        <f t="shared" si="2"/>
        <v>413</v>
      </c>
      <c r="BB28">
        <f t="shared" si="3"/>
        <v>0.20650000000000004</v>
      </c>
    </row>
    <row r="29" spans="1:57" x14ac:dyDescent="0.3">
      <c r="A29" t="s">
        <v>58</v>
      </c>
      <c r="B29">
        <v>1</v>
      </c>
      <c r="D29" s="3" t="s">
        <v>151</v>
      </c>
      <c r="E29">
        <v>67</v>
      </c>
      <c r="F29">
        <f t="shared" si="4"/>
        <v>3.3500000000000002E-2</v>
      </c>
      <c r="G29">
        <f t="shared" si="5"/>
        <v>1785</v>
      </c>
      <c r="H29">
        <f t="shared" si="6"/>
        <v>0.89249999999999996</v>
      </c>
      <c r="L29">
        <f t="shared" si="1"/>
        <v>7.0740740740740762</v>
      </c>
      <c r="M29">
        <f t="shared" si="7"/>
        <v>904.44993141289456</v>
      </c>
      <c r="O29" s="3" t="s">
        <v>792</v>
      </c>
      <c r="P29">
        <v>25</v>
      </c>
      <c r="AH29" t="s">
        <v>10</v>
      </c>
      <c r="AI29">
        <v>1</v>
      </c>
      <c r="AM29" s="3" t="s">
        <v>2612</v>
      </c>
      <c r="AN29">
        <v>1</v>
      </c>
      <c r="AP29" s="40" t="s">
        <v>4801</v>
      </c>
      <c r="AQ29" s="40" t="s">
        <v>4809</v>
      </c>
      <c r="AR29" s="40" t="s">
        <v>4808</v>
      </c>
      <c r="AX29" s="49" t="s">
        <v>2925</v>
      </c>
      <c r="AY29">
        <v>8</v>
      </c>
      <c r="AZ29">
        <f t="shared" si="0"/>
        <v>4.0000000000000001E-3</v>
      </c>
      <c r="BA29">
        <f t="shared" si="2"/>
        <v>421</v>
      </c>
      <c r="BB29">
        <f t="shared" si="3"/>
        <v>0.21050000000000005</v>
      </c>
      <c r="BE29">
        <v>8</v>
      </c>
    </row>
    <row r="30" spans="1:57" x14ac:dyDescent="0.3">
      <c r="A30" t="s">
        <v>52</v>
      </c>
      <c r="B30">
        <v>1</v>
      </c>
      <c r="D30" s="3" t="s">
        <v>792</v>
      </c>
      <c r="E30">
        <v>25</v>
      </c>
      <c r="F30">
        <f t="shared" si="4"/>
        <v>1.2500000000000001E-2</v>
      </c>
      <c r="G30">
        <f t="shared" si="5"/>
        <v>1810</v>
      </c>
      <c r="H30">
        <f t="shared" si="6"/>
        <v>0.90499999999999992</v>
      </c>
      <c r="L30">
        <f t="shared" si="1"/>
        <v>49.074074074074076</v>
      </c>
      <c r="M30">
        <f t="shared" si="7"/>
        <v>1438.3758573388202</v>
      </c>
      <c r="O30" s="3" t="s">
        <v>365</v>
      </c>
      <c r="P30">
        <v>80</v>
      </c>
      <c r="AH30" t="s">
        <v>10</v>
      </c>
      <c r="AI30">
        <v>1</v>
      </c>
      <c r="AM30" s="3" t="s">
        <v>2925</v>
      </c>
      <c r="AN30">
        <v>8</v>
      </c>
      <c r="AP30" s="40" t="s">
        <v>4754</v>
      </c>
      <c r="AQ30" s="22">
        <f>_xlfn.VAR.P(AY4:AY64)</f>
        <v>10538.167696855684</v>
      </c>
      <c r="AR30" s="22">
        <f>_xlfn.VAR.P(BE4:BE64)</f>
        <v>268.21433267587116</v>
      </c>
      <c r="AX30" s="49" t="s">
        <v>205</v>
      </c>
      <c r="AY30">
        <v>41</v>
      </c>
      <c r="AZ30">
        <f t="shared" si="0"/>
        <v>2.0500000000000001E-2</v>
      </c>
      <c r="BA30">
        <f t="shared" si="2"/>
        <v>462</v>
      </c>
      <c r="BB30">
        <f t="shared" si="3"/>
        <v>0.23100000000000004</v>
      </c>
      <c r="BE30">
        <v>41</v>
      </c>
    </row>
    <row r="31" spans="1:57" x14ac:dyDescent="0.3">
      <c r="A31" t="s">
        <v>151</v>
      </c>
      <c r="B31">
        <v>1</v>
      </c>
      <c r="D31" s="3" t="s">
        <v>365</v>
      </c>
      <c r="E31">
        <v>80</v>
      </c>
      <c r="F31">
        <f t="shared" si="4"/>
        <v>0.04</v>
      </c>
      <c r="G31">
        <f t="shared" si="5"/>
        <v>1890</v>
      </c>
      <c r="H31">
        <f t="shared" si="6"/>
        <v>0.94499999999999995</v>
      </c>
      <c r="L31">
        <f t="shared" si="1"/>
        <v>5.9259259259259238</v>
      </c>
      <c r="M31">
        <f t="shared" si="7"/>
        <v>525.59807956104248</v>
      </c>
      <c r="O31" s="3" t="s">
        <v>345</v>
      </c>
      <c r="P31">
        <v>110</v>
      </c>
      <c r="AH31" t="s">
        <v>51</v>
      </c>
      <c r="AI31">
        <v>1</v>
      </c>
      <c r="AM31" s="3" t="s">
        <v>205</v>
      </c>
      <c r="AN31">
        <v>41</v>
      </c>
      <c r="AP31" s="40" t="s">
        <v>4795</v>
      </c>
      <c r="AQ31" s="22">
        <f>SQRT(AQ30)</f>
        <v>102.65557801140513</v>
      </c>
      <c r="AR31" s="22">
        <f>SQRT(AR30)</f>
        <v>16.377250461413574</v>
      </c>
      <c r="AX31" s="49" t="s">
        <v>51</v>
      </c>
      <c r="AY31">
        <v>316</v>
      </c>
      <c r="AZ31">
        <f t="shared" si="0"/>
        <v>0.158</v>
      </c>
      <c r="BA31">
        <f t="shared" si="2"/>
        <v>778</v>
      </c>
      <c r="BB31">
        <f t="shared" si="3"/>
        <v>0.38900000000000001</v>
      </c>
    </row>
    <row r="32" spans="1:57" x14ac:dyDescent="0.3">
      <c r="A32" t="s">
        <v>174</v>
      </c>
      <c r="B32">
        <v>1</v>
      </c>
      <c r="D32" s="3" t="s">
        <v>345</v>
      </c>
      <c r="E32">
        <v>110</v>
      </c>
      <c r="F32">
        <f t="shared" si="4"/>
        <v>5.5E-2</v>
      </c>
      <c r="G32">
        <f t="shared" si="5"/>
        <v>2000</v>
      </c>
      <c r="H32">
        <f t="shared" si="6"/>
        <v>1</v>
      </c>
      <c r="L32">
        <f t="shared" si="1"/>
        <v>35.925925925925924</v>
      </c>
      <c r="M32">
        <f t="shared" si="7"/>
        <v>170.93141289437591</v>
      </c>
      <c r="O32" s="3" t="s">
        <v>4709</v>
      </c>
      <c r="P32">
        <v>2000</v>
      </c>
      <c r="AH32" t="s">
        <v>10</v>
      </c>
      <c r="AI32">
        <v>1</v>
      </c>
      <c r="AM32" s="3" t="s">
        <v>51</v>
      </c>
      <c r="AN32">
        <v>316</v>
      </c>
      <c r="AP32" s="40" t="s">
        <v>4802</v>
      </c>
      <c r="AQ32" s="22">
        <f>AQ31/AQ27</f>
        <v>3.1309951293478564</v>
      </c>
      <c r="AR32" s="22">
        <f>AR31/AR27</f>
        <v>0.82734814507141108</v>
      </c>
      <c r="AX32" s="49" t="s">
        <v>3296</v>
      </c>
      <c r="AY32">
        <v>1</v>
      </c>
      <c r="AZ32">
        <f t="shared" si="0"/>
        <v>5.0000000000000001E-4</v>
      </c>
      <c r="BA32">
        <f t="shared" si="2"/>
        <v>779</v>
      </c>
      <c r="BB32">
        <f t="shared" si="3"/>
        <v>0.38950000000000001</v>
      </c>
    </row>
    <row r="33" spans="1:57" x14ac:dyDescent="0.3">
      <c r="A33" t="s">
        <v>130</v>
      </c>
      <c r="B33">
        <v>1</v>
      </c>
      <c r="D33" s="18" t="s">
        <v>103</v>
      </c>
      <c r="E33" s="18">
        <v>2000</v>
      </c>
      <c r="F33" s="18">
        <v>1</v>
      </c>
      <c r="G33" s="18">
        <v>2000</v>
      </c>
      <c r="H33" s="18">
        <v>1</v>
      </c>
      <c r="M33">
        <f t="shared" si="7"/>
        <v>253.63511659807949</v>
      </c>
      <c r="AH33" t="s">
        <v>70</v>
      </c>
      <c r="AI33">
        <v>1</v>
      </c>
      <c r="AM33" s="3" t="s">
        <v>3296</v>
      </c>
      <c r="AN33">
        <v>1</v>
      </c>
      <c r="AX33" s="49" t="s">
        <v>584</v>
      </c>
      <c r="AY33">
        <v>4</v>
      </c>
      <c r="AZ33">
        <f t="shared" si="0"/>
        <v>2E-3</v>
      </c>
      <c r="BA33">
        <f t="shared" si="2"/>
        <v>783</v>
      </c>
      <c r="BB33">
        <f t="shared" si="3"/>
        <v>0.39150000000000001</v>
      </c>
      <c r="BE33">
        <v>4</v>
      </c>
    </row>
    <row r="34" spans="1:57" x14ac:dyDescent="0.3">
      <c r="A34" t="s">
        <v>151</v>
      </c>
      <c r="B34">
        <v>1</v>
      </c>
      <c r="M34">
        <f t="shared" si="7"/>
        <v>193.9314128943758</v>
      </c>
      <c r="AH34" t="s">
        <v>10</v>
      </c>
      <c r="AI34">
        <v>1</v>
      </c>
      <c r="AM34" s="3" t="s">
        <v>584</v>
      </c>
      <c r="AN34">
        <v>4</v>
      </c>
      <c r="AX34" s="49" t="s">
        <v>3359</v>
      </c>
      <c r="AY34">
        <v>4</v>
      </c>
      <c r="AZ34">
        <f t="shared" si="0"/>
        <v>2E-3</v>
      </c>
      <c r="BA34">
        <f t="shared" si="2"/>
        <v>787</v>
      </c>
      <c r="BB34">
        <f t="shared" si="3"/>
        <v>0.39350000000000002</v>
      </c>
      <c r="BE34">
        <v>4</v>
      </c>
    </row>
    <row r="35" spans="1:57" x14ac:dyDescent="0.3">
      <c r="A35" t="s">
        <v>58</v>
      </c>
      <c r="B35">
        <v>1</v>
      </c>
      <c r="M35">
        <f t="shared" si="7"/>
        <v>2311.1165980795613</v>
      </c>
      <c r="AH35" t="s">
        <v>124</v>
      </c>
      <c r="AI35">
        <v>1</v>
      </c>
      <c r="AM35" s="3" t="s">
        <v>3359</v>
      </c>
      <c r="AN35">
        <v>4</v>
      </c>
      <c r="AX35" s="49" t="s">
        <v>2632</v>
      </c>
      <c r="AY35">
        <v>1</v>
      </c>
      <c r="AZ35">
        <f t="shared" si="0"/>
        <v>5.0000000000000001E-4</v>
      </c>
      <c r="BA35">
        <f t="shared" si="2"/>
        <v>788</v>
      </c>
      <c r="BB35">
        <f t="shared" si="3"/>
        <v>0.39400000000000002</v>
      </c>
    </row>
    <row r="36" spans="1:57" x14ac:dyDescent="0.3">
      <c r="A36" t="s">
        <v>17</v>
      </c>
      <c r="B36">
        <v>1</v>
      </c>
      <c r="M36">
        <f t="shared" si="7"/>
        <v>1855.3758573388204</v>
      </c>
      <c r="AH36" t="s">
        <v>124</v>
      </c>
      <c r="AI36">
        <v>1</v>
      </c>
      <c r="AM36" s="3" t="s">
        <v>2632</v>
      </c>
      <c r="AN36">
        <v>1</v>
      </c>
      <c r="AX36" s="49" t="s">
        <v>2415</v>
      </c>
      <c r="AY36">
        <v>2</v>
      </c>
      <c r="AZ36">
        <f t="shared" si="0"/>
        <v>1E-3</v>
      </c>
      <c r="BA36">
        <f t="shared" si="2"/>
        <v>790</v>
      </c>
      <c r="BB36">
        <f t="shared" si="3"/>
        <v>0.39500000000000002</v>
      </c>
    </row>
    <row r="37" spans="1:57" x14ac:dyDescent="0.3">
      <c r="A37" t="s">
        <v>11</v>
      </c>
      <c r="B37">
        <v>1</v>
      </c>
      <c r="H37">
        <f>_xlfn.VAR.P(E6:E32)</f>
        <v>3178.3648834019205</v>
      </c>
      <c r="M37">
        <f t="shared" si="7"/>
        <v>227.22770919067221</v>
      </c>
      <c r="AH37" t="s">
        <v>35</v>
      </c>
      <c r="AI37">
        <v>1</v>
      </c>
      <c r="AM37" s="3" t="s">
        <v>2415</v>
      </c>
      <c r="AN37">
        <v>2</v>
      </c>
      <c r="AX37" s="49" t="s">
        <v>2172</v>
      </c>
      <c r="AY37">
        <v>16</v>
      </c>
      <c r="AZ37">
        <f t="shared" si="0"/>
        <v>8.0000000000000002E-3</v>
      </c>
      <c r="BA37">
        <f t="shared" si="2"/>
        <v>806</v>
      </c>
      <c r="BB37">
        <f t="shared" si="3"/>
        <v>0.40300000000000002</v>
      </c>
      <c r="BE37">
        <v>16</v>
      </c>
    </row>
    <row r="38" spans="1:57" x14ac:dyDescent="0.3">
      <c r="A38" t="s">
        <v>29</v>
      </c>
      <c r="B38">
        <v>1</v>
      </c>
      <c r="D38">
        <f>AVERAGE(D43:D67)</f>
        <v>61.16</v>
      </c>
      <c r="M38">
        <f t="shared" si="7"/>
        <v>50.042524005486996</v>
      </c>
      <c r="AH38" t="s">
        <v>205</v>
      </c>
      <c r="AI38">
        <v>1</v>
      </c>
      <c r="AM38" s="3" t="s">
        <v>2172</v>
      </c>
      <c r="AN38">
        <v>16</v>
      </c>
      <c r="AX38" s="49" t="s">
        <v>1679</v>
      </c>
      <c r="AY38">
        <v>17</v>
      </c>
      <c r="AZ38">
        <f t="shared" si="0"/>
        <v>8.5000000000000006E-3</v>
      </c>
      <c r="BA38">
        <f t="shared" si="2"/>
        <v>823</v>
      </c>
      <c r="BB38">
        <f t="shared" si="3"/>
        <v>0.41150000000000003</v>
      </c>
      <c r="BE38">
        <v>17</v>
      </c>
    </row>
    <row r="39" spans="1:57" x14ac:dyDescent="0.3">
      <c r="A39" t="s">
        <v>29</v>
      </c>
      <c r="B39">
        <v>1</v>
      </c>
      <c r="D39">
        <f>_xlfn.VAR.P(D43:D67)</f>
        <v>700.69439999999997</v>
      </c>
      <c r="M39">
        <f t="shared" si="7"/>
        <v>2408.2647462277096</v>
      </c>
      <c r="Y39" s="40"/>
      <c r="Z39" s="45" t="s">
        <v>4797</v>
      </c>
      <c r="AA39" s="45" t="s">
        <v>4798</v>
      </c>
      <c r="AH39" t="s">
        <v>10</v>
      </c>
      <c r="AI39">
        <v>1</v>
      </c>
      <c r="AM39" s="3" t="s">
        <v>1679</v>
      </c>
      <c r="AN39">
        <v>17</v>
      </c>
      <c r="AX39" s="49" t="s">
        <v>76</v>
      </c>
      <c r="AY39">
        <v>28</v>
      </c>
      <c r="AZ39">
        <f t="shared" si="0"/>
        <v>1.4E-2</v>
      </c>
      <c r="BA39">
        <f t="shared" si="2"/>
        <v>851</v>
      </c>
      <c r="BB39">
        <f t="shared" si="3"/>
        <v>0.42550000000000004</v>
      </c>
      <c r="BE39">
        <v>28</v>
      </c>
    </row>
    <row r="40" spans="1:57" x14ac:dyDescent="0.3">
      <c r="A40" t="s">
        <v>11</v>
      </c>
      <c r="B40">
        <v>1</v>
      </c>
      <c r="D40">
        <f>SQRT(D39)</f>
        <v>26.470632784276237</v>
      </c>
      <c r="G40" s="43" t="s">
        <v>4731</v>
      </c>
      <c r="H40" s="43"/>
      <c r="J40" s="16" t="s">
        <v>4743</v>
      </c>
      <c r="K40" s="16"/>
      <c r="M40">
        <f t="shared" si="7"/>
        <v>35.116598079561015</v>
      </c>
      <c r="Y40" s="40" t="s">
        <v>4799</v>
      </c>
      <c r="Z40" s="40">
        <f>K45</f>
        <v>74.074074074074076</v>
      </c>
      <c r="AA40" s="40">
        <f>D38</f>
        <v>61.16</v>
      </c>
      <c r="AH40" t="s">
        <v>216</v>
      </c>
      <c r="AI40">
        <v>1</v>
      </c>
      <c r="AM40" s="3" t="s">
        <v>76</v>
      </c>
      <c r="AN40">
        <v>28</v>
      </c>
      <c r="AX40" s="49" t="s">
        <v>82</v>
      </c>
      <c r="AY40">
        <v>2</v>
      </c>
      <c r="AZ40">
        <f t="shared" si="0"/>
        <v>1E-3</v>
      </c>
      <c r="BA40">
        <f t="shared" si="2"/>
        <v>853</v>
      </c>
      <c r="BB40">
        <f t="shared" si="3"/>
        <v>0.42650000000000005</v>
      </c>
    </row>
    <row r="41" spans="1:57" x14ac:dyDescent="0.3">
      <c r="A41" t="s">
        <v>58</v>
      </c>
      <c r="B41">
        <v>1</v>
      </c>
      <c r="D41">
        <f>D40/D38</f>
        <v>0.43280956154800915</v>
      </c>
      <c r="G41" s="44" t="s">
        <v>4732</v>
      </c>
      <c r="H41" s="45"/>
      <c r="J41" s="14" t="s">
        <v>4738</v>
      </c>
      <c r="K41" s="15">
        <f>313-19</f>
        <v>294</v>
      </c>
      <c r="M41">
        <f t="shared" si="7"/>
        <v>1290.6721536351165</v>
      </c>
      <c r="Y41" s="40" t="s">
        <v>4812</v>
      </c>
      <c r="Z41" s="40">
        <f>GEOMEAN(E6:E32)</f>
        <v>60.878991099106855</v>
      </c>
      <c r="AA41" s="40">
        <f>GEOMEAN(D43:D67)</f>
        <v>54.885393894109946</v>
      </c>
      <c r="AH41" t="s">
        <v>10</v>
      </c>
      <c r="AI41">
        <v>1</v>
      </c>
      <c r="AM41" s="3" t="s">
        <v>82</v>
      </c>
      <c r="AN41">
        <v>2</v>
      </c>
      <c r="AX41" s="49" t="s">
        <v>3161</v>
      </c>
      <c r="AY41">
        <v>1</v>
      </c>
      <c r="AZ41">
        <f t="shared" si="0"/>
        <v>5.0000000000000001E-4</v>
      </c>
      <c r="BA41">
        <f t="shared" si="2"/>
        <v>854</v>
      </c>
      <c r="BB41">
        <f t="shared" si="3"/>
        <v>0.42700000000000005</v>
      </c>
    </row>
    <row r="42" spans="1:57" x14ac:dyDescent="0.3">
      <c r="A42" t="s">
        <v>11</v>
      </c>
      <c r="B42">
        <v>1</v>
      </c>
      <c r="G42" s="44" t="s">
        <v>4737</v>
      </c>
      <c r="H42" s="26"/>
      <c r="J42" s="14" t="s">
        <v>4739</v>
      </c>
      <c r="K42" s="15">
        <f>M42/27</f>
        <v>3178.36488340192</v>
      </c>
      <c r="M42">
        <f>SUM(M15:M41)</f>
        <v>85815.851851851839</v>
      </c>
      <c r="Y42" s="40" t="s">
        <v>4801</v>
      </c>
      <c r="Z42" s="46">
        <v>313</v>
      </c>
      <c r="AA42" s="40">
        <f>D56</f>
        <v>112</v>
      </c>
      <c r="AH42" t="s">
        <v>10</v>
      </c>
      <c r="AI42">
        <v>1</v>
      </c>
      <c r="AM42" s="3" t="s">
        <v>3161</v>
      </c>
      <c r="AN42">
        <v>1</v>
      </c>
      <c r="AX42" s="49" t="s">
        <v>608</v>
      </c>
      <c r="AY42">
        <v>8</v>
      </c>
      <c r="AZ42">
        <f t="shared" si="0"/>
        <v>4.0000000000000001E-3</v>
      </c>
      <c r="BA42">
        <f t="shared" si="2"/>
        <v>862</v>
      </c>
      <c r="BB42">
        <f t="shared" si="3"/>
        <v>0.43100000000000005</v>
      </c>
      <c r="BE42">
        <v>8</v>
      </c>
    </row>
    <row r="43" spans="1:57" x14ac:dyDescent="0.3">
      <c r="A43" t="s">
        <v>232</v>
      </c>
      <c r="B43">
        <v>1</v>
      </c>
      <c r="D43">
        <v>19</v>
      </c>
      <c r="E43">
        <v>19</v>
      </c>
      <c r="G43" s="44" t="s">
        <v>4733</v>
      </c>
      <c r="H43" s="45"/>
      <c r="J43" s="14" t="s">
        <v>4740</v>
      </c>
      <c r="K43" s="15">
        <f>SQRT(K42)</f>
        <v>56.376988952957745</v>
      </c>
      <c r="Y43" s="40" t="s">
        <v>4754</v>
      </c>
      <c r="Z43" s="40">
        <f>K42</f>
        <v>3178.36488340192</v>
      </c>
      <c r="AA43" s="40">
        <f>_xlfn.VAR.P(D43:D67)</f>
        <v>700.69439999999997</v>
      </c>
      <c r="AH43" t="s">
        <v>10</v>
      </c>
      <c r="AI43">
        <v>1</v>
      </c>
      <c r="AM43" s="3" t="s">
        <v>608</v>
      </c>
      <c r="AN43">
        <v>8</v>
      </c>
      <c r="AX43" s="49" t="s">
        <v>3998</v>
      </c>
      <c r="AY43">
        <v>1</v>
      </c>
      <c r="AZ43">
        <f t="shared" si="0"/>
        <v>5.0000000000000001E-4</v>
      </c>
      <c r="BA43">
        <f t="shared" si="2"/>
        <v>863</v>
      </c>
      <c r="BB43">
        <f t="shared" si="3"/>
        <v>0.43150000000000005</v>
      </c>
    </row>
    <row r="44" spans="1:57" x14ac:dyDescent="0.3">
      <c r="A44" t="s">
        <v>98</v>
      </c>
      <c r="B44">
        <v>1</v>
      </c>
      <c r="D44">
        <v>70</v>
      </c>
      <c r="E44">
        <v>70</v>
      </c>
      <c r="G44" s="44" t="s">
        <v>4734</v>
      </c>
      <c r="H44" s="26"/>
      <c r="J44" s="14" t="s">
        <v>4741</v>
      </c>
      <c r="K44" s="15">
        <f>K43/K45</f>
        <v>0.76108935086492957</v>
      </c>
      <c r="Y44" s="40" t="s">
        <v>4795</v>
      </c>
      <c r="Z44" s="40">
        <f>K43</f>
        <v>56.376988952957745</v>
      </c>
      <c r="AA44" s="40">
        <f>SQRT(AA43)</f>
        <v>26.470632784276237</v>
      </c>
      <c r="AH44" t="s">
        <v>10</v>
      </c>
      <c r="AI44">
        <v>1</v>
      </c>
      <c r="AM44" s="3" t="s">
        <v>3998</v>
      </c>
      <c r="AN44">
        <v>1</v>
      </c>
      <c r="AX44" s="49" t="s">
        <v>1234</v>
      </c>
      <c r="AY44">
        <v>1</v>
      </c>
      <c r="AZ44">
        <f t="shared" si="0"/>
        <v>5.0000000000000001E-4</v>
      </c>
      <c r="BA44">
        <f t="shared" si="2"/>
        <v>864</v>
      </c>
      <c r="BB44">
        <f t="shared" si="3"/>
        <v>0.43200000000000005</v>
      </c>
    </row>
    <row r="45" spans="1:57" x14ac:dyDescent="0.3">
      <c r="A45" t="s">
        <v>243</v>
      </c>
      <c r="B45">
        <v>1</v>
      </c>
      <c r="D45">
        <v>53</v>
      </c>
      <c r="E45">
        <v>53</v>
      </c>
      <c r="G45" s="44" t="s">
        <v>4735</v>
      </c>
      <c r="H45" s="45"/>
      <c r="J45" s="14" t="s">
        <v>232</v>
      </c>
      <c r="K45" s="15">
        <f>AVERAGE(E6:E32)</f>
        <v>74.074074074074076</v>
      </c>
      <c r="N45" s="44"/>
      <c r="O45" s="34"/>
      <c r="Y45" s="40" t="s">
        <v>4802</v>
      </c>
      <c r="Z45" s="40">
        <f>Z44/Z40</f>
        <v>0.76108935086492957</v>
      </c>
      <c r="AA45" s="40">
        <f>AA44/AA40</f>
        <v>0.43280956154800915</v>
      </c>
      <c r="AH45" t="s">
        <v>10</v>
      </c>
      <c r="AI45">
        <v>1</v>
      </c>
      <c r="AM45" s="3" t="s">
        <v>1234</v>
      </c>
      <c r="AN45">
        <v>1</v>
      </c>
      <c r="AX45" s="49" t="s">
        <v>4641</v>
      </c>
      <c r="AY45">
        <v>1</v>
      </c>
      <c r="AZ45">
        <f t="shared" si="0"/>
        <v>5.0000000000000001E-4</v>
      </c>
      <c r="BA45">
        <f t="shared" si="2"/>
        <v>865</v>
      </c>
      <c r="BB45">
        <f t="shared" si="3"/>
        <v>0.43250000000000005</v>
      </c>
    </row>
    <row r="46" spans="1:57" x14ac:dyDescent="0.3">
      <c r="A46" t="s">
        <v>250</v>
      </c>
      <c r="B46">
        <v>1</v>
      </c>
      <c r="D46">
        <v>50</v>
      </c>
      <c r="E46">
        <v>50</v>
      </c>
      <c r="G46" s="44" t="s">
        <v>4736</v>
      </c>
      <c r="H46" s="45"/>
      <c r="J46" s="50"/>
      <c r="K46" s="26"/>
      <c r="N46" s="44"/>
      <c r="O46" s="45"/>
      <c r="AH46" t="s">
        <v>249</v>
      </c>
      <c r="AI46">
        <v>1</v>
      </c>
      <c r="AM46" s="3" t="s">
        <v>4641</v>
      </c>
      <c r="AN46">
        <v>1</v>
      </c>
      <c r="AX46" s="49" t="s">
        <v>4325</v>
      </c>
      <c r="AY46">
        <v>2</v>
      </c>
      <c r="AZ46">
        <f t="shared" si="0"/>
        <v>1E-3</v>
      </c>
      <c r="BA46">
        <f t="shared" si="2"/>
        <v>867</v>
      </c>
      <c r="BB46">
        <f t="shared" si="3"/>
        <v>0.43350000000000005</v>
      </c>
    </row>
    <row r="47" spans="1:57" x14ac:dyDescent="0.3">
      <c r="A47" t="s">
        <v>141</v>
      </c>
      <c r="B47">
        <v>1</v>
      </c>
      <c r="D47">
        <v>31</v>
      </c>
      <c r="E47">
        <v>31</v>
      </c>
      <c r="AH47" t="s">
        <v>10</v>
      </c>
      <c r="AI47">
        <v>1</v>
      </c>
      <c r="AM47" s="3" t="s">
        <v>4325</v>
      </c>
      <c r="AN47">
        <v>2</v>
      </c>
      <c r="AX47" s="49" t="s">
        <v>3504</v>
      </c>
      <c r="AY47">
        <v>1</v>
      </c>
      <c r="AZ47">
        <f t="shared" si="0"/>
        <v>5.0000000000000001E-4</v>
      </c>
      <c r="BA47">
        <f t="shared" si="2"/>
        <v>868</v>
      </c>
      <c r="BB47">
        <f t="shared" si="3"/>
        <v>0.43400000000000005</v>
      </c>
    </row>
    <row r="48" spans="1:57" x14ac:dyDescent="0.3">
      <c r="A48" t="s">
        <v>11</v>
      </c>
      <c r="B48">
        <v>1</v>
      </c>
      <c r="D48">
        <v>79</v>
      </c>
      <c r="E48">
        <v>79</v>
      </c>
      <c r="AH48" t="s">
        <v>35</v>
      </c>
      <c r="AI48">
        <v>1</v>
      </c>
      <c r="AM48" s="3" t="s">
        <v>3504</v>
      </c>
      <c r="AN48">
        <v>1</v>
      </c>
      <c r="AX48" s="49" t="s">
        <v>1925</v>
      </c>
      <c r="AY48">
        <v>7</v>
      </c>
      <c r="AZ48">
        <f t="shared" si="0"/>
        <v>3.5000000000000001E-3</v>
      </c>
      <c r="BA48">
        <f t="shared" si="2"/>
        <v>875</v>
      </c>
      <c r="BB48">
        <f t="shared" si="3"/>
        <v>0.43750000000000006</v>
      </c>
      <c r="BE48">
        <v>7</v>
      </c>
    </row>
    <row r="49" spans="1:57" x14ac:dyDescent="0.3">
      <c r="A49" t="s">
        <v>11</v>
      </c>
      <c r="B49">
        <v>1</v>
      </c>
      <c r="D49">
        <v>74</v>
      </c>
      <c r="E49">
        <v>74</v>
      </c>
      <c r="AH49" t="s">
        <v>76</v>
      </c>
      <c r="AI49">
        <v>1</v>
      </c>
      <c r="AM49" s="3" t="s">
        <v>1925</v>
      </c>
      <c r="AN49">
        <v>7</v>
      </c>
      <c r="AX49" s="49" t="s">
        <v>458</v>
      </c>
      <c r="AY49">
        <v>12</v>
      </c>
      <c r="AZ49">
        <f t="shared" si="0"/>
        <v>6.0000000000000001E-3</v>
      </c>
      <c r="BA49">
        <f t="shared" si="2"/>
        <v>887</v>
      </c>
      <c r="BB49">
        <f t="shared" si="3"/>
        <v>0.44350000000000006</v>
      </c>
      <c r="BE49">
        <v>12</v>
      </c>
    </row>
    <row r="50" spans="1:57" x14ac:dyDescent="0.3">
      <c r="A50" t="s">
        <v>52</v>
      </c>
      <c r="B50">
        <v>1</v>
      </c>
      <c r="D50">
        <v>45</v>
      </c>
      <c r="E50">
        <v>158</v>
      </c>
      <c r="AH50" t="s">
        <v>51</v>
      </c>
      <c r="AI50">
        <v>1</v>
      </c>
      <c r="AM50" s="3" t="s">
        <v>458</v>
      </c>
      <c r="AN50">
        <v>12</v>
      </c>
      <c r="AX50" s="49" t="s">
        <v>1463</v>
      </c>
      <c r="AY50">
        <v>16</v>
      </c>
      <c r="AZ50">
        <f t="shared" si="0"/>
        <v>8.0000000000000002E-3</v>
      </c>
      <c r="BA50">
        <f t="shared" si="2"/>
        <v>903</v>
      </c>
      <c r="BB50">
        <f t="shared" si="3"/>
        <v>0.45150000000000007</v>
      </c>
      <c r="BE50">
        <v>16</v>
      </c>
    </row>
    <row r="51" spans="1:57" x14ac:dyDescent="0.3">
      <c r="A51" t="s">
        <v>58</v>
      </c>
      <c r="B51">
        <v>1</v>
      </c>
      <c r="D51">
        <v>83</v>
      </c>
      <c r="E51">
        <v>45</v>
      </c>
      <c r="AH51" t="s">
        <v>10</v>
      </c>
      <c r="AI51">
        <v>1</v>
      </c>
      <c r="AM51" s="3" t="s">
        <v>1463</v>
      </c>
      <c r="AN51">
        <v>16</v>
      </c>
      <c r="AX51" s="49" t="s">
        <v>1617</v>
      </c>
      <c r="AY51">
        <v>15</v>
      </c>
      <c r="AZ51">
        <f t="shared" si="0"/>
        <v>7.4999999999999997E-3</v>
      </c>
      <c r="BA51">
        <f t="shared" si="2"/>
        <v>918</v>
      </c>
      <c r="BB51">
        <f t="shared" si="3"/>
        <v>0.45900000000000007</v>
      </c>
      <c r="BE51">
        <v>15</v>
      </c>
    </row>
    <row r="52" spans="1:57" x14ac:dyDescent="0.3">
      <c r="A52" t="s">
        <v>52</v>
      </c>
      <c r="B52">
        <v>1</v>
      </c>
      <c r="D52">
        <v>33</v>
      </c>
      <c r="E52">
        <v>83</v>
      </c>
      <c r="AH52" t="s">
        <v>51</v>
      </c>
      <c r="AI52">
        <v>1</v>
      </c>
      <c r="AM52" s="3" t="s">
        <v>1617</v>
      </c>
      <c r="AN52">
        <v>15</v>
      </c>
      <c r="AX52" s="49" t="s">
        <v>249</v>
      </c>
      <c r="AY52">
        <v>45</v>
      </c>
      <c r="AZ52">
        <f t="shared" si="0"/>
        <v>2.2499999999999999E-2</v>
      </c>
      <c r="BA52">
        <f t="shared" si="2"/>
        <v>963</v>
      </c>
      <c r="BB52">
        <f t="shared" si="3"/>
        <v>0.48150000000000009</v>
      </c>
      <c r="BE52">
        <v>45</v>
      </c>
    </row>
    <row r="53" spans="1:57" x14ac:dyDescent="0.3">
      <c r="A53" t="s">
        <v>11</v>
      </c>
      <c r="B53">
        <v>1</v>
      </c>
      <c r="D53">
        <v>65</v>
      </c>
      <c r="E53">
        <v>33</v>
      </c>
      <c r="G53" t="s">
        <v>4746</v>
      </c>
      <c r="AH53" t="s">
        <v>10</v>
      </c>
      <c r="AI53">
        <v>1</v>
      </c>
      <c r="AM53" s="3" t="s">
        <v>249</v>
      </c>
      <c r="AN53">
        <v>45</v>
      </c>
      <c r="AX53" s="49" t="s">
        <v>216</v>
      </c>
      <c r="AY53">
        <v>29</v>
      </c>
      <c r="AZ53">
        <f t="shared" si="0"/>
        <v>1.4500000000000001E-2</v>
      </c>
      <c r="BA53">
        <f t="shared" si="2"/>
        <v>992</v>
      </c>
      <c r="BB53">
        <f t="shared" si="3"/>
        <v>0.49600000000000011</v>
      </c>
      <c r="BE53">
        <v>29</v>
      </c>
    </row>
    <row r="54" spans="1:57" x14ac:dyDescent="0.3">
      <c r="A54" t="s">
        <v>23</v>
      </c>
      <c r="B54">
        <v>1</v>
      </c>
      <c r="D54">
        <v>37</v>
      </c>
      <c r="E54">
        <v>65</v>
      </c>
      <c r="G54">
        <v>19</v>
      </c>
      <c r="H54">
        <f>G54/2000</f>
        <v>9.4999999999999998E-3</v>
      </c>
      <c r="I54">
        <f>H54*IMLOG2(H54)</f>
        <v>-6.381963932657575E-2</v>
      </c>
      <c r="AH54" t="s">
        <v>104</v>
      </c>
      <c r="AI54">
        <v>1</v>
      </c>
      <c r="AM54" s="3" t="s">
        <v>216</v>
      </c>
      <c r="AN54">
        <v>29</v>
      </c>
      <c r="AX54" s="49" t="s">
        <v>696</v>
      </c>
      <c r="AY54">
        <v>26</v>
      </c>
      <c r="AZ54">
        <f t="shared" si="0"/>
        <v>1.2999999999999999E-2</v>
      </c>
      <c r="BA54">
        <f t="shared" si="2"/>
        <v>1018</v>
      </c>
      <c r="BB54">
        <f t="shared" si="3"/>
        <v>0.50900000000000012</v>
      </c>
      <c r="BE54">
        <v>26</v>
      </c>
    </row>
    <row r="55" spans="1:57" x14ac:dyDescent="0.3">
      <c r="A55" t="s">
        <v>11</v>
      </c>
      <c r="B55">
        <v>1</v>
      </c>
      <c r="D55">
        <v>44</v>
      </c>
      <c r="E55">
        <v>37</v>
      </c>
      <c r="H55">
        <f t="shared" ref="H55:H80" si="8">G55/2000</f>
        <v>0</v>
      </c>
      <c r="I55" t="e">
        <f t="shared" ref="I55:I80" si="9">H55*IMLOG2(H55)</f>
        <v>#NUM!</v>
      </c>
      <c r="L55">
        <v>19</v>
      </c>
      <c r="M55">
        <f>L55/2000</f>
        <v>9.4999999999999998E-3</v>
      </c>
      <c r="N55">
        <f>M55</f>
        <v>9.4999999999999998E-3</v>
      </c>
      <c r="AH55" t="s">
        <v>104</v>
      </c>
      <c r="AI55">
        <v>1</v>
      </c>
      <c r="AM55" s="3" t="s">
        <v>696</v>
      </c>
      <c r="AN55">
        <v>26</v>
      </c>
      <c r="AX55" s="49" t="s">
        <v>70</v>
      </c>
      <c r="AY55">
        <v>34</v>
      </c>
      <c r="AZ55">
        <f t="shared" si="0"/>
        <v>1.7000000000000001E-2</v>
      </c>
      <c r="BA55">
        <f t="shared" si="2"/>
        <v>1052</v>
      </c>
      <c r="BB55">
        <f t="shared" si="3"/>
        <v>0.52600000000000013</v>
      </c>
      <c r="BE55">
        <v>34</v>
      </c>
    </row>
    <row r="56" spans="1:57" x14ac:dyDescent="0.3">
      <c r="A56" t="s">
        <v>29</v>
      </c>
      <c r="B56">
        <v>1</v>
      </c>
      <c r="D56">
        <v>112</v>
      </c>
      <c r="E56">
        <v>44</v>
      </c>
      <c r="G56">
        <v>70</v>
      </c>
      <c r="H56">
        <f t="shared" si="8"/>
        <v>3.5000000000000003E-2</v>
      </c>
      <c r="I56">
        <f t="shared" si="9"/>
        <v>-0.1692775443700992</v>
      </c>
      <c r="L56">
        <v>25</v>
      </c>
      <c r="M56">
        <f t="shared" ref="M56:M81" si="10">L56/2000</f>
        <v>1.2500000000000001E-2</v>
      </c>
      <c r="N56">
        <f>M56+N55</f>
        <v>2.1999999999999999E-2</v>
      </c>
      <c r="AH56" t="s">
        <v>297</v>
      </c>
      <c r="AI56">
        <v>1</v>
      </c>
      <c r="AM56" s="3" t="s">
        <v>70</v>
      </c>
      <c r="AN56">
        <v>34</v>
      </c>
      <c r="AX56" s="49" t="s">
        <v>1441</v>
      </c>
      <c r="AY56">
        <v>35</v>
      </c>
      <c r="AZ56">
        <f t="shared" si="0"/>
        <v>1.7500000000000002E-2</v>
      </c>
      <c r="BA56">
        <f t="shared" si="2"/>
        <v>1087</v>
      </c>
      <c r="BB56">
        <f t="shared" si="3"/>
        <v>0.54350000000000009</v>
      </c>
      <c r="BE56">
        <v>35</v>
      </c>
    </row>
    <row r="57" spans="1:57" x14ac:dyDescent="0.3">
      <c r="A57" t="s">
        <v>58</v>
      </c>
      <c r="B57">
        <v>1</v>
      </c>
      <c r="D57">
        <v>97</v>
      </c>
      <c r="E57">
        <v>112</v>
      </c>
      <c r="G57">
        <v>53</v>
      </c>
      <c r="H57">
        <f t="shared" si="8"/>
        <v>2.6499999999999999E-2</v>
      </c>
      <c r="I57">
        <f t="shared" si="9"/>
        <v>-0.13880339149762058</v>
      </c>
      <c r="L57">
        <v>26</v>
      </c>
      <c r="M57">
        <f t="shared" si="10"/>
        <v>1.2999999999999999E-2</v>
      </c>
      <c r="N57">
        <f t="shared" ref="N57:N81" si="11">M57+N56</f>
        <v>3.4999999999999996E-2</v>
      </c>
      <c r="AH57" t="s">
        <v>10</v>
      </c>
      <c r="AI57">
        <v>1</v>
      </c>
      <c r="AM57" s="3" t="s">
        <v>1441</v>
      </c>
      <c r="AN57">
        <v>35</v>
      </c>
      <c r="AX57" s="49" t="s">
        <v>1992</v>
      </c>
      <c r="AY57">
        <v>9</v>
      </c>
      <c r="AZ57">
        <f t="shared" si="0"/>
        <v>4.4999999999999997E-3</v>
      </c>
      <c r="BA57">
        <f t="shared" si="2"/>
        <v>1096</v>
      </c>
      <c r="BB57">
        <f t="shared" si="3"/>
        <v>0.54800000000000004</v>
      </c>
      <c r="BE57">
        <v>9</v>
      </c>
    </row>
    <row r="58" spans="1:57" x14ac:dyDescent="0.3">
      <c r="A58" t="s">
        <v>11</v>
      </c>
      <c r="B58">
        <v>1</v>
      </c>
      <c r="D58">
        <v>61</v>
      </c>
      <c r="E58">
        <v>97</v>
      </c>
      <c r="G58">
        <v>50</v>
      </c>
      <c r="H58">
        <f t="shared" si="8"/>
        <v>2.5000000000000001E-2</v>
      </c>
      <c r="I58">
        <f t="shared" si="9"/>
        <v>-0.13304820237218401</v>
      </c>
      <c r="L58">
        <v>31</v>
      </c>
      <c r="M58">
        <f t="shared" si="10"/>
        <v>1.55E-2</v>
      </c>
      <c r="N58">
        <f t="shared" si="11"/>
        <v>5.0499999999999996E-2</v>
      </c>
      <c r="AH58" t="s">
        <v>216</v>
      </c>
      <c r="AI58">
        <v>1</v>
      </c>
      <c r="AM58" s="3" t="s">
        <v>1992</v>
      </c>
      <c r="AN58">
        <v>9</v>
      </c>
      <c r="AX58" s="49" t="s">
        <v>2329</v>
      </c>
      <c r="AY58">
        <v>12</v>
      </c>
      <c r="AZ58">
        <f t="shared" si="0"/>
        <v>6.0000000000000001E-3</v>
      </c>
      <c r="BA58">
        <f t="shared" si="2"/>
        <v>1108</v>
      </c>
      <c r="BB58">
        <f t="shared" si="3"/>
        <v>0.55400000000000005</v>
      </c>
      <c r="BE58">
        <v>12</v>
      </c>
    </row>
    <row r="59" spans="1:57" x14ac:dyDescent="0.3">
      <c r="A59" t="s">
        <v>250</v>
      </c>
      <c r="B59">
        <v>1</v>
      </c>
      <c r="D59">
        <v>90</v>
      </c>
      <c r="E59">
        <v>61</v>
      </c>
      <c r="G59">
        <v>31</v>
      </c>
      <c r="H59">
        <f t="shared" si="8"/>
        <v>1.55E-2</v>
      </c>
      <c r="I59">
        <f t="shared" si="9"/>
        <v>-9.3179613601265754E-2</v>
      </c>
      <c r="L59">
        <v>31</v>
      </c>
      <c r="M59">
        <f t="shared" si="10"/>
        <v>1.55E-2</v>
      </c>
      <c r="N59">
        <f t="shared" si="11"/>
        <v>6.6000000000000003E-2</v>
      </c>
      <c r="AH59" t="s">
        <v>10</v>
      </c>
      <c r="AI59">
        <v>1</v>
      </c>
      <c r="AM59" s="3" t="s">
        <v>2329</v>
      </c>
      <c r="AN59">
        <v>12</v>
      </c>
      <c r="AX59" s="49" t="s">
        <v>35</v>
      </c>
      <c r="AY59">
        <v>137</v>
      </c>
      <c r="AZ59">
        <f t="shared" si="0"/>
        <v>6.8500000000000005E-2</v>
      </c>
      <c r="BA59">
        <f t="shared" si="2"/>
        <v>1245</v>
      </c>
      <c r="BB59">
        <f t="shared" si="3"/>
        <v>0.62250000000000005</v>
      </c>
    </row>
    <row r="60" spans="1:57" x14ac:dyDescent="0.3">
      <c r="A60" t="s">
        <v>23</v>
      </c>
      <c r="B60">
        <v>1</v>
      </c>
      <c r="D60">
        <v>88</v>
      </c>
      <c r="E60">
        <v>90</v>
      </c>
      <c r="G60">
        <v>79</v>
      </c>
      <c r="H60">
        <f t="shared" si="8"/>
        <v>3.95E-2</v>
      </c>
      <c r="I60">
        <f t="shared" si="9"/>
        <v>-0.18414913969115673</v>
      </c>
      <c r="L60">
        <v>33</v>
      </c>
      <c r="M60">
        <f t="shared" si="10"/>
        <v>1.6500000000000001E-2</v>
      </c>
      <c r="N60">
        <f t="shared" si="11"/>
        <v>8.2500000000000004E-2</v>
      </c>
      <c r="AH60" t="s">
        <v>10</v>
      </c>
      <c r="AI60">
        <v>1</v>
      </c>
      <c r="AM60" s="3" t="s">
        <v>35</v>
      </c>
      <c r="AN60">
        <v>137</v>
      </c>
      <c r="AX60" s="49" t="s">
        <v>937</v>
      </c>
      <c r="AY60">
        <v>1</v>
      </c>
      <c r="AZ60">
        <f t="shared" si="0"/>
        <v>5.0000000000000001E-4</v>
      </c>
      <c r="BA60">
        <f t="shared" si="2"/>
        <v>1246</v>
      </c>
      <c r="BB60">
        <f t="shared" si="3"/>
        <v>0.623</v>
      </c>
    </row>
    <row r="61" spans="1:57" x14ac:dyDescent="0.3">
      <c r="A61" t="s">
        <v>64</v>
      </c>
      <c r="B61">
        <v>1</v>
      </c>
      <c r="D61">
        <v>26</v>
      </c>
      <c r="E61">
        <v>88</v>
      </c>
      <c r="G61">
        <v>74</v>
      </c>
      <c r="H61">
        <f t="shared" si="8"/>
        <v>3.6999999999999998E-2</v>
      </c>
      <c r="I61">
        <f t="shared" si="9"/>
        <v>-0.17598424400422619</v>
      </c>
      <c r="L61">
        <v>37</v>
      </c>
      <c r="M61">
        <f t="shared" si="10"/>
        <v>1.8499999999999999E-2</v>
      </c>
      <c r="N61">
        <f t="shared" si="11"/>
        <v>0.10100000000000001</v>
      </c>
      <c r="AH61" t="s">
        <v>10</v>
      </c>
      <c r="AI61">
        <v>1</v>
      </c>
      <c r="AM61" s="3" t="s">
        <v>937</v>
      </c>
      <c r="AN61">
        <v>1</v>
      </c>
      <c r="AX61" s="49" t="s">
        <v>3043</v>
      </c>
      <c r="AY61">
        <v>1</v>
      </c>
      <c r="AZ61">
        <f t="shared" si="0"/>
        <v>5.0000000000000001E-4</v>
      </c>
      <c r="BA61">
        <f t="shared" si="2"/>
        <v>1247</v>
      </c>
      <c r="BB61">
        <f t="shared" si="3"/>
        <v>0.62349999999999994</v>
      </c>
    </row>
    <row r="62" spans="1:57" x14ac:dyDescent="0.3">
      <c r="A62" t="s">
        <v>232</v>
      </c>
      <c r="B62">
        <v>1</v>
      </c>
      <c r="D62">
        <v>31</v>
      </c>
      <c r="E62">
        <v>26</v>
      </c>
      <c r="G62">
        <v>158</v>
      </c>
      <c r="H62">
        <f t="shared" si="8"/>
        <v>7.9000000000000001E-2</v>
      </c>
      <c r="I62">
        <f t="shared" si="9"/>
        <v>-0.28929827938231339</v>
      </c>
      <c r="L62">
        <v>44</v>
      </c>
      <c r="M62">
        <f t="shared" si="10"/>
        <v>2.1999999999999999E-2</v>
      </c>
      <c r="N62">
        <f t="shared" si="11"/>
        <v>0.123</v>
      </c>
      <c r="AH62" t="s">
        <v>10</v>
      </c>
      <c r="AI62">
        <v>1</v>
      </c>
      <c r="AM62" s="3" t="s">
        <v>3043</v>
      </c>
      <c r="AN62">
        <v>1</v>
      </c>
      <c r="AX62" s="49" t="s">
        <v>4095</v>
      </c>
      <c r="AY62">
        <v>1</v>
      </c>
      <c r="AZ62">
        <f t="shared" si="0"/>
        <v>5.0000000000000001E-4</v>
      </c>
      <c r="BA62">
        <f t="shared" si="2"/>
        <v>1248</v>
      </c>
      <c r="BB62">
        <f t="shared" si="3"/>
        <v>0.62399999999999989</v>
      </c>
    </row>
    <row r="63" spans="1:57" x14ac:dyDescent="0.3">
      <c r="A63" t="s">
        <v>23</v>
      </c>
      <c r="B63">
        <v>1</v>
      </c>
      <c r="D63">
        <v>59</v>
      </c>
      <c r="E63">
        <v>31</v>
      </c>
      <c r="G63">
        <v>45</v>
      </c>
      <c r="H63">
        <f t="shared" si="8"/>
        <v>2.2499999999999999E-2</v>
      </c>
      <c r="I63">
        <f t="shared" si="9"/>
        <v>-0.12316345173747922</v>
      </c>
      <c r="L63">
        <v>45</v>
      </c>
      <c r="M63">
        <f t="shared" si="10"/>
        <v>2.2499999999999999E-2</v>
      </c>
      <c r="N63">
        <f t="shared" si="11"/>
        <v>0.14549999999999999</v>
      </c>
      <c r="AH63" t="s">
        <v>10</v>
      </c>
      <c r="AI63">
        <v>1</v>
      </c>
      <c r="AM63" s="3" t="s">
        <v>4095</v>
      </c>
      <c r="AN63">
        <v>1</v>
      </c>
      <c r="AX63" s="49" t="s">
        <v>10</v>
      </c>
      <c r="AY63">
        <v>751</v>
      </c>
      <c r="AZ63">
        <f t="shared" si="0"/>
        <v>0.3755</v>
      </c>
      <c r="BA63">
        <f t="shared" si="2"/>
        <v>1999</v>
      </c>
      <c r="BB63">
        <f t="shared" si="3"/>
        <v>0.99949999999999983</v>
      </c>
    </row>
    <row r="64" spans="1:57" x14ac:dyDescent="0.3">
      <c r="A64" t="s">
        <v>141</v>
      </c>
      <c r="B64">
        <v>1</v>
      </c>
      <c r="D64">
        <v>67</v>
      </c>
      <c r="E64">
        <v>59</v>
      </c>
      <c r="G64">
        <v>83</v>
      </c>
      <c r="H64">
        <f t="shared" si="8"/>
        <v>4.1500000000000002E-2</v>
      </c>
      <c r="I64">
        <f t="shared" si="9"/>
        <v>-0.19051591141257915</v>
      </c>
      <c r="L64">
        <v>50</v>
      </c>
      <c r="M64">
        <f t="shared" si="10"/>
        <v>2.5000000000000001E-2</v>
      </c>
      <c r="N64">
        <f t="shared" si="11"/>
        <v>0.17049999999999998</v>
      </c>
      <c r="AH64" t="s">
        <v>10</v>
      </c>
      <c r="AI64">
        <v>1</v>
      </c>
      <c r="AM64" s="3" t="s">
        <v>10</v>
      </c>
      <c r="AN64">
        <v>751</v>
      </c>
      <c r="AX64" s="49" t="s">
        <v>4544</v>
      </c>
      <c r="AY64">
        <v>1</v>
      </c>
      <c r="AZ64">
        <f t="shared" si="0"/>
        <v>5.0000000000000001E-4</v>
      </c>
      <c r="BA64">
        <f t="shared" si="2"/>
        <v>2000</v>
      </c>
      <c r="BB64">
        <f t="shared" si="3"/>
        <v>0.99999999999999978</v>
      </c>
    </row>
    <row r="65" spans="1:54" x14ac:dyDescent="0.3">
      <c r="A65" t="s">
        <v>141</v>
      </c>
      <c r="B65">
        <v>1</v>
      </c>
      <c r="D65">
        <v>25</v>
      </c>
      <c r="E65">
        <v>67</v>
      </c>
      <c r="G65">
        <v>33</v>
      </c>
      <c r="H65">
        <f t="shared" si="8"/>
        <v>1.6500000000000001E-2</v>
      </c>
      <c r="I65">
        <f t="shared" si="9"/>
        <v>-9.7702937727509903E-2</v>
      </c>
      <c r="L65">
        <v>53</v>
      </c>
      <c r="M65">
        <f t="shared" si="10"/>
        <v>2.6499999999999999E-2</v>
      </c>
      <c r="N65">
        <f t="shared" si="11"/>
        <v>0.19699999999999998</v>
      </c>
      <c r="AH65" t="s">
        <v>70</v>
      </c>
      <c r="AI65">
        <v>1</v>
      </c>
      <c r="AM65" s="3" t="s">
        <v>4544</v>
      </c>
      <c r="AN65">
        <v>1</v>
      </c>
      <c r="AX65" s="48" t="s">
        <v>4805</v>
      </c>
      <c r="AY65">
        <v>2000</v>
      </c>
      <c r="AZ65">
        <v>1</v>
      </c>
      <c r="BA65">
        <v>2000</v>
      </c>
      <c r="BB65">
        <v>1</v>
      </c>
    </row>
    <row r="66" spans="1:54" x14ac:dyDescent="0.3">
      <c r="A66" t="s">
        <v>345</v>
      </c>
      <c r="B66">
        <v>1</v>
      </c>
      <c r="D66">
        <v>80</v>
      </c>
      <c r="E66">
        <v>25</v>
      </c>
      <c r="G66">
        <v>65</v>
      </c>
      <c r="H66">
        <f t="shared" si="8"/>
        <v>3.2500000000000001E-2</v>
      </c>
      <c r="I66">
        <f t="shared" si="9"/>
        <v>-0.16066103532809298</v>
      </c>
      <c r="L66">
        <v>59</v>
      </c>
      <c r="M66">
        <f t="shared" si="10"/>
        <v>2.9499999999999998E-2</v>
      </c>
      <c r="N66">
        <f t="shared" si="11"/>
        <v>0.22649999999999998</v>
      </c>
      <c r="AH66" t="s">
        <v>205</v>
      </c>
      <c r="AI66">
        <v>1</v>
      </c>
      <c r="AM66" s="3" t="s">
        <v>4709</v>
      </c>
      <c r="AN66">
        <v>2000</v>
      </c>
    </row>
    <row r="67" spans="1:54" x14ac:dyDescent="0.3">
      <c r="A67" t="s">
        <v>130</v>
      </c>
      <c r="B67">
        <v>1</v>
      </c>
      <c r="D67">
        <v>110</v>
      </c>
      <c r="E67">
        <v>80</v>
      </c>
      <c r="G67">
        <v>37</v>
      </c>
      <c r="H67">
        <f t="shared" si="8"/>
        <v>1.8499999999999999E-2</v>
      </c>
      <c r="I67">
        <f t="shared" si="9"/>
        <v>-0.1064921220021131</v>
      </c>
      <c r="L67">
        <v>61</v>
      </c>
      <c r="M67">
        <f t="shared" si="10"/>
        <v>3.0499999999999999E-2</v>
      </c>
      <c r="N67">
        <f t="shared" si="11"/>
        <v>0.25700000000000001</v>
      </c>
      <c r="AH67" t="s">
        <v>82</v>
      </c>
      <c r="AI67">
        <v>1</v>
      </c>
    </row>
    <row r="68" spans="1:54" x14ac:dyDescent="0.3">
      <c r="A68" t="s">
        <v>11</v>
      </c>
      <c r="B68">
        <v>1</v>
      </c>
      <c r="E68">
        <v>110</v>
      </c>
      <c r="G68">
        <v>44</v>
      </c>
      <c r="H68">
        <f t="shared" si="8"/>
        <v>2.1999999999999999E-2</v>
      </c>
      <c r="I68">
        <f t="shared" si="9"/>
        <v>-0.12113975865254537</v>
      </c>
      <c r="L68">
        <v>65</v>
      </c>
      <c r="M68">
        <f t="shared" si="10"/>
        <v>3.2500000000000001E-2</v>
      </c>
      <c r="N68">
        <f t="shared" si="11"/>
        <v>0.28949999999999998</v>
      </c>
      <c r="AH68" t="s">
        <v>10</v>
      </c>
      <c r="AI68">
        <v>1</v>
      </c>
    </row>
    <row r="69" spans="1:54" x14ac:dyDescent="0.3">
      <c r="A69" t="s">
        <v>11</v>
      </c>
      <c r="B69">
        <v>1</v>
      </c>
      <c r="G69">
        <v>112</v>
      </c>
      <c r="H69">
        <f t="shared" si="8"/>
        <v>5.6000000000000001E-2</v>
      </c>
      <c r="I69">
        <f t="shared" si="9"/>
        <v>-0.23287204430585087</v>
      </c>
      <c r="L69">
        <v>67</v>
      </c>
      <c r="M69">
        <f t="shared" si="10"/>
        <v>3.3500000000000002E-2</v>
      </c>
      <c r="N69">
        <f t="shared" si="11"/>
        <v>0.32299999999999995</v>
      </c>
      <c r="AH69" t="s">
        <v>104</v>
      </c>
      <c r="AI69">
        <v>1</v>
      </c>
    </row>
    <row r="70" spans="1:54" x14ac:dyDescent="0.3">
      <c r="A70" t="s">
        <v>365</v>
      </c>
      <c r="B70">
        <v>1</v>
      </c>
      <c r="G70">
        <v>97</v>
      </c>
      <c r="H70">
        <f t="shared" si="8"/>
        <v>4.8500000000000001E-2</v>
      </c>
      <c r="I70">
        <f t="shared" si="9"/>
        <v>-0.21174476496003558</v>
      </c>
      <c r="L70">
        <v>70</v>
      </c>
      <c r="M70">
        <f t="shared" si="10"/>
        <v>3.5000000000000003E-2</v>
      </c>
      <c r="N70">
        <f t="shared" si="11"/>
        <v>0.35799999999999998</v>
      </c>
      <c r="AH70" t="s">
        <v>124</v>
      </c>
      <c r="AI70">
        <v>1</v>
      </c>
    </row>
    <row r="71" spans="1:54" x14ac:dyDescent="0.3">
      <c r="A71" t="s">
        <v>232</v>
      </c>
      <c r="B71">
        <v>1</v>
      </c>
      <c r="G71">
        <v>61</v>
      </c>
      <c r="H71">
        <f t="shared" si="8"/>
        <v>3.0499999999999999E-2</v>
      </c>
      <c r="I71">
        <f t="shared" si="9"/>
        <v>-0.15356893188652559</v>
      </c>
      <c r="L71">
        <v>74</v>
      </c>
      <c r="M71">
        <f t="shared" si="10"/>
        <v>3.6999999999999998E-2</v>
      </c>
      <c r="N71">
        <f t="shared" si="11"/>
        <v>0.39499999999999996</v>
      </c>
      <c r="AH71" t="s">
        <v>10</v>
      </c>
      <c r="AI71">
        <v>1</v>
      </c>
    </row>
    <row r="72" spans="1:54" x14ac:dyDescent="0.3">
      <c r="A72" t="s">
        <v>52</v>
      </c>
      <c r="B72">
        <v>1</v>
      </c>
      <c r="G72">
        <v>90</v>
      </c>
      <c r="H72">
        <f t="shared" si="8"/>
        <v>4.4999999999999998E-2</v>
      </c>
      <c r="I72">
        <f t="shared" si="9"/>
        <v>-0.20132690347495846</v>
      </c>
      <c r="L72">
        <v>79</v>
      </c>
      <c r="M72">
        <f t="shared" si="10"/>
        <v>3.95E-2</v>
      </c>
      <c r="N72">
        <f t="shared" si="11"/>
        <v>0.43449999999999994</v>
      </c>
      <c r="AH72" t="s">
        <v>124</v>
      </c>
      <c r="AI72">
        <v>1</v>
      </c>
    </row>
    <row r="73" spans="1:54" x14ac:dyDescent="0.3">
      <c r="A73" t="s">
        <v>345</v>
      </c>
      <c r="B73">
        <v>1</v>
      </c>
      <c r="G73">
        <v>88</v>
      </c>
      <c r="H73">
        <f t="shared" si="8"/>
        <v>4.3999999999999997E-2</v>
      </c>
      <c r="I73">
        <f t="shared" si="9"/>
        <v>-0.19827951730509075</v>
      </c>
      <c r="L73">
        <v>80</v>
      </c>
      <c r="M73">
        <f t="shared" si="10"/>
        <v>0.04</v>
      </c>
      <c r="N73">
        <f t="shared" si="11"/>
        <v>0.47449999999999992</v>
      </c>
      <c r="AH73" t="s">
        <v>51</v>
      </c>
      <c r="AI73">
        <v>1</v>
      </c>
    </row>
    <row r="74" spans="1:54" x14ac:dyDescent="0.3">
      <c r="A74" t="s">
        <v>23</v>
      </c>
      <c r="B74">
        <v>1</v>
      </c>
      <c r="G74">
        <v>26</v>
      </c>
      <c r="H74">
        <f t="shared" si="8"/>
        <v>1.2999999999999999E-2</v>
      </c>
      <c r="I74">
        <f t="shared" si="9"/>
        <v>-8.1449479364772995E-2</v>
      </c>
      <c r="L74">
        <v>83</v>
      </c>
      <c r="M74">
        <f t="shared" si="10"/>
        <v>4.1500000000000002E-2</v>
      </c>
      <c r="N74">
        <f t="shared" si="11"/>
        <v>0.5159999999999999</v>
      </c>
      <c r="AH74" t="s">
        <v>124</v>
      </c>
      <c r="AI74">
        <v>1</v>
      </c>
    </row>
    <row r="75" spans="1:54" x14ac:dyDescent="0.3">
      <c r="A75" t="s">
        <v>52</v>
      </c>
      <c r="B75">
        <v>1</v>
      </c>
      <c r="G75">
        <v>31</v>
      </c>
      <c r="H75">
        <f t="shared" si="8"/>
        <v>1.55E-2</v>
      </c>
      <c r="I75">
        <f t="shared" si="9"/>
        <v>-9.3179613601265754E-2</v>
      </c>
      <c r="L75">
        <v>88</v>
      </c>
      <c r="M75">
        <f t="shared" si="10"/>
        <v>4.3999999999999997E-2</v>
      </c>
      <c r="N75">
        <f t="shared" si="11"/>
        <v>0.55999999999999994</v>
      </c>
      <c r="AH75" t="s">
        <v>124</v>
      </c>
      <c r="AI75">
        <v>1</v>
      </c>
    </row>
    <row r="76" spans="1:54" x14ac:dyDescent="0.3">
      <c r="A76" t="s">
        <v>52</v>
      </c>
      <c r="B76">
        <v>1</v>
      </c>
      <c r="G76">
        <v>59</v>
      </c>
      <c r="H76">
        <f t="shared" si="8"/>
        <v>2.9499999999999998E-2</v>
      </c>
      <c r="I76">
        <f t="shared" si="9"/>
        <v>-0.14995266644135735</v>
      </c>
      <c r="L76">
        <v>90</v>
      </c>
      <c r="M76">
        <f t="shared" si="10"/>
        <v>4.4999999999999998E-2</v>
      </c>
      <c r="N76">
        <f t="shared" si="11"/>
        <v>0.60499999999999998</v>
      </c>
      <c r="AH76" t="s">
        <v>10</v>
      </c>
      <c r="AI76">
        <v>1</v>
      </c>
    </row>
    <row r="77" spans="1:54" x14ac:dyDescent="0.3">
      <c r="A77" t="s">
        <v>17</v>
      </c>
      <c r="B77">
        <v>1</v>
      </c>
      <c r="G77">
        <v>67</v>
      </c>
      <c r="H77">
        <f t="shared" si="8"/>
        <v>3.3500000000000002E-2</v>
      </c>
      <c r="I77">
        <f t="shared" si="9"/>
        <v>-0.16413978565584439</v>
      </c>
      <c r="L77">
        <v>97</v>
      </c>
      <c r="M77">
        <f t="shared" si="10"/>
        <v>4.8500000000000001E-2</v>
      </c>
      <c r="N77">
        <f t="shared" si="11"/>
        <v>0.65349999999999997</v>
      </c>
      <c r="AH77" t="s">
        <v>401</v>
      </c>
      <c r="AI77">
        <v>1</v>
      </c>
    </row>
    <row r="78" spans="1:54" x14ac:dyDescent="0.3">
      <c r="A78" t="s">
        <v>11</v>
      </c>
      <c r="B78">
        <v>1</v>
      </c>
      <c r="G78">
        <v>25</v>
      </c>
      <c r="H78">
        <f t="shared" si="8"/>
        <v>1.2500000000000001E-2</v>
      </c>
      <c r="I78">
        <f t="shared" si="9"/>
        <v>-7.9024101186092002E-2</v>
      </c>
      <c r="L78">
        <v>110</v>
      </c>
      <c r="M78">
        <f t="shared" si="10"/>
        <v>5.5E-2</v>
      </c>
      <c r="N78">
        <f t="shared" si="11"/>
        <v>0.70850000000000002</v>
      </c>
      <c r="AH78" t="s">
        <v>10</v>
      </c>
      <c r="AI78">
        <v>1</v>
      </c>
    </row>
    <row r="79" spans="1:54" x14ac:dyDescent="0.3">
      <c r="A79" t="s">
        <v>141</v>
      </c>
      <c r="B79">
        <v>1</v>
      </c>
      <c r="G79">
        <v>80</v>
      </c>
      <c r="H79">
        <f t="shared" si="8"/>
        <v>0.04</v>
      </c>
      <c r="I79">
        <f t="shared" si="9"/>
        <v>-0.18575424759098919</v>
      </c>
      <c r="L79">
        <v>112</v>
      </c>
      <c r="M79">
        <f t="shared" si="10"/>
        <v>5.6000000000000001E-2</v>
      </c>
      <c r="N79">
        <f t="shared" si="11"/>
        <v>0.76450000000000007</v>
      </c>
      <c r="AH79" t="s">
        <v>70</v>
      </c>
      <c r="AI79">
        <v>1</v>
      </c>
    </row>
    <row r="80" spans="1:54" x14ac:dyDescent="0.3">
      <c r="A80" t="s">
        <v>11</v>
      </c>
      <c r="B80">
        <v>1</v>
      </c>
      <c r="G80">
        <v>110</v>
      </c>
      <c r="H80">
        <f t="shared" si="8"/>
        <v>5.5E-2</v>
      </c>
      <c r="I80">
        <f t="shared" si="9"/>
        <v>-0.23014335141255862</v>
      </c>
      <c r="L80">
        <v>158</v>
      </c>
      <c r="M80">
        <f t="shared" si="10"/>
        <v>7.9000000000000001E-2</v>
      </c>
      <c r="N80">
        <f t="shared" si="11"/>
        <v>0.84350000000000003</v>
      </c>
      <c r="AH80" t="s">
        <v>417</v>
      </c>
      <c r="AI80">
        <v>1</v>
      </c>
    </row>
    <row r="81" spans="1:35" x14ac:dyDescent="0.3">
      <c r="A81" t="s">
        <v>141</v>
      </c>
      <c r="B81">
        <v>1</v>
      </c>
      <c r="I81" t="e">
        <f>SUM(I54:I80)</f>
        <v>#NUM!</v>
      </c>
      <c r="L81">
        <v>313</v>
      </c>
      <c r="M81">
        <f t="shared" si="10"/>
        <v>0.1565</v>
      </c>
      <c r="N81">
        <f t="shared" si="11"/>
        <v>1</v>
      </c>
      <c r="AH81" t="s">
        <v>35</v>
      </c>
      <c r="AI81">
        <v>1</v>
      </c>
    </row>
    <row r="82" spans="1:35" x14ac:dyDescent="0.3">
      <c r="A82" t="s">
        <v>29</v>
      </c>
      <c r="B82">
        <v>1</v>
      </c>
      <c r="AH82" t="s">
        <v>297</v>
      </c>
      <c r="AI82">
        <v>1</v>
      </c>
    </row>
    <row r="83" spans="1:35" x14ac:dyDescent="0.3">
      <c r="A83" t="s">
        <v>52</v>
      </c>
      <c r="B83">
        <v>1</v>
      </c>
      <c r="AH83" t="s">
        <v>51</v>
      </c>
      <c r="AI83">
        <v>1</v>
      </c>
    </row>
    <row r="84" spans="1:35" x14ac:dyDescent="0.3">
      <c r="A84" t="s">
        <v>98</v>
      </c>
      <c r="B84">
        <v>1</v>
      </c>
      <c r="F84" s="16" t="s">
        <v>4730</v>
      </c>
      <c r="G84" s="13"/>
      <c r="AH84" t="s">
        <v>436</v>
      </c>
      <c r="AI84">
        <v>1</v>
      </c>
    </row>
    <row r="85" spans="1:35" x14ac:dyDescent="0.3">
      <c r="A85" t="s">
        <v>151</v>
      </c>
      <c r="B85">
        <v>1</v>
      </c>
      <c r="F85" s="14" t="s">
        <v>4723</v>
      </c>
      <c r="G85" s="15">
        <f>AVERAGE(E6:E32)</f>
        <v>74.074074074074076</v>
      </c>
      <c r="AH85" t="s">
        <v>10</v>
      </c>
      <c r="AI85">
        <v>1</v>
      </c>
    </row>
    <row r="86" spans="1:35" x14ac:dyDescent="0.3">
      <c r="A86" t="s">
        <v>232</v>
      </c>
      <c r="B86">
        <v>1</v>
      </c>
      <c r="F86" s="14" t="s">
        <v>4724</v>
      </c>
      <c r="G86" s="15">
        <f>GEOMEAN(E6:E32)</f>
        <v>60.878991099106855</v>
      </c>
      <c r="AH86" t="s">
        <v>10</v>
      </c>
      <c r="AI86">
        <v>1</v>
      </c>
    </row>
    <row r="87" spans="1:35" x14ac:dyDescent="0.3">
      <c r="A87" t="s">
        <v>11</v>
      </c>
      <c r="B87">
        <v>1</v>
      </c>
      <c r="F87" s="14" t="s">
        <v>4726</v>
      </c>
      <c r="G87" s="15">
        <f>HARMEAN(E6:E32)</f>
        <v>51.355942993224915</v>
      </c>
      <c r="AH87" t="s">
        <v>452</v>
      </c>
      <c r="AI87">
        <v>1</v>
      </c>
    </row>
    <row r="88" spans="1:35" x14ac:dyDescent="0.3">
      <c r="A88" t="s">
        <v>29</v>
      </c>
      <c r="B88">
        <v>1</v>
      </c>
      <c r="F88" s="14" t="s">
        <v>4727</v>
      </c>
      <c r="G88" s="15" t="s">
        <v>4810</v>
      </c>
      <c r="AH88" t="s">
        <v>458</v>
      </c>
      <c r="AI88">
        <v>1</v>
      </c>
    </row>
    <row r="89" spans="1:35" x14ac:dyDescent="0.3">
      <c r="A89" t="s">
        <v>464</v>
      </c>
      <c r="B89">
        <v>1</v>
      </c>
      <c r="F89" s="14" t="s">
        <v>4729</v>
      </c>
      <c r="G89" s="15" t="s">
        <v>4811</v>
      </c>
      <c r="AH89" t="s">
        <v>104</v>
      </c>
      <c r="AI89">
        <v>1</v>
      </c>
    </row>
    <row r="90" spans="1:35" x14ac:dyDescent="0.3">
      <c r="A90" t="s">
        <v>98</v>
      </c>
      <c r="B90">
        <v>1</v>
      </c>
      <c r="AH90" t="s">
        <v>10</v>
      </c>
      <c r="AI90">
        <v>1</v>
      </c>
    </row>
    <row r="91" spans="1:35" x14ac:dyDescent="0.3">
      <c r="A91" t="s">
        <v>11</v>
      </c>
      <c r="B91">
        <v>1</v>
      </c>
      <c r="AH91" t="s">
        <v>10</v>
      </c>
      <c r="AI91">
        <v>1</v>
      </c>
    </row>
    <row r="92" spans="1:35" x14ac:dyDescent="0.3">
      <c r="A92" t="s">
        <v>345</v>
      </c>
      <c r="B92">
        <v>1</v>
      </c>
      <c r="AH92" t="s">
        <v>124</v>
      </c>
      <c r="AI92">
        <v>1</v>
      </c>
    </row>
    <row r="93" spans="1:35" x14ac:dyDescent="0.3">
      <c r="A93" t="s">
        <v>11</v>
      </c>
      <c r="B93">
        <v>1</v>
      </c>
      <c r="AH93" t="s">
        <v>205</v>
      </c>
      <c r="AI93">
        <v>1</v>
      </c>
    </row>
    <row r="94" spans="1:35" x14ac:dyDescent="0.3">
      <c r="A94" t="s">
        <v>151</v>
      </c>
      <c r="B94">
        <v>1</v>
      </c>
      <c r="AH94" t="s">
        <v>35</v>
      </c>
      <c r="AI94">
        <v>1</v>
      </c>
    </row>
    <row r="95" spans="1:35" x14ac:dyDescent="0.3">
      <c r="A95" t="s">
        <v>365</v>
      </c>
      <c r="B95">
        <v>1</v>
      </c>
      <c r="AH95" t="s">
        <v>10</v>
      </c>
      <c r="AI95">
        <v>1</v>
      </c>
    </row>
    <row r="96" spans="1:35" x14ac:dyDescent="0.3">
      <c r="A96" t="s">
        <v>17</v>
      </c>
      <c r="B96">
        <v>1</v>
      </c>
      <c r="AH96" t="s">
        <v>10</v>
      </c>
      <c r="AI96">
        <v>1</v>
      </c>
    </row>
    <row r="97" spans="1:35" x14ac:dyDescent="0.3">
      <c r="A97" t="s">
        <v>58</v>
      </c>
      <c r="B97">
        <v>1</v>
      </c>
      <c r="AH97" t="s">
        <v>76</v>
      </c>
      <c r="AI97">
        <v>1</v>
      </c>
    </row>
    <row r="98" spans="1:35" x14ac:dyDescent="0.3">
      <c r="A98" t="s">
        <v>510</v>
      </c>
      <c r="B98">
        <v>1</v>
      </c>
      <c r="AH98" t="s">
        <v>10</v>
      </c>
      <c r="AI98">
        <v>1</v>
      </c>
    </row>
    <row r="99" spans="1:35" x14ac:dyDescent="0.3">
      <c r="A99" t="s">
        <v>23</v>
      </c>
      <c r="B99">
        <v>1</v>
      </c>
      <c r="AH99" t="s">
        <v>76</v>
      </c>
      <c r="AI99">
        <v>1</v>
      </c>
    </row>
    <row r="100" spans="1:35" x14ac:dyDescent="0.3">
      <c r="A100" t="s">
        <v>11</v>
      </c>
      <c r="B100">
        <v>1</v>
      </c>
      <c r="AH100" t="s">
        <v>521</v>
      </c>
      <c r="AI100">
        <v>1</v>
      </c>
    </row>
    <row r="101" spans="1:35" x14ac:dyDescent="0.3">
      <c r="A101" t="s">
        <v>52</v>
      </c>
      <c r="B101">
        <v>1</v>
      </c>
      <c r="AH101" t="s">
        <v>104</v>
      </c>
      <c r="AI101">
        <v>1</v>
      </c>
    </row>
    <row r="102" spans="1:35" x14ac:dyDescent="0.3">
      <c r="A102" t="s">
        <v>64</v>
      </c>
      <c r="B102">
        <v>1</v>
      </c>
      <c r="AH102" t="s">
        <v>10</v>
      </c>
      <c r="AI102">
        <v>1</v>
      </c>
    </row>
    <row r="103" spans="1:35" x14ac:dyDescent="0.3">
      <c r="A103" t="s">
        <v>130</v>
      </c>
      <c r="B103">
        <v>1</v>
      </c>
      <c r="AH103" t="s">
        <v>10</v>
      </c>
      <c r="AI103">
        <v>1</v>
      </c>
    </row>
    <row r="104" spans="1:35" x14ac:dyDescent="0.3">
      <c r="A104" t="s">
        <v>58</v>
      </c>
      <c r="B104">
        <v>1</v>
      </c>
      <c r="AH104" t="s">
        <v>10</v>
      </c>
      <c r="AI104">
        <v>1</v>
      </c>
    </row>
    <row r="105" spans="1:35" x14ac:dyDescent="0.3">
      <c r="A105" t="s">
        <v>130</v>
      </c>
      <c r="B105">
        <v>1</v>
      </c>
      <c r="AH105" t="s">
        <v>10</v>
      </c>
      <c r="AI105">
        <v>1</v>
      </c>
    </row>
    <row r="106" spans="1:35" x14ac:dyDescent="0.3">
      <c r="A106" t="s">
        <v>23</v>
      </c>
      <c r="B106">
        <v>1</v>
      </c>
      <c r="AH106" t="s">
        <v>35</v>
      </c>
      <c r="AI106">
        <v>1</v>
      </c>
    </row>
    <row r="107" spans="1:35" x14ac:dyDescent="0.3">
      <c r="A107" t="s">
        <v>11</v>
      </c>
      <c r="B107">
        <v>1</v>
      </c>
      <c r="AH107" t="s">
        <v>417</v>
      </c>
      <c r="AI107">
        <v>1</v>
      </c>
    </row>
    <row r="108" spans="1:35" x14ac:dyDescent="0.3">
      <c r="A108" t="s">
        <v>560</v>
      </c>
      <c r="B108">
        <v>1</v>
      </c>
      <c r="AH108" t="s">
        <v>10</v>
      </c>
      <c r="AI108">
        <v>1</v>
      </c>
    </row>
    <row r="109" spans="1:35" x14ac:dyDescent="0.3">
      <c r="A109" t="s">
        <v>141</v>
      </c>
      <c r="B109">
        <v>1</v>
      </c>
      <c r="AH109" t="s">
        <v>104</v>
      </c>
      <c r="AI109">
        <v>1</v>
      </c>
    </row>
    <row r="110" spans="1:35" x14ac:dyDescent="0.3">
      <c r="A110" t="s">
        <v>29</v>
      </c>
      <c r="B110">
        <v>1</v>
      </c>
      <c r="AH110" t="s">
        <v>216</v>
      </c>
      <c r="AI110">
        <v>1</v>
      </c>
    </row>
    <row r="111" spans="1:35" x14ac:dyDescent="0.3">
      <c r="A111" t="s">
        <v>232</v>
      </c>
      <c r="B111">
        <v>1</v>
      </c>
      <c r="AH111" t="s">
        <v>452</v>
      </c>
      <c r="AI111">
        <v>1</v>
      </c>
    </row>
    <row r="112" spans="1:35" x14ac:dyDescent="0.3">
      <c r="A112" t="s">
        <v>510</v>
      </c>
      <c r="B112">
        <v>1</v>
      </c>
      <c r="AH112" t="s">
        <v>124</v>
      </c>
      <c r="AI112">
        <v>1</v>
      </c>
    </row>
    <row r="113" spans="1:35" x14ac:dyDescent="0.3">
      <c r="A113" t="s">
        <v>151</v>
      </c>
      <c r="B113">
        <v>1</v>
      </c>
      <c r="AH113" t="s">
        <v>584</v>
      </c>
      <c r="AI113">
        <v>1</v>
      </c>
    </row>
    <row r="114" spans="1:35" x14ac:dyDescent="0.3">
      <c r="A114" t="s">
        <v>98</v>
      </c>
      <c r="B114">
        <v>1</v>
      </c>
      <c r="AH114" t="s">
        <v>10</v>
      </c>
      <c r="AI114">
        <v>1</v>
      </c>
    </row>
    <row r="115" spans="1:35" x14ac:dyDescent="0.3">
      <c r="A115" t="s">
        <v>52</v>
      </c>
      <c r="B115">
        <v>1</v>
      </c>
      <c r="AH115" t="s">
        <v>104</v>
      </c>
      <c r="AI115">
        <v>1</v>
      </c>
    </row>
    <row r="116" spans="1:35" x14ac:dyDescent="0.3">
      <c r="A116" t="s">
        <v>345</v>
      </c>
      <c r="B116">
        <v>1</v>
      </c>
      <c r="AH116" t="s">
        <v>216</v>
      </c>
      <c r="AI116">
        <v>1</v>
      </c>
    </row>
    <row r="117" spans="1:35" x14ac:dyDescent="0.3">
      <c r="A117" t="s">
        <v>151</v>
      </c>
      <c r="B117">
        <v>1</v>
      </c>
      <c r="AH117" t="s">
        <v>10</v>
      </c>
      <c r="AI117">
        <v>1</v>
      </c>
    </row>
    <row r="118" spans="1:35" x14ac:dyDescent="0.3">
      <c r="A118" t="s">
        <v>29</v>
      </c>
      <c r="B118">
        <v>1</v>
      </c>
      <c r="AH118" t="s">
        <v>608</v>
      </c>
      <c r="AI118">
        <v>1</v>
      </c>
    </row>
    <row r="119" spans="1:35" x14ac:dyDescent="0.3">
      <c r="A119" t="s">
        <v>141</v>
      </c>
      <c r="B119">
        <v>1</v>
      </c>
      <c r="AH119" t="s">
        <v>10</v>
      </c>
      <c r="AI119">
        <v>1</v>
      </c>
    </row>
    <row r="120" spans="1:35" x14ac:dyDescent="0.3">
      <c r="A120" t="s">
        <v>141</v>
      </c>
      <c r="B120">
        <v>1</v>
      </c>
      <c r="AH120" t="s">
        <v>35</v>
      </c>
      <c r="AI120">
        <v>1</v>
      </c>
    </row>
    <row r="121" spans="1:35" x14ac:dyDescent="0.3">
      <c r="A121" t="s">
        <v>464</v>
      </c>
      <c r="B121">
        <v>1</v>
      </c>
      <c r="AH121" t="s">
        <v>35</v>
      </c>
      <c r="AI121">
        <v>1</v>
      </c>
    </row>
    <row r="122" spans="1:35" x14ac:dyDescent="0.3">
      <c r="A122" t="s">
        <v>141</v>
      </c>
      <c r="B122">
        <v>1</v>
      </c>
      <c r="AH122" t="s">
        <v>10</v>
      </c>
      <c r="AI122">
        <v>1</v>
      </c>
    </row>
    <row r="123" spans="1:35" x14ac:dyDescent="0.3">
      <c r="A123" t="s">
        <v>634</v>
      </c>
      <c r="B123">
        <v>1</v>
      </c>
      <c r="AH123" t="s">
        <v>633</v>
      </c>
      <c r="AI123">
        <v>1</v>
      </c>
    </row>
    <row r="124" spans="1:35" x14ac:dyDescent="0.3">
      <c r="A124" t="s">
        <v>510</v>
      </c>
      <c r="B124">
        <v>1</v>
      </c>
      <c r="AH124" t="s">
        <v>124</v>
      </c>
      <c r="AI124">
        <v>1</v>
      </c>
    </row>
    <row r="125" spans="1:35" x14ac:dyDescent="0.3">
      <c r="A125" t="s">
        <v>23</v>
      </c>
      <c r="B125">
        <v>1</v>
      </c>
      <c r="AH125" t="s">
        <v>10</v>
      </c>
      <c r="AI125">
        <v>1</v>
      </c>
    </row>
    <row r="126" spans="1:35" x14ac:dyDescent="0.3">
      <c r="A126" t="s">
        <v>58</v>
      </c>
      <c r="B126">
        <v>1</v>
      </c>
      <c r="AH126" t="s">
        <v>10</v>
      </c>
      <c r="AI126">
        <v>1</v>
      </c>
    </row>
    <row r="127" spans="1:35" x14ac:dyDescent="0.3">
      <c r="A127" t="s">
        <v>11</v>
      </c>
      <c r="B127">
        <v>1</v>
      </c>
      <c r="AH127" t="s">
        <v>452</v>
      </c>
      <c r="AI127">
        <v>1</v>
      </c>
    </row>
    <row r="128" spans="1:35" x14ac:dyDescent="0.3">
      <c r="A128" t="s">
        <v>29</v>
      </c>
      <c r="B128">
        <v>1</v>
      </c>
      <c r="AH128" t="s">
        <v>657</v>
      </c>
      <c r="AI128">
        <v>1</v>
      </c>
    </row>
    <row r="129" spans="1:35" x14ac:dyDescent="0.3">
      <c r="A129" t="s">
        <v>11</v>
      </c>
      <c r="B129">
        <v>1</v>
      </c>
      <c r="AH129" t="s">
        <v>205</v>
      </c>
      <c r="AI129">
        <v>1</v>
      </c>
    </row>
    <row r="130" spans="1:35" x14ac:dyDescent="0.3">
      <c r="A130" t="s">
        <v>141</v>
      </c>
      <c r="B130">
        <v>1</v>
      </c>
      <c r="AH130" t="s">
        <v>10</v>
      </c>
      <c r="AI130">
        <v>1</v>
      </c>
    </row>
    <row r="131" spans="1:35" x14ac:dyDescent="0.3">
      <c r="A131" t="s">
        <v>11</v>
      </c>
      <c r="B131">
        <v>1</v>
      </c>
      <c r="AH131" t="s">
        <v>417</v>
      </c>
      <c r="AI131">
        <v>1</v>
      </c>
    </row>
    <row r="132" spans="1:35" x14ac:dyDescent="0.3">
      <c r="A132" t="s">
        <v>98</v>
      </c>
      <c r="B132">
        <v>1</v>
      </c>
      <c r="AH132" t="s">
        <v>10</v>
      </c>
      <c r="AI132">
        <v>1</v>
      </c>
    </row>
    <row r="133" spans="1:35" x14ac:dyDescent="0.3">
      <c r="A133" t="s">
        <v>510</v>
      </c>
      <c r="B133">
        <v>1</v>
      </c>
      <c r="AH133" t="s">
        <v>10</v>
      </c>
      <c r="AI133">
        <v>1</v>
      </c>
    </row>
    <row r="134" spans="1:35" x14ac:dyDescent="0.3">
      <c r="A134" t="s">
        <v>11</v>
      </c>
      <c r="B134">
        <v>1</v>
      </c>
      <c r="AH134" t="s">
        <v>681</v>
      </c>
      <c r="AI134">
        <v>1</v>
      </c>
    </row>
    <row r="135" spans="1:35" x14ac:dyDescent="0.3">
      <c r="A135" t="s">
        <v>687</v>
      </c>
      <c r="B135">
        <v>1</v>
      </c>
      <c r="AH135" t="s">
        <v>10</v>
      </c>
      <c r="AI135">
        <v>1</v>
      </c>
    </row>
    <row r="136" spans="1:35" x14ac:dyDescent="0.3">
      <c r="A136" t="s">
        <v>560</v>
      </c>
      <c r="B136">
        <v>1</v>
      </c>
      <c r="AH136" t="s">
        <v>10</v>
      </c>
      <c r="AI136">
        <v>1</v>
      </c>
    </row>
    <row r="137" spans="1:35" x14ac:dyDescent="0.3">
      <c r="A137" t="s">
        <v>11</v>
      </c>
      <c r="B137">
        <v>1</v>
      </c>
      <c r="AH137" t="s">
        <v>696</v>
      </c>
      <c r="AI137">
        <v>1</v>
      </c>
    </row>
    <row r="138" spans="1:35" x14ac:dyDescent="0.3">
      <c r="A138" t="s">
        <v>634</v>
      </c>
      <c r="B138">
        <v>1</v>
      </c>
      <c r="AH138" t="s">
        <v>35</v>
      </c>
      <c r="AI138">
        <v>1</v>
      </c>
    </row>
    <row r="139" spans="1:35" x14ac:dyDescent="0.3">
      <c r="A139" t="s">
        <v>706</v>
      </c>
      <c r="B139">
        <v>1</v>
      </c>
      <c r="AH139" t="s">
        <v>51</v>
      </c>
      <c r="AI139">
        <v>1</v>
      </c>
    </row>
    <row r="140" spans="1:35" x14ac:dyDescent="0.3">
      <c r="A140" t="s">
        <v>23</v>
      </c>
      <c r="B140">
        <v>1</v>
      </c>
      <c r="AH140" t="s">
        <v>10</v>
      </c>
      <c r="AI140">
        <v>1</v>
      </c>
    </row>
    <row r="141" spans="1:35" x14ac:dyDescent="0.3">
      <c r="A141" t="s">
        <v>715</v>
      </c>
      <c r="B141">
        <v>1</v>
      </c>
      <c r="AH141" t="s">
        <v>10</v>
      </c>
      <c r="AI141">
        <v>1</v>
      </c>
    </row>
    <row r="142" spans="1:35" x14ac:dyDescent="0.3">
      <c r="A142" t="s">
        <v>23</v>
      </c>
      <c r="B142">
        <v>1</v>
      </c>
      <c r="AH142" t="s">
        <v>417</v>
      </c>
      <c r="AI142">
        <v>1</v>
      </c>
    </row>
    <row r="143" spans="1:35" x14ac:dyDescent="0.3">
      <c r="A143" t="s">
        <v>726</v>
      </c>
      <c r="B143">
        <v>1</v>
      </c>
      <c r="AH143" t="s">
        <v>104</v>
      </c>
      <c r="AI143">
        <v>1</v>
      </c>
    </row>
    <row r="144" spans="1:35" x14ac:dyDescent="0.3">
      <c r="A144" t="s">
        <v>365</v>
      </c>
      <c r="B144">
        <v>1</v>
      </c>
      <c r="AH144" t="s">
        <v>51</v>
      </c>
      <c r="AI144">
        <v>1</v>
      </c>
    </row>
    <row r="145" spans="1:35" x14ac:dyDescent="0.3">
      <c r="A145" t="s">
        <v>17</v>
      </c>
      <c r="B145">
        <v>1</v>
      </c>
      <c r="AH145" t="s">
        <v>737</v>
      </c>
      <c r="AI145">
        <v>1</v>
      </c>
    </row>
    <row r="146" spans="1:35" x14ac:dyDescent="0.3">
      <c r="A146" t="s">
        <v>743</v>
      </c>
      <c r="B146">
        <v>1</v>
      </c>
      <c r="AH146" t="s">
        <v>10</v>
      </c>
      <c r="AI146">
        <v>1</v>
      </c>
    </row>
    <row r="147" spans="1:35" x14ac:dyDescent="0.3">
      <c r="A147" t="s">
        <v>11</v>
      </c>
      <c r="B147">
        <v>1</v>
      </c>
      <c r="AH147" t="s">
        <v>417</v>
      </c>
      <c r="AI147">
        <v>1</v>
      </c>
    </row>
    <row r="148" spans="1:35" x14ac:dyDescent="0.3">
      <c r="A148" t="s">
        <v>634</v>
      </c>
      <c r="B148">
        <v>1</v>
      </c>
      <c r="AH148" t="s">
        <v>10</v>
      </c>
      <c r="AI148">
        <v>1</v>
      </c>
    </row>
    <row r="149" spans="1:35" x14ac:dyDescent="0.3">
      <c r="A149" t="s">
        <v>11</v>
      </c>
      <c r="B149">
        <v>1</v>
      </c>
      <c r="AH149" t="s">
        <v>10</v>
      </c>
      <c r="AI149">
        <v>1</v>
      </c>
    </row>
    <row r="150" spans="1:35" x14ac:dyDescent="0.3">
      <c r="A150" t="s">
        <v>11</v>
      </c>
      <c r="B150">
        <v>1</v>
      </c>
      <c r="AH150" t="s">
        <v>452</v>
      </c>
      <c r="AI150">
        <v>1</v>
      </c>
    </row>
    <row r="151" spans="1:35" x14ac:dyDescent="0.3">
      <c r="A151" t="s">
        <v>64</v>
      </c>
      <c r="B151">
        <v>1</v>
      </c>
      <c r="AH151" t="s">
        <v>10</v>
      </c>
      <c r="AI151">
        <v>1</v>
      </c>
    </row>
    <row r="152" spans="1:35" x14ac:dyDescent="0.3">
      <c r="A152" t="s">
        <v>11</v>
      </c>
      <c r="B152">
        <v>1</v>
      </c>
      <c r="AH152" t="s">
        <v>417</v>
      </c>
      <c r="AI152">
        <v>1</v>
      </c>
    </row>
    <row r="153" spans="1:35" x14ac:dyDescent="0.3">
      <c r="A153" t="s">
        <v>345</v>
      </c>
      <c r="B153">
        <v>1</v>
      </c>
      <c r="AH153" t="s">
        <v>249</v>
      </c>
      <c r="AI153">
        <v>1</v>
      </c>
    </row>
    <row r="154" spans="1:35" x14ac:dyDescent="0.3">
      <c r="A154" t="s">
        <v>365</v>
      </c>
      <c r="B154">
        <v>1</v>
      </c>
      <c r="AH154" t="s">
        <v>681</v>
      </c>
      <c r="AI154">
        <v>1</v>
      </c>
    </row>
    <row r="155" spans="1:35" x14ac:dyDescent="0.3">
      <c r="A155" t="s">
        <v>11</v>
      </c>
      <c r="B155">
        <v>1</v>
      </c>
      <c r="AH155" t="s">
        <v>249</v>
      </c>
      <c r="AI155">
        <v>1</v>
      </c>
    </row>
    <row r="156" spans="1:35" x14ac:dyDescent="0.3">
      <c r="A156" t="s">
        <v>130</v>
      </c>
      <c r="B156">
        <v>1</v>
      </c>
      <c r="AH156" t="s">
        <v>35</v>
      </c>
      <c r="AI156">
        <v>1</v>
      </c>
    </row>
    <row r="157" spans="1:35" x14ac:dyDescent="0.3">
      <c r="A157" t="s">
        <v>792</v>
      </c>
      <c r="B157">
        <v>1</v>
      </c>
      <c r="AH157" t="s">
        <v>51</v>
      </c>
      <c r="AI157">
        <v>1</v>
      </c>
    </row>
    <row r="158" spans="1:35" x14ac:dyDescent="0.3">
      <c r="A158" t="s">
        <v>345</v>
      </c>
      <c r="B158">
        <v>1</v>
      </c>
      <c r="AH158" t="s">
        <v>51</v>
      </c>
      <c r="AI158">
        <v>1</v>
      </c>
    </row>
    <row r="159" spans="1:35" x14ac:dyDescent="0.3">
      <c r="A159" t="s">
        <v>58</v>
      </c>
      <c r="B159">
        <v>1</v>
      </c>
      <c r="AH159" t="s">
        <v>521</v>
      </c>
      <c r="AI159">
        <v>1</v>
      </c>
    </row>
    <row r="160" spans="1:35" x14ac:dyDescent="0.3">
      <c r="A160" t="s">
        <v>23</v>
      </c>
      <c r="B160">
        <v>1</v>
      </c>
      <c r="AH160" t="s">
        <v>51</v>
      </c>
      <c r="AI160">
        <v>1</v>
      </c>
    </row>
    <row r="161" spans="1:35" x14ac:dyDescent="0.3">
      <c r="A161" t="s">
        <v>11</v>
      </c>
      <c r="B161">
        <v>1</v>
      </c>
      <c r="AH161" t="s">
        <v>452</v>
      </c>
      <c r="AI161">
        <v>1</v>
      </c>
    </row>
    <row r="162" spans="1:35" x14ac:dyDescent="0.3">
      <c r="A162" t="s">
        <v>58</v>
      </c>
      <c r="B162">
        <v>1</v>
      </c>
      <c r="AH162" t="s">
        <v>10</v>
      </c>
      <c r="AI162">
        <v>1</v>
      </c>
    </row>
    <row r="163" spans="1:35" x14ac:dyDescent="0.3">
      <c r="A163" t="s">
        <v>560</v>
      </c>
      <c r="B163">
        <v>1</v>
      </c>
      <c r="AH163" t="s">
        <v>10</v>
      </c>
      <c r="AI163">
        <v>1</v>
      </c>
    </row>
    <row r="164" spans="1:35" x14ac:dyDescent="0.3">
      <c r="A164" t="s">
        <v>17</v>
      </c>
      <c r="B164">
        <v>1</v>
      </c>
      <c r="AH164" t="s">
        <v>10</v>
      </c>
      <c r="AI164">
        <v>1</v>
      </c>
    </row>
    <row r="165" spans="1:35" x14ac:dyDescent="0.3">
      <c r="A165" t="s">
        <v>151</v>
      </c>
      <c r="B165">
        <v>1</v>
      </c>
      <c r="AH165" t="s">
        <v>452</v>
      </c>
      <c r="AI165">
        <v>1</v>
      </c>
    </row>
    <row r="166" spans="1:35" x14ac:dyDescent="0.3">
      <c r="A166" t="s">
        <v>141</v>
      </c>
      <c r="B166">
        <v>1</v>
      </c>
      <c r="AH166" t="s">
        <v>10</v>
      </c>
      <c r="AI166">
        <v>1</v>
      </c>
    </row>
    <row r="167" spans="1:35" x14ac:dyDescent="0.3">
      <c r="A167" t="s">
        <v>743</v>
      </c>
      <c r="B167">
        <v>1</v>
      </c>
      <c r="AH167" t="s">
        <v>10</v>
      </c>
      <c r="AI167">
        <v>1</v>
      </c>
    </row>
    <row r="168" spans="1:35" x14ac:dyDescent="0.3">
      <c r="A168" t="s">
        <v>64</v>
      </c>
      <c r="B168">
        <v>1</v>
      </c>
      <c r="AH168" t="s">
        <v>104</v>
      </c>
      <c r="AI168">
        <v>1</v>
      </c>
    </row>
    <row r="169" spans="1:35" x14ac:dyDescent="0.3">
      <c r="A169" t="s">
        <v>17</v>
      </c>
      <c r="B169">
        <v>1</v>
      </c>
      <c r="AH169" t="s">
        <v>608</v>
      </c>
      <c r="AI169">
        <v>1</v>
      </c>
    </row>
    <row r="170" spans="1:35" x14ac:dyDescent="0.3">
      <c r="A170" t="s">
        <v>560</v>
      </c>
      <c r="B170">
        <v>1</v>
      </c>
      <c r="AH170" t="s">
        <v>10</v>
      </c>
      <c r="AI170">
        <v>1</v>
      </c>
    </row>
    <row r="171" spans="1:35" x14ac:dyDescent="0.3">
      <c r="A171" t="s">
        <v>23</v>
      </c>
      <c r="B171">
        <v>1</v>
      </c>
      <c r="AH171" t="s">
        <v>417</v>
      </c>
      <c r="AI171">
        <v>1</v>
      </c>
    </row>
    <row r="172" spans="1:35" x14ac:dyDescent="0.3">
      <c r="A172" t="s">
        <v>345</v>
      </c>
      <c r="B172">
        <v>1</v>
      </c>
      <c r="AH172" t="s">
        <v>51</v>
      </c>
      <c r="AI172">
        <v>1</v>
      </c>
    </row>
    <row r="173" spans="1:35" x14ac:dyDescent="0.3">
      <c r="A173" t="s">
        <v>64</v>
      </c>
      <c r="B173">
        <v>1</v>
      </c>
      <c r="AH173" t="s">
        <v>10</v>
      </c>
      <c r="AI173">
        <v>1</v>
      </c>
    </row>
    <row r="174" spans="1:35" x14ac:dyDescent="0.3">
      <c r="A174" t="s">
        <v>345</v>
      </c>
      <c r="B174">
        <v>1</v>
      </c>
      <c r="AH174" t="s">
        <v>10</v>
      </c>
      <c r="AI174">
        <v>1</v>
      </c>
    </row>
    <row r="175" spans="1:35" x14ac:dyDescent="0.3">
      <c r="A175" t="s">
        <v>715</v>
      </c>
      <c r="B175">
        <v>1</v>
      </c>
      <c r="AH175" t="s">
        <v>10</v>
      </c>
      <c r="AI175">
        <v>1</v>
      </c>
    </row>
    <row r="176" spans="1:35" x14ac:dyDescent="0.3">
      <c r="A176" t="s">
        <v>151</v>
      </c>
      <c r="B176">
        <v>1</v>
      </c>
      <c r="AH176" t="s">
        <v>417</v>
      </c>
      <c r="AI176">
        <v>1</v>
      </c>
    </row>
    <row r="177" spans="1:35" x14ac:dyDescent="0.3">
      <c r="A177" t="s">
        <v>743</v>
      </c>
      <c r="B177">
        <v>1</v>
      </c>
      <c r="AH177" t="s">
        <v>10</v>
      </c>
      <c r="AI177">
        <v>1</v>
      </c>
    </row>
    <row r="178" spans="1:35" x14ac:dyDescent="0.3">
      <c r="A178" t="s">
        <v>23</v>
      </c>
      <c r="B178">
        <v>1</v>
      </c>
      <c r="AH178" t="s">
        <v>10</v>
      </c>
      <c r="AI178">
        <v>1</v>
      </c>
    </row>
    <row r="179" spans="1:35" x14ac:dyDescent="0.3">
      <c r="A179" t="s">
        <v>345</v>
      </c>
      <c r="B179">
        <v>1</v>
      </c>
      <c r="AH179" t="s">
        <v>10</v>
      </c>
      <c r="AI179">
        <v>1</v>
      </c>
    </row>
    <row r="180" spans="1:35" x14ac:dyDescent="0.3">
      <c r="A180" t="s">
        <v>11</v>
      </c>
      <c r="B180">
        <v>1</v>
      </c>
      <c r="AH180" t="s">
        <v>10</v>
      </c>
      <c r="AI180">
        <v>1</v>
      </c>
    </row>
    <row r="181" spans="1:35" x14ac:dyDescent="0.3">
      <c r="A181" t="s">
        <v>52</v>
      </c>
      <c r="B181">
        <v>1</v>
      </c>
      <c r="AH181" t="s">
        <v>249</v>
      </c>
      <c r="AI181">
        <v>1</v>
      </c>
    </row>
    <row r="182" spans="1:35" x14ac:dyDescent="0.3">
      <c r="A182" t="s">
        <v>141</v>
      </c>
      <c r="B182">
        <v>1</v>
      </c>
      <c r="AH182" t="s">
        <v>10</v>
      </c>
      <c r="AI182">
        <v>1</v>
      </c>
    </row>
    <row r="183" spans="1:35" x14ac:dyDescent="0.3">
      <c r="A183" t="s">
        <v>345</v>
      </c>
      <c r="B183">
        <v>1</v>
      </c>
      <c r="AH183" t="s">
        <v>35</v>
      </c>
      <c r="AI183">
        <v>1</v>
      </c>
    </row>
    <row r="184" spans="1:35" x14ac:dyDescent="0.3">
      <c r="A184" t="s">
        <v>464</v>
      </c>
      <c r="B184">
        <v>1</v>
      </c>
      <c r="AH184" t="s">
        <v>10</v>
      </c>
      <c r="AI184">
        <v>1</v>
      </c>
    </row>
    <row r="185" spans="1:35" x14ac:dyDescent="0.3">
      <c r="A185" t="s">
        <v>29</v>
      </c>
      <c r="B185">
        <v>1</v>
      </c>
      <c r="AH185" t="s">
        <v>458</v>
      </c>
      <c r="AI185">
        <v>1</v>
      </c>
    </row>
    <row r="186" spans="1:35" x14ac:dyDescent="0.3">
      <c r="A186" t="s">
        <v>11</v>
      </c>
      <c r="B186">
        <v>1</v>
      </c>
      <c r="AH186" t="s">
        <v>10</v>
      </c>
      <c r="AI186">
        <v>1</v>
      </c>
    </row>
    <row r="187" spans="1:35" x14ac:dyDescent="0.3">
      <c r="A187" t="s">
        <v>243</v>
      </c>
      <c r="B187">
        <v>1</v>
      </c>
      <c r="AH187" t="s">
        <v>104</v>
      </c>
      <c r="AI187">
        <v>1</v>
      </c>
    </row>
    <row r="188" spans="1:35" x14ac:dyDescent="0.3">
      <c r="A188" t="s">
        <v>151</v>
      </c>
      <c r="B188">
        <v>1</v>
      </c>
      <c r="AH188" t="s">
        <v>10</v>
      </c>
      <c r="AI188">
        <v>1</v>
      </c>
    </row>
    <row r="189" spans="1:35" x14ac:dyDescent="0.3">
      <c r="A189" t="s">
        <v>634</v>
      </c>
      <c r="B189">
        <v>1</v>
      </c>
      <c r="AH189" t="s">
        <v>937</v>
      </c>
      <c r="AI189">
        <v>1</v>
      </c>
    </row>
    <row r="190" spans="1:35" x14ac:dyDescent="0.3">
      <c r="A190" t="s">
        <v>345</v>
      </c>
      <c r="B190">
        <v>1</v>
      </c>
      <c r="AH190" t="s">
        <v>216</v>
      </c>
      <c r="AI190">
        <v>1</v>
      </c>
    </row>
    <row r="191" spans="1:35" x14ac:dyDescent="0.3">
      <c r="A191" t="s">
        <v>58</v>
      </c>
      <c r="B191">
        <v>1</v>
      </c>
      <c r="AH191" t="s">
        <v>10</v>
      </c>
      <c r="AI191">
        <v>1</v>
      </c>
    </row>
    <row r="192" spans="1:35" x14ac:dyDescent="0.3">
      <c r="A192" t="s">
        <v>345</v>
      </c>
      <c r="B192">
        <v>1</v>
      </c>
      <c r="AH192" t="s">
        <v>10</v>
      </c>
      <c r="AI192">
        <v>1</v>
      </c>
    </row>
    <row r="193" spans="1:35" x14ac:dyDescent="0.3">
      <c r="A193" t="s">
        <v>365</v>
      </c>
      <c r="B193">
        <v>1</v>
      </c>
      <c r="AH193" t="s">
        <v>10</v>
      </c>
      <c r="AI193">
        <v>1</v>
      </c>
    </row>
    <row r="194" spans="1:35" x14ac:dyDescent="0.3">
      <c r="A194" t="s">
        <v>151</v>
      </c>
      <c r="B194">
        <v>1</v>
      </c>
      <c r="AH194" t="s">
        <v>10</v>
      </c>
      <c r="AI194">
        <v>1</v>
      </c>
    </row>
    <row r="195" spans="1:35" x14ac:dyDescent="0.3">
      <c r="A195" t="s">
        <v>23</v>
      </c>
      <c r="B195">
        <v>1</v>
      </c>
      <c r="AH195" t="s">
        <v>401</v>
      </c>
      <c r="AI195">
        <v>1</v>
      </c>
    </row>
    <row r="196" spans="1:35" x14ac:dyDescent="0.3">
      <c r="A196" t="s">
        <v>11</v>
      </c>
      <c r="B196">
        <v>1</v>
      </c>
      <c r="AH196" t="s">
        <v>10</v>
      </c>
      <c r="AI196">
        <v>1</v>
      </c>
    </row>
    <row r="197" spans="1:35" x14ac:dyDescent="0.3">
      <c r="A197" t="s">
        <v>687</v>
      </c>
      <c r="B197">
        <v>1</v>
      </c>
      <c r="AH197" t="s">
        <v>696</v>
      </c>
      <c r="AI197">
        <v>1</v>
      </c>
    </row>
    <row r="198" spans="1:35" x14ac:dyDescent="0.3">
      <c r="A198" t="s">
        <v>64</v>
      </c>
      <c r="B198">
        <v>1</v>
      </c>
      <c r="AH198" t="s">
        <v>10</v>
      </c>
      <c r="AI198">
        <v>1</v>
      </c>
    </row>
    <row r="199" spans="1:35" x14ac:dyDescent="0.3">
      <c r="A199" t="s">
        <v>743</v>
      </c>
      <c r="B199">
        <v>1</v>
      </c>
      <c r="AH199" t="s">
        <v>10</v>
      </c>
      <c r="AI199">
        <v>1</v>
      </c>
    </row>
    <row r="200" spans="1:35" x14ac:dyDescent="0.3">
      <c r="A200" t="s">
        <v>345</v>
      </c>
      <c r="B200">
        <v>1</v>
      </c>
      <c r="AH200" t="s">
        <v>458</v>
      </c>
      <c r="AI200">
        <v>1</v>
      </c>
    </row>
    <row r="201" spans="1:35" x14ac:dyDescent="0.3">
      <c r="A201" t="s">
        <v>11</v>
      </c>
      <c r="B201">
        <v>1</v>
      </c>
      <c r="AH201" t="s">
        <v>35</v>
      </c>
      <c r="AI201">
        <v>1</v>
      </c>
    </row>
    <row r="202" spans="1:35" x14ac:dyDescent="0.3">
      <c r="A202" t="s">
        <v>130</v>
      </c>
      <c r="B202">
        <v>1</v>
      </c>
      <c r="AH202" t="s">
        <v>10</v>
      </c>
      <c r="AI202">
        <v>1</v>
      </c>
    </row>
    <row r="203" spans="1:35" x14ac:dyDescent="0.3">
      <c r="A203" t="s">
        <v>151</v>
      </c>
      <c r="B203">
        <v>1</v>
      </c>
      <c r="AH203" t="s">
        <v>297</v>
      </c>
      <c r="AI203">
        <v>1</v>
      </c>
    </row>
    <row r="204" spans="1:35" x14ac:dyDescent="0.3">
      <c r="A204" t="s">
        <v>23</v>
      </c>
      <c r="B204">
        <v>1</v>
      </c>
      <c r="AH204" t="s">
        <v>104</v>
      </c>
      <c r="AI204">
        <v>1</v>
      </c>
    </row>
    <row r="205" spans="1:35" x14ac:dyDescent="0.3">
      <c r="A205" t="s">
        <v>243</v>
      </c>
      <c r="B205">
        <v>1</v>
      </c>
      <c r="AH205" t="s">
        <v>10</v>
      </c>
      <c r="AI205">
        <v>1</v>
      </c>
    </row>
    <row r="206" spans="1:35" x14ac:dyDescent="0.3">
      <c r="A206" t="s">
        <v>706</v>
      </c>
      <c r="B206">
        <v>1</v>
      </c>
      <c r="AH206" t="s">
        <v>51</v>
      </c>
      <c r="AI206">
        <v>1</v>
      </c>
    </row>
    <row r="207" spans="1:35" x14ac:dyDescent="0.3">
      <c r="A207" t="s">
        <v>634</v>
      </c>
      <c r="B207">
        <v>1</v>
      </c>
      <c r="AH207" t="s">
        <v>124</v>
      </c>
      <c r="AI207">
        <v>1</v>
      </c>
    </row>
    <row r="208" spans="1:35" x14ac:dyDescent="0.3">
      <c r="A208" t="s">
        <v>151</v>
      </c>
      <c r="B208">
        <v>1</v>
      </c>
      <c r="AH208" t="s">
        <v>10</v>
      </c>
      <c r="AI208">
        <v>1</v>
      </c>
    </row>
    <row r="209" spans="1:35" x14ac:dyDescent="0.3">
      <c r="A209" t="s">
        <v>232</v>
      </c>
      <c r="B209">
        <v>1</v>
      </c>
      <c r="AH209" t="s">
        <v>10</v>
      </c>
      <c r="AI209">
        <v>1</v>
      </c>
    </row>
    <row r="210" spans="1:35" x14ac:dyDescent="0.3">
      <c r="A210" t="s">
        <v>52</v>
      </c>
      <c r="B210">
        <v>1</v>
      </c>
      <c r="AH210" t="s">
        <v>51</v>
      </c>
      <c r="AI210">
        <v>1</v>
      </c>
    </row>
    <row r="211" spans="1:35" x14ac:dyDescent="0.3">
      <c r="A211" t="s">
        <v>23</v>
      </c>
      <c r="B211">
        <v>1</v>
      </c>
      <c r="AH211" t="s">
        <v>10</v>
      </c>
      <c r="AI211">
        <v>1</v>
      </c>
    </row>
    <row r="212" spans="1:35" x14ac:dyDescent="0.3">
      <c r="A212" t="s">
        <v>151</v>
      </c>
      <c r="B212">
        <v>1</v>
      </c>
      <c r="AH212" t="s">
        <v>51</v>
      </c>
      <c r="AI212">
        <v>1</v>
      </c>
    </row>
    <row r="213" spans="1:35" x14ac:dyDescent="0.3">
      <c r="A213" t="s">
        <v>11</v>
      </c>
      <c r="B213">
        <v>1</v>
      </c>
      <c r="AH213" t="s">
        <v>10</v>
      </c>
      <c r="AI213">
        <v>1</v>
      </c>
    </row>
    <row r="214" spans="1:35" x14ac:dyDescent="0.3">
      <c r="A214" t="s">
        <v>29</v>
      </c>
      <c r="B214">
        <v>1</v>
      </c>
      <c r="AH214" t="s">
        <v>458</v>
      </c>
      <c r="AI214">
        <v>1</v>
      </c>
    </row>
    <row r="215" spans="1:35" x14ac:dyDescent="0.3">
      <c r="A215" t="s">
        <v>29</v>
      </c>
      <c r="B215">
        <v>1</v>
      </c>
      <c r="AH215" t="s">
        <v>10</v>
      </c>
      <c r="AI215">
        <v>1</v>
      </c>
    </row>
    <row r="216" spans="1:35" x14ac:dyDescent="0.3">
      <c r="A216" t="s">
        <v>130</v>
      </c>
      <c r="B216">
        <v>1</v>
      </c>
      <c r="AH216" t="s">
        <v>104</v>
      </c>
      <c r="AI216">
        <v>1</v>
      </c>
    </row>
    <row r="217" spans="1:35" x14ac:dyDescent="0.3">
      <c r="A217" t="s">
        <v>174</v>
      </c>
      <c r="B217">
        <v>1</v>
      </c>
      <c r="AH217" t="s">
        <v>10</v>
      </c>
      <c r="AI217">
        <v>1</v>
      </c>
    </row>
    <row r="218" spans="1:35" x14ac:dyDescent="0.3">
      <c r="A218" t="s">
        <v>151</v>
      </c>
      <c r="B218">
        <v>1</v>
      </c>
      <c r="AH218" t="s">
        <v>10</v>
      </c>
      <c r="AI218">
        <v>1</v>
      </c>
    </row>
    <row r="219" spans="1:35" x14ac:dyDescent="0.3">
      <c r="A219" t="s">
        <v>464</v>
      </c>
      <c r="B219">
        <v>1</v>
      </c>
      <c r="AH219" t="s">
        <v>124</v>
      </c>
      <c r="AI219">
        <v>1</v>
      </c>
    </row>
    <row r="220" spans="1:35" x14ac:dyDescent="0.3">
      <c r="A220" t="s">
        <v>726</v>
      </c>
      <c r="B220">
        <v>1</v>
      </c>
      <c r="AH220" t="s">
        <v>104</v>
      </c>
      <c r="AI220">
        <v>1</v>
      </c>
    </row>
    <row r="221" spans="1:35" x14ac:dyDescent="0.3">
      <c r="A221" t="s">
        <v>17</v>
      </c>
      <c r="B221">
        <v>1</v>
      </c>
      <c r="AH221" t="s">
        <v>10</v>
      </c>
      <c r="AI221">
        <v>1</v>
      </c>
    </row>
    <row r="222" spans="1:35" x14ac:dyDescent="0.3">
      <c r="A222" t="s">
        <v>11</v>
      </c>
      <c r="B222">
        <v>1</v>
      </c>
      <c r="AH222" t="s">
        <v>1079</v>
      </c>
      <c r="AI222">
        <v>1</v>
      </c>
    </row>
    <row r="223" spans="1:35" x14ac:dyDescent="0.3">
      <c r="A223" t="s">
        <v>58</v>
      </c>
      <c r="B223">
        <v>1</v>
      </c>
      <c r="AH223" t="s">
        <v>10</v>
      </c>
      <c r="AI223">
        <v>1</v>
      </c>
    </row>
    <row r="224" spans="1:35" x14ac:dyDescent="0.3">
      <c r="A224" t="s">
        <v>11</v>
      </c>
      <c r="B224">
        <v>1</v>
      </c>
      <c r="AH224" t="s">
        <v>696</v>
      </c>
      <c r="AI224">
        <v>1</v>
      </c>
    </row>
    <row r="225" spans="1:35" x14ac:dyDescent="0.3">
      <c r="A225" t="s">
        <v>64</v>
      </c>
      <c r="B225">
        <v>1</v>
      </c>
      <c r="AH225" t="s">
        <v>10</v>
      </c>
      <c r="AI225">
        <v>1</v>
      </c>
    </row>
    <row r="226" spans="1:35" x14ac:dyDescent="0.3">
      <c r="A226" t="s">
        <v>792</v>
      </c>
      <c r="B226">
        <v>1</v>
      </c>
      <c r="AH226" t="s">
        <v>51</v>
      </c>
      <c r="AI226">
        <v>1</v>
      </c>
    </row>
    <row r="227" spans="1:35" x14ac:dyDescent="0.3">
      <c r="A227" t="s">
        <v>141</v>
      </c>
      <c r="B227">
        <v>1</v>
      </c>
      <c r="AH227" t="s">
        <v>51</v>
      </c>
      <c r="AI227">
        <v>1</v>
      </c>
    </row>
    <row r="228" spans="1:35" x14ac:dyDescent="0.3">
      <c r="A228" t="s">
        <v>23</v>
      </c>
      <c r="B228">
        <v>1</v>
      </c>
      <c r="AH228" t="s">
        <v>10</v>
      </c>
      <c r="AI228">
        <v>1</v>
      </c>
    </row>
    <row r="229" spans="1:35" x14ac:dyDescent="0.3">
      <c r="A229" t="s">
        <v>345</v>
      </c>
      <c r="B229">
        <v>1</v>
      </c>
      <c r="AH229" t="s">
        <v>104</v>
      </c>
      <c r="AI229">
        <v>1</v>
      </c>
    </row>
    <row r="230" spans="1:35" x14ac:dyDescent="0.3">
      <c r="A230" t="s">
        <v>58</v>
      </c>
      <c r="B230">
        <v>1</v>
      </c>
      <c r="AH230" t="s">
        <v>10</v>
      </c>
      <c r="AI230">
        <v>1</v>
      </c>
    </row>
    <row r="231" spans="1:35" x14ac:dyDescent="0.3">
      <c r="A231" t="s">
        <v>11</v>
      </c>
      <c r="B231">
        <v>1</v>
      </c>
      <c r="AH231" t="s">
        <v>205</v>
      </c>
      <c r="AI231">
        <v>1</v>
      </c>
    </row>
    <row r="232" spans="1:35" x14ac:dyDescent="0.3">
      <c r="A232" t="s">
        <v>365</v>
      </c>
      <c r="B232">
        <v>1</v>
      </c>
      <c r="AH232" t="s">
        <v>10</v>
      </c>
      <c r="AI232">
        <v>1</v>
      </c>
    </row>
    <row r="233" spans="1:35" x14ac:dyDescent="0.3">
      <c r="A233" t="s">
        <v>365</v>
      </c>
      <c r="B233">
        <v>1</v>
      </c>
      <c r="AH233" t="s">
        <v>51</v>
      </c>
      <c r="AI233">
        <v>1</v>
      </c>
    </row>
    <row r="234" spans="1:35" x14ac:dyDescent="0.3">
      <c r="A234" t="s">
        <v>250</v>
      </c>
      <c r="B234">
        <v>1</v>
      </c>
      <c r="AH234" t="s">
        <v>10</v>
      </c>
      <c r="AI234">
        <v>1</v>
      </c>
    </row>
    <row r="235" spans="1:35" x14ac:dyDescent="0.3">
      <c r="A235" t="s">
        <v>130</v>
      </c>
      <c r="B235">
        <v>1</v>
      </c>
      <c r="AH235" t="s">
        <v>51</v>
      </c>
      <c r="AI235">
        <v>1</v>
      </c>
    </row>
    <row r="236" spans="1:35" x14ac:dyDescent="0.3">
      <c r="A236" t="s">
        <v>687</v>
      </c>
      <c r="B236">
        <v>1</v>
      </c>
      <c r="AH236" t="s">
        <v>10</v>
      </c>
      <c r="AI236">
        <v>1</v>
      </c>
    </row>
    <row r="237" spans="1:35" x14ac:dyDescent="0.3">
      <c r="A237" t="s">
        <v>151</v>
      </c>
      <c r="B237">
        <v>1</v>
      </c>
      <c r="AH237" t="s">
        <v>249</v>
      </c>
      <c r="AI237">
        <v>1</v>
      </c>
    </row>
    <row r="238" spans="1:35" x14ac:dyDescent="0.3">
      <c r="A238" t="s">
        <v>130</v>
      </c>
      <c r="B238">
        <v>1</v>
      </c>
      <c r="AH238" t="s">
        <v>10</v>
      </c>
      <c r="AI238">
        <v>1</v>
      </c>
    </row>
    <row r="239" spans="1:35" x14ac:dyDescent="0.3">
      <c r="A239" t="s">
        <v>174</v>
      </c>
      <c r="B239">
        <v>1</v>
      </c>
      <c r="AH239" t="s">
        <v>10</v>
      </c>
      <c r="AI239">
        <v>1</v>
      </c>
    </row>
    <row r="240" spans="1:35" x14ac:dyDescent="0.3">
      <c r="A240" t="s">
        <v>11</v>
      </c>
      <c r="B240">
        <v>1</v>
      </c>
      <c r="AH240" t="s">
        <v>10</v>
      </c>
      <c r="AI240">
        <v>1</v>
      </c>
    </row>
    <row r="241" spans="1:35" x14ac:dyDescent="0.3">
      <c r="A241" t="s">
        <v>743</v>
      </c>
      <c r="B241">
        <v>1</v>
      </c>
      <c r="AH241" t="s">
        <v>10</v>
      </c>
      <c r="AI241">
        <v>1</v>
      </c>
    </row>
    <row r="242" spans="1:35" x14ac:dyDescent="0.3">
      <c r="A242" t="s">
        <v>560</v>
      </c>
      <c r="B242">
        <v>1</v>
      </c>
      <c r="AH242" t="s">
        <v>10</v>
      </c>
      <c r="AI242">
        <v>1</v>
      </c>
    </row>
    <row r="243" spans="1:35" x14ac:dyDescent="0.3">
      <c r="A243" t="s">
        <v>23</v>
      </c>
      <c r="B243">
        <v>1</v>
      </c>
      <c r="AH243" t="s">
        <v>10</v>
      </c>
      <c r="AI243">
        <v>1</v>
      </c>
    </row>
    <row r="244" spans="1:35" x14ac:dyDescent="0.3">
      <c r="A244" t="s">
        <v>29</v>
      </c>
      <c r="B244">
        <v>1</v>
      </c>
      <c r="AH244" t="s">
        <v>1172</v>
      </c>
      <c r="AI244">
        <v>1</v>
      </c>
    </row>
    <row r="245" spans="1:35" x14ac:dyDescent="0.3">
      <c r="A245" t="s">
        <v>726</v>
      </c>
      <c r="B245">
        <v>1</v>
      </c>
      <c r="AH245" t="s">
        <v>104</v>
      </c>
      <c r="AI245">
        <v>1</v>
      </c>
    </row>
    <row r="246" spans="1:35" x14ac:dyDescent="0.3">
      <c r="A246" t="s">
        <v>345</v>
      </c>
      <c r="B246">
        <v>1</v>
      </c>
      <c r="AH246" t="s">
        <v>35</v>
      </c>
      <c r="AI246">
        <v>1</v>
      </c>
    </row>
    <row r="247" spans="1:35" x14ac:dyDescent="0.3">
      <c r="A247" t="s">
        <v>130</v>
      </c>
      <c r="B247">
        <v>1</v>
      </c>
      <c r="AH247" t="s">
        <v>10</v>
      </c>
      <c r="AI247">
        <v>1</v>
      </c>
    </row>
    <row r="248" spans="1:35" x14ac:dyDescent="0.3">
      <c r="A248" t="s">
        <v>11</v>
      </c>
      <c r="B248">
        <v>1</v>
      </c>
      <c r="AH248" t="s">
        <v>657</v>
      </c>
      <c r="AI248">
        <v>1</v>
      </c>
    </row>
    <row r="249" spans="1:35" x14ac:dyDescent="0.3">
      <c r="A249" t="s">
        <v>743</v>
      </c>
      <c r="B249">
        <v>1</v>
      </c>
      <c r="AH249" t="s">
        <v>10</v>
      </c>
      <c r="AI249">
        <v>1</v>
      </c>
    </row>
    <row r="250" spans="1:35" x14ac:dyDescent="0.3">
      <c r="A250" t="s">
        <v>464</v>
      </c>
      <c r="B250">
        <v>1</v>
      </c>
      <c r="AH250" t="s">
        <v>35</v>
      </c>
      <c r="AI250">
        <v>1</v>
      </c>
    </row>
    <row r="251" spans="1:35" x14ac:dyDescent="0.3">
      <c r="A251" t="s">
        <v>243</v>
      </c>
      <c r="B251">
        <v>1</v>
      </c>
      <c r="AH251" t="s">
        <v>51</v>
      </c>
      <c r="AI251">
        <v>1</v>
      </c>
    </row>
    <row r="252" spans="1:35" x14ac:dyDescent="0.3">
      <c r="A252" t="s">
        <v>11</v>
      </c>
      <c r="B252">
        <v>1</v>
      </c>
      <c r="AH252" t="s">
        <v>1172</v>
      </c>
      <c r="AI252">
        <v>1</v>
      </c>
    </row>
    <row r="253" spans="1:35" x14ac:dyDescent="0.3">
      <c r="A253" t="s">
        <v>130</v>
      </c>
      <c r="B253">
        <v>1</v>
      </c>
      <c r="AH253" t="s">
        <v>10</v>
      </c>
      <c r="AI253">
        <v>1</v>
      </c>
    </row>
    <row r="254" spans="1:35" x14ac:dyDescent="0.3">
      <c r="A254" t="s">
        <v>11</v>
      </c>
      <c r="B254">
        <v>1</v>
      </c>
      <c r="AH254" t="s">
        <v>10</v>
      </c>
      <c r="AI254">
        <v>1</v>
      </c>
    </row>
    <row r="255" spans="1:35" x14ac:dyDescent="0.3">
      <c r="A255" t="s">
        <v>706</v>
      </c>
      <c r="B255">
        <v>1</v>
      </c>
      <c r="AH255" t="s">
        <v>10</v>
      </c>
      <c r="AI255">
        <v>1</v>
      </c>
    </row>
    <row r="256" spans="1:35" x14ac:dyDescent="0.3">
      <c r="A256" t="s">
        <v>706</v>
      </c>
      <c r="B256">
        <v>1</v>
      </c>
      <c r="AH256" t="s">
        <v>10</v>
      </c>
      <c r="AI256">
        <v>1</v>
      </c>
    </row>
    <row r="257" spans="1:35" x14ac:dyDescent="0.3">
      <c r="A257" t="s">
        <v>345</v>
      </c>
      <c r="B257">
        <v>1</v>
      </c>
      <c r="AH257" t="s">
        <v>10</v>
      </c>
      <c r="AI257">
        <v>1</v>
      </c>
    </row>
    <row r="258" spans="1:35" x14ac:dyDescent="0.3">
      <c r="A258" t="s">
        <v>23</v>
      </c>
      <c r="B258">
        <v>1</v>
      </c>
      <c r="AH258" t="s">
        <v>10</v>
      </c>
      <c r="AI258">
        <v>1</v>
      </c>
    </row>
    <row r="259" spans="1:35" x14ac:dyDescent="0.3">
      <c r="A259" t="s">
        <v>345</v>
      </c>
      <c r="B259">
        <v>1</v>
      </c>
      <c r="AH259" t="s">
        <v>10</v>
      </c>
      <c r="AI259">
        <v>1</v>
      </c>
    </row>
    <row r="260" spans="1:35" x14ac:dyDescent="0.3">
      <c r="A260" t="s">
        <v>715</v>
      </c>
      <c r="B260">
        <v>1</v>
      </c>
      <c r="AH260" t="s">
        <v>1234</v>
      </c>
      <c r="AI260">
        <v>1</v>
      </c>
    </row>
    <row r="261" spans="1:35" x14ac:dyDescent="0.3">
      <c r="A261" t="s">
        <v>11</v>
      </c>
      <c r="B261">
        <v>1</v>
      </c>
      <c r="AH261" t="s">
        <v>1079</v>
      </c>
      <c r="AI261">
        <v>1</v>
      </c>
    </row>
    <row r="262" spans="1:35" x14ac:dyDescent="0.3">
      <c r="A262" t="s">
        <v>130</v>
      </c>
      <c r="B262">
        <v>1</v>
      </c>
      <c r="AH262" t="s">
        <v>10</v>
      </c>
      <c r="AI262">
        <v>1</v>
      </c>
    </row>
    <row r="263" spans="1:35" x14ac:dyDescent="0.3">
      <c r="A263" t="s">
        <v>11</v>
      </c>
      <c r="B263">
        <v>1</v>
      </c>
      <c r="AH263" t="s">
        <v>10</v>
      </c>
      <c r="AI263">
        <v>1</v>
      </c>
    </row>
    <row r="264" spans="1:35" x14ac:dyDescent="0.3">
      <c r="A264" t="s">
        <v>11</v>
      </c>
      <c r="B264">
        <v>1</v>
      </c>
      <c r="AH264" t="s">
        <v>205</v>
      </c>
      <c r="AI264">
        <v>1</v>
      </c>
    </row>
    <row r="265" spans="1:35" x14ac:dyDescent="0.3">
      <c r="A265" t="s">
        <v>29</v>
      </c>
      <c r="B265">
        <v>1</v>
      </c>
      <c r="AH265" t="s">
        <v>76</v>
      </c>
      <c r="AI265">
        <v>1</v>
      </c>
    </row>
    <row r="266" spans="1:35" x14ac:dyDescent="0.3">
      <c r="A266" t="s">
        <v>29</v>
      </c>
      <c r="B266">
        <v>1</v>
      </c>
      <c r="AH266" t="s">
        <v>10</v>
      </c>
      <c r="AI266">
        <v>1</v>
      </c>
    </row>
    <row r="267" spans="1:35" x14ac:dyDescent="0.3">
      <c r="A267" t="s">
        <v>464</v>
      </c>
      <c r="B267">
        <v>1</v>
      </c>
      <c r="AH267" t="s">
        <v>51</v>
      </c>
      <c r="AI267">
        <v>1</v>
      </c>
    </row>
    <row r="268" spans="1:35" x14ac:dyDescent="0.3">
      <c r="A268" t="s">
        <v>743</v>
      </c>
      <c r="B268">
        <v>1</v>
      </c>
      <c r="AH268" t="s">
        <v>10</v>
      </c>
      <c r="AI268">
        <v>1</v>
      </c>
    </row>
    <row r="269" spans="1:35" x14ac:dyDescent="0.3">
      <c r="A269" t="s">
        <v>11</v>
      </c>
      <c r="B269">
        <v>1</v>
      </c>
      <c r="AH269" t="s">
        <v>696</v>
      </c>
      <c r="AI269">
        <v>1</v>
      </c>
    </row>
    <row r="270" spans="1:35" x14ac:dyDescent="0.3">
      <c r="A270" t="s">
        <v>345</v>
      </c>
      <c r="B270">
        <v>1</v>
      </c>
      <c r="AH270" t="s">
        <v>10</v>
      </c>
      <c r="AI270">
        <v>1</v>
      </c>
    </row>
    <row r="271" spans="1:35" x14ac:dyDescent="0.3">
      <c r="A271" t="s">
        <v>365</v>
      </c>
      <c r="B271">
        <v>1</v>
      </c>
      <c r="AH271" t="s">
        <v>10</v>
      </c>
      <c r="AI271">
        <v>1</v>
      </c>
    </row>
    <row r="272" spans="1:35" x14ac:dyDescent="0.3">
      <c r="A272" t="s">
        <v>23</v>
      </c>
      <c r="B272">
        <v>1</v>
      </c>
      <c r="AH272" t="s">
        <v>10</v>
      </c>
      <c r="AI272">
        <v>1</v>
      </c>
    </row>
    <row r="273" spans="1:35" x14ac:dyDescent="0.3">
      <c r="A273" t="s">
        <v>634</v>
      </c>
      <c r="B273">
        <v>1</v>
      </c>
      <c r="AH273" t="s">
        <v>417</v>
      </c>
      <c r="AI273">
        <v>1</v>
      </c>
    </row>
    <row r="274" spans="1:35" x14ac:dyDescent="0.3">
      <c r="A274" t="s">
        <v>29</v>
      </c>
      <c r="B274">
        <v>1</v>
      </c>
      <c r="AH274" t="s">
        <v>1172</v>
      </c>
      <c r="AI274">
        <v>1</v>
      </c>
    </row>
    <row r="275" spans="1:35" x14ac:dyDescent="0.3">
      <c r="A275" t="s">
        <v>232</v>
      </c>
      <c r="B275">
        <v>1</v>
      </c>
      <c r="AH275" t="s">
        <v>417</v>
      </c>
      <c r="AI275">
        <v>1</v>
      </c>
    </row>
    <row r="276" spans="1:35" x14ac:dyDescent="0.3">
      <c r="A276" t="s">
        <v>634</v>
      </c>
      <c r="B276">
        <v>1</v>
      </c>
      <c r="AH276" t="s">
        <v>249</v>
      </c>
      <c r="AI276">
        <v>1</v>
      </c>
    </row>
    <row r="277" spans="1:35" x14ac:dyDescent="0.3">
      <c r="A277" t="s">
        <v>130</v>
      </c>
      <c r="B277">
        <v>1</v>
      </c>
      <c r="AH277" t="s">
        <v>10</v>
      </c>
      <c r="AI277">
        <v>1</v>
      </c>
    </row>
    <row r="278" spans="1:35" x14ac:dyDescent="0.3">
      <c r="A278" t="s">
        <v>23</v>
      </c>
      <c r="B278">
        <v>1</v>
      </c>
      <c r="AH278" t="s">
        <v>51</v>
      </c>
      <c r="AI278">
        <v>1</v>
      </c>
    </row>
    <row r="279" spans="1:35" x14ac:dyDescent="0.3">
      <c r="A279" t="s">
        <v>141</v>
      </c>
      <c r="B279">
        <v>1</v>
      </c>
      <c r="AH279" t="s">
        <v>104</v>
      </c>
      <c r="AI279">
        <v>1</v>
      </c>
    </row>
    <row r="280" spans="1:35" x14ac:dyDescent="0.3">
      <c r="A280" t="s">
        <v>743</v>
      </c>
      <c r="B280">
        <v>1</v>
      </c>
      <c r="AH280" t="s">
        <v>10</v>
      </c>
      <c r="AI280">
        <v>1</v>
      </c>
    </row>
    <row r="281" spans="1:35" x14ac:dyDescent="0.3">
      <c r="A281" t="s">
        <v>64</v>
      </c>
      <c r="B281">
        <v>1</v>
      </c>
      <c r="AH281" t="s">
        <v>10</v>
      </c>
      <c r="AI281">
        <v>1</v>
      </c>
    </row>
    <row r="282" spans="1:35" x14ac:dyDescent="0.3">
      <c r="A282" t="s">
        <v>345</v>
      </c>
      <c r="B282">
        <v>1</v>
      </c>
      <c r="AH282" t="s">
        <v>51</v>
      </c>
      <c r="AI282">
        <v>1</v>
      </c>
    </row>
    <row r="283" spans="1:35" x14ac:dyDescent="0.3">
      <c r="A283" t="s">
        <v>29</v>
      </c>
      <c r="B283">
        <v>1</v>
      </c>
      <c r="AH283" t="s">
        <v>436</v>
      </c>
      <c r="AI283">
        <v>1</v>
      </c>
    </row>
    <row r="284" spans="1:35" x14ac:dyDescent="0.3">
      <c r="A284" t="s">
        <v>560</v>
      </c>
      <c r="B284">
        <v>1</v>
      </c>
      <c r="AH284" t="s">
        <v>10</v>
      </c>
      <c r="AI284">
        <v>1</v>
      </c>
    </row>
    <row r="285" spans="1:35" x14ac:dyDescent="0.3">
      <c r="A285" t="s">
        <v>634</v>
      </c>
      <c r="B285">
        <v>1</v>
      </c>
      <c r="AH285" t="s">
        <v>10</v>
      </c>
      <c r="AI285">
        <v>1</v>
      </c>
    </row>
    <row r="286" spans="1:35" x14ac:dyDescent="0.3">
      <c r="A286" t="s">
        <v>345</v>
      </c>
      <c r="B286">
        <v>1</v>
      </c>
      <c r="AH286" t="s">
        <v>51</v>
      </c>
      <c r="AI286">
        <v>1</v>
      </c>
    </row>
    <row r="287" spans="1:35" x14ac:dyDescent="0.3">
      <c r="A287" t="s">
        <v>510</v>
      </c>
      <c r="B287">
        <v>1</v>
      </c>
      <c r="AH287" t="s">
        <v>76</v>
      </c>
      <c r="AI287">
        <v>1</v>
      </c>
    </row>
    <row r="288" spans="1:35" x14ac:dyDescent="0.3">
      <c r="A288" t="s">
        <v>52</v>
      </c>
      <c r="B288">
        <v>1</v>
      </c>
      <c r="AH288" t="s">
        <v>10</v>
      </c>
      <c r="AI288">
        <v>1</v>
      </c>
    </row>
    <row r="289" spans="1:35" x14ac:dyDescent="0.3">
      <c r="A289" t="s">
        <v>58</v>
      </c>
      <c r="B289">
        <v>1</v>
      </c>
      <c r="AH289" t="s">
        <v>10</v>
      </c>
      <c r="AI289">
        <v>1</v>
      </c>
    </row>
    <row r="290" spans="1:35" x14ac:dyDescent="0.3">
      <c r="A290" t="s">
        <v>29</v>
      </c>
      <c r="B290">
        <v>1</v>
      </c>
      <c r="AH290" t="s">
        <v>10</v>
      </c>
      <c r="AI290">
        <v>1</v>
      </c>
    </row>
    <row r="291" spans="1:35" x14ac:dyDescent="0.3">
      <c r="A291" t="s">
        <v>464</v>
      </c>
      <c r="B291">
        <v>1</v>
      </c>
      <c r="AH291" t="s">
        <v>10</v>
      </c>
      <c r="AI291">
        <v>1</v>
      </c>
    </row>
    <row r="292" spans="1:35" x14ac:dyDescent="0.3">
      <c r="A292" t="s">
        <v>151</v>
      </c>
      <c r="B292">
        <v>1</v>
      </c>
      <c r="AH292" t="s">
        <v>10</v>
      </c>
      <c r="AI292">
        <v>1</v>
      </c>
    </row>
    <row r="293" spans="1:35" x14ac:dyDescent="0.3">
      <c r="A293" t="s">
        <v>687</v>
      </c>
      <c r="B293">
        <v>1</v>
      </c>
      <c r="AH293" t="s">
        <v>10</v>
      </c>
      <c r="AI293">
        <v>1</v>
      </c>
    </row>
    <row r="294" spans="1:35" x14ac:dyDescent="0.3">
      <c r="A294" t="s">
        <v>706</v>
      </c>
      <c r="B294">
        <v>1</v>
      </c>
      <c r="AH294" t="s">
        <v>51</v>
      </c>
      <c r="AI294">
        <v>1</v>
      </c>
    </row>
    <row r="295" spans="1:35" x14ac:dyDescent="0.3">
      <c r="A295" t="s">
        <v>29</v>
      </c>
      <c r="B295">
        <v>1</v>
      </c>
      <c r="AH295" t="s">
        <v>458</v>
      </c>
      <c r="AI295">
        <v>1</v>
      </c>
    </row>
    <row r="296" spans="1:35" x14ac:dyDescent="0.3">
      <c r="A296" t="s">
        <v>64</v>
      </c>
      <c r="B296">
        <v>1</v>
      </c>
      <c r="AH296" t="s">
        <v>51</v>
      </c>
      <c r="AI296">
        <v>1</v>
      </c>
    </row>
    <row r="297" spans="1:35" x14ac:dyDescent="0.3">
      <c r="A297" t="s">
        <v>64</v>
      </c>
      <c r="B297">
        <v>1</v>
      </c>
      <c r="AH297" t="s">
        <v>10</v>
      </c>
      <c r="AI297">
        <v>1</v>
      </c>
    </row>
    <row r="298" spans="1:35" x14ac:dyDescent="0.3">
      <c r="A298" t="s">
        <v>243</v>
      </c>
      <c r="B298">
        <v>1</v>
      </c>
      <c r="AH298" t="s">
        <v>10</v>
      </c>
      <c r="AI298">
        <v>1</v>
      </c>
    </row>
    <row r="299" spans="1:35" x14ac:dyDescent="0.3">
      <c r="A299" t="s">
        <v>345</v>
      </c>
      <c r="B299">
        <v>1</v>
      </c>
      <c r="AH299" t="s">
        <v>10</v>
      </c>
      <c r="AI299">
        <v>1</v>
      </c>
    </row>
    <row r="300" spans="1:35" x14ac:dyDescent="0.3">
      <c r="A300" t="s">
        <v>743</v>
      </c>
      <c r="B300">
        <v>1</v>
      </c>
      <c r="AH300" t="s">
        <v>10</v>
      </c>
      <c r="AI300">
        <v>1</v>
      </c>
    </row>
    <row r="301" spans="1:35" x14ac:dyDescent="0.3">
      <c r="A301" t="s">
        <v>11</v>
      </c>
      <c r="B301">
        <v>1</v>
      </c>
      <c r="AH301" t="s">
        <v>104</v>
      </c>
      <c r="AI301">
        <v>1</v>
      </c>
    </row>
    <row r="302" spans="1:35" x14ac:dyDescent="0.3">
      <c r="A302" t="s">
        <v>706</v>
      </c>
      <c r="B302">
        <v>1</v>
      </c>
      <c r="AH302" t="s">
        <v>10</v>
      </c>
      <c r="AI302">
        <v>1</v>
      </c>
    </row>
    <row r="303" spans="1:35" x14ac:dyDescent="0.3">
      <c r="A303" t="s">
        <v>11</v>
      </c>
      <c r="B303">
        <v>1</v>
      </c>
      <c r="AH303" t="s">
        <v>10</v>
      </c>
      <c r="AI303">
        <v>1</v>
      </c>
    </row>
    <row r="304" spans="1:35" x14ac:dyDescent="0.3">
      <c r="A304" t="s">
        <v>29</v>
      </c>
      <c r="B304">
        <v>1</v>
      </c>
      <c r="AH304" t="s">
        <v>1172</v>
      </c>
      <c r="AI304">
        <v>1</v>
      </c>
    </row>
    <row r="305" spans="1:35" x14ac:dyDescent="0.3">
      <c r="A305" t="s">
        <v>345</v>
      </c>
      <c r="B305">
        <v>1</v>
      </c>
      <c r="AH305" t="s">
        <v>10</v>
      </c>
      <c r="AI305">
        <v>1</v>
      </c>
    </row>
    <row r="306" spans="1:35" x14ac:dyDescent="0.3">
      <c r="A306" t="s">
        <v>464</v>
      </c>
      <c r="B306">
        <v>1</v>
      </c>
      <c r="AH306" t="s">
        <v>10</v>
      </c>
      <c r="AI306">
        <v>1</v>
      </c>
    </row>
    <row r="307" spans="1:35" x14ac:dyDescent="0.3">
      <c r="A307" t="s">
        <v>232</v>
      </c>
      <c r="B307">
        <v>1</v>
      </c>
      <c r="AH307" t="s">
        <v>10</v>
      </c>
      <c r="AI307">
        <v>1</v>
      </c>
    </row>
    <row r="308" spans="1:35" x14ac:dyDescent="0.3">
      <c r="A308" t="s">
        <v>743</v>
      </c>
      <c r="B308">
        <v>1</v>
      </c>
      <c r="AH308" t="s">
        <v>10</v>
      </c>
      <c r="AI308">
        <v>1</v>
      </c>
    </row>
    <row r="309" spans="1:35" x14ac:dyDescent="0.3">
      <c r="A309" t="s">
        <v>345</v>
      </c>
      <c r="B309">
        <v>1</v>
      </c>
      <c r="AH309" t="s">
        <v>35</v>
      </c>
      <c r="AI309">
        <v>1</v>
      </c>
    </row>
    <row r="310" spans="1:35" x14ac:dyDescent="0.3">
      <c r="A310" t="s">
        <v>687</v>
      </c>
      <c r="B310">
        <v>1</v>
      </c>
      <c r="AH310" t="s">
        <v>51</v>
      </c>
      <c r="AI310">
        <v>1</v>
      </c>
    </row>
    <row r="311" spans="1:35" x14ac:dyDescent="0.3">
      <c r="A311" t="s">
        <v>29</v>
      </c>
      <c r="B311">
        <v>1</v>
      </c>
      <c r="AH311" t="s">
        <v>417</v>
      </c>
      <c r="AI311">
        <v>1</v>
      </c>
    </row>
    <row r="312" spans="1:35" x14ac:dyDescent="0.3">
      <c r="A312" t="s">
        <v>52</v>
      </c>
      <c r="B312">
        <v>1</v>
      </c>
      <c r="AH312" t="s">
        <v>51</v>
      </c>
      <c r="AI312">
        <v>1</v>
      </c>
    </row>
    <row r="313" spans="1:35" x14ac:dyDescent="0.3">
      <c r="A313" t="s">
        <v>23</v>
      </c>
      <c r="B313">
        <v>1</v>
      </c>
      <c r="AH313" t="s">
        <v>1441</v>
      </c>
      <c r="AI313">
        <v>1</v>
      </c>
    </row>
    <row r="314" spans="1:35" x14ac:dyDescent="0.3">
      <c r="A314" t="s">
        <v>64</v>
      </c>
      <c r="B314">
        <v>1</v>
      </c>
      <c r="AH314" t="s">
        <v>10</v>
      </c>
      <c r="AI314">
        <v>1</v>
      </c>
    </row>
    <row r="315" spans="1:35" x14ac:dyDescent="0.3">
      <c r="A315" t="s">
        <v>792</v>
      </c>
      <c r="B315">
        <v>1</v>
      </c>
      <c r="AH315" t="s">
        <v>51</v>
      </c>
      <c r="AI315">
        <v>1</v>
      </c>
    </row>
    <row r="316" spans="1:35" x14ac:dyDescent="0.3">
      <c r="A316" t="s">
        <v>11</v>
      </c>
      <c r="B316">
        <v>1</v>
      </c>
      <c r="AH316" t="s">
        <v>124</v>
      </c>
      <c r="AI316">
        <v>1</v>
      </c>
    </row>
    <row r="317" spans="1:35" x14ac:dyDescent="0.3">
      <c r="A317" t="s">
        <v>365</v>
      </c>
      <c r="B317">
        <v>1</v>
      </c>
      <c r="AH317" t="s">
        <v>124</v>
      </c>
      <c r="AI317">
        <v>1</v>
      </c>
    </row>
    <row r="318" spans="1:35" x14ac:dyDescent="0.3">
      <c r="A318" t="s">
        <v>726</v>
      </c>
      <c r="B318">
        <v>1</v>
      </c>
      <c r="AH318" t="s">
        <v>104</v>
      </c>
      <c r="AI318">
        <v>1</v>
      </c>
    </row>
    <row r="319" spans="1:35" x14ac:dyDescent="0.3">
      <c r="A319" t="s">
        <v>151</v>
      </c>
      <c r="B319">
        <v>1</v>
      </c>
      <c r="AH319" t="s">
        <v>1463</v>
      </c>
      <c r="AI319">
        <v>1</v>
      </c>
    </row>
    <row r="320" spans="1:35" x14ac:dyDescent="0.3">
      <c r="A320" t="s">
        <v>58</v>
      </c>
      <c r="B320">
        <v>1</v>
      </c>
      <c r="AH320" t="s">
        <v>417</v>
      </c>
      <c r="AI320">
        <v>1</v>
      </c>
    </row>
    <row r="321" spans="1:35" x14ac:dyDescent="0.3">
      <c r="A321" t="s">
        <v>151</v>
      </c>
      <c r="B321">
        <v>1</v>
      </c>
      <c r="AH321" t="s">
        <v>70</v>
      </c>
      <c r="AI321">
        <v>1</v>
      </c>
    </row>
    <row r="322" spans="1:35" x14ac:dyDescent="0.3">
      <c r="A322" t="s">
        <v>11</v>
      </c>
      <c r="B322">
        <v>1</v>
      </c>
      <c r="AH322" t="s">
        <v>657</v>
      </c>
      <c r="AI322">
        <v>1</v>
      </c>
    </row>
    <row r="323" spans="1:35" x14ac:dyDescent="0.3">
      <c r="A323" t="s">
        <v>98</v>
      </c>
      <c r="B323">
        <v>1</v>
      </c>
      <c r="AH323" t="s">
        <v>417</v>
      </c>
      <c r="AI323">
        <v>1</v>
      </c>
    </row>
    <row r="324" spans="1:35" x14ac:dyDescent="0.3">
      <c r="A324" t="s">
        <v>687</v>
      </c>
      <c r="B324">
        <v>1</v>
      </c>
      <c r="AH324" t="s">
        <v>104</v>
      </c>
      <c r="AI324">
        <v>1</v>
      </c>
    </row>
    <row r="325" spans="1:35" x14ac:dyDescent="0.3">
      <c r="A325" t="s">
        <v>11</v>
      </c>
      <c r="B325">
        <v>1</v>
      </c>
      <c r="AH325" t="s">
        <v>696</v>
      </c>
      <c r="AI325">
        <v>1</v>
      </c>
    </row>
    <row r="326" spans="1:35" x14ac:dyDescent="0.3">
      <c r="A326" t="s">
        <v>510</v>
      </c>
      <c r="B326">
        <v>1</v>
      </c>
      <c r="AH326" t="s">
        <v>104</v>
      </c>
      <c r="AI326">
        <v>1</v>
      </c>
    </row>
    <row r="327" spans="1:35" x14ac:dyDescent="0.3">
      <c r="A327" t="s">
        <v>11</v>
      </c>
      <c r="B327">
        <v>1</v>
      </c>
      <c r="AH327" t="s">
        <v>737</v>
      </c>
      <c r="AI327">
        <v>1</v>
      </c>
    </row>
    <row r="328" spans="1:35" x14ac:dyDescent="0.3">
      <c r="A328" t="s">
        <v>23</v>
      </c>
      <c r="B328">
        <v>1</v>
      </c>
      <c r="AH328" t="s">
        <v>401</v>
      </c>
      <c r="AI328">
        <v>1</v>
      </c>
    </row>
    <row r="329" spans="1:35" x14ac:dyDescent="0.3">
      <c r="A329" t="s">
        <v>726</v>
      </c>
      <c r="B329">
        <v>1</v>
      </c>
      <c r="AH329" t="s">
        <v>10</v>
      </c>
      <c r="AI329">
        <v>1</v>
      </c>
    </row>
    <row r="330" spans="1:35" x14ac:dyDescent="0.3">
      <c r="A330" t="s">
        <v>706</v>
      </c>
      <c r="B330">
        <v>1</v>
      </c>
      <c r="AH330" t="s">
        <v>51</v>
      </c>
      <c r="AI330">
        <v>1</v>
      </c>
    </row>
    <row r="331" spans="1:35" x14ac:dyDescent="0.3">
      <c r="A331" t="s">
        <v>23</v>
      </c>
      <c r="B331">
        <v>1</v>
      </c>
      <c r="AH331" t="s">
        <v>10</v>
      </c>
      <c r="AI331">
        <v>1</v>
      </c>
    </row>
    <row r="332" spans="1:35" x14ac:dyDescent="0.3">
      <c r="A332" t="s">
        <v>130</v>
      </c>
      <c r="B332">
        <v>1</v>
      </c>
      <c r="AH332" t="s">
        <v>35</v>
      </c>
      <c r="AI332">
        <v>1</v>
      </c>
    </row>
    <row r="333" spans="1:35" x14ac:dyDescent="0.3">
      <c r="A333" t="s">
        <v>706</v>
      </c>
      <c r="B333">
        <v>1</v>
      </c>
      <c r="AH333" t="s">
        <v>51</v>
      </c>
      <c r="AI333">
        <v>1</v>
      </c>
    </row>
    <row r="334" spans="1:35" x14ac:dyDescent="0.3">
      <c r="A334" t="s">
        <v>29</v>
      </c>
      <c r="B334">
        <v>1</v>
      </c>
      <c r="AH334" t="s">
        <v>10</v>
      </c>
      <c r="AI334">
        <v>1</v>
      </c>
    </row>
    <row r="335" spans="1:35" x14ac:dyDescent="0.3">
      <c r="A335" t="s">
        <v>345</v>
      </c>
      <c r="B335">
        <v>1</v>
      </c>
      <c r="AH335" t="s">
        <v>10</v>
      </c>
      <c r="AI335">
        <v>1</v>
      </c>
    </row>
    <row r="336" spans="1:35" x14ac:dyDescent="0.3">
      <c r="A336" t="s">
        <v>11</v>
      </c>
      <c r="B336">
        <v>1</v>
      </c>
      <c r="AH336" t="s">
        <v>10</v>
      </c>
      <c r="AI336">
        <v>1</v>
      </c>
    </row>
    <row r="337" spans="1:35" x14ac:dyDescent="0.3">
      <c r="A337" t="s">
        <v>634</v>
      </c>
      <c r="B337">
        <v>1</v>
      </c>
      <c r="AH337" t="s">
        <v>436</v>
      </c>
      <c r="AI337">
        <v>1</v>
      </c>
    </row>
    <row r="338" spans="1:35" x14ac:dyDescent="0.3">
      <c r="A338" t="s">
        <v>243</v>
      </c>
      <c r="B338">
        <v>1</v>
      </c>
      <c r="AH338" t="s">
        <v>10</v>
      </c>
      <c r="AI338">
        <v>1</v>
      </c>
    </row>
    <row r="339" spans="1:35" x14ac:dyDescent="0.3">
      <c r="A339" t="s">
        <v>64</v>
      </c>
      <c r="B339">
        <v>1</v>
      </c>
      <c r="AH339" t="s">
        <v>10</v>
      </c>
      <c r="AI339">
        <v>1</v>
      </c>
    </row>
    <row r="340" spans="1:35" x14ac:dyDescent="0.3">
      <c r="A340" t="s">
        <v>29</v>
      </c>
      <c r="B340">
        <v>1</v>
      </c>
      <c r="AH340" t="s">
        <v>10</v>
      </c>
      <c r="AI340">
        <v>1</v>
      </c>
    </row>
    <row r="341" spans="1:35" x14ac:dyDescent="0.3">
      <c r="A341" t="s">
        <v>141</v>
      </c>
      <c r="B341">
        <v>1</v>
      </c>
      <c r="AH341" t="s">
        <v>10</v>
      </c>
      <c r="AI341">
        <v>1</v>
      </c>
    </row>
    <row r="342" spans="1:35" x14ac:dyDescent="0.3">
      <c r="A342" t="s">
        <v>715</v>
      </c>
      <c r="B342">
        <v>1</v>
      </c>
      <c r="AH342" t="s">
        <v>35</v>
      </c>
      <c r="AI342">
        <v>1</v>
      </c>
    </row>
    <row r="343" spans="1:35" x14ac:dyDescent="0.3">
      <c r="A343" t="s">
        <v>29</v>
      </c>
      <c r="B343">
        <v>1</v>
      </c>
      <c r="AH343" t="s">
        <v>417</v>
      </c>
      <c r="AI343">
        <v>1</v>
      </c>
    </row>
    <row r="344" spans="1:35" x14ac:dyDescent="0.3">
      <c r="A344" t="s">
        <v>64</v>
      </c>
      <c r="B344">
        <v>1</v>
      </c>
      <c r="AH344" t="s">
        <v>10</v>
      </c>
      <c r="AI344">
        <v>1</v>
      </c>
    </row>
    <row r="345" spans="1:35" x14ac:dyDescent="0.3">
      <c r="A345" t="s">
        <v>64</v>
      </c>
      <c r="B345">
        <v>1</v>
      </c>
      <c r="AH345" t="s">
        <v>35</v>
      </c>
      <c r="AI345">
        <v>1</v>
      </c>
    </row>
    <row r="346" spans="1:35" x14ac:dyDescent="0.3">
      <c r="A346" t="s">
        <v>29</v>
      </c>
      <c r="B346">
        <v>1</v>
      </c>
      <c r="AH346" t="s">
        <v>51</v>
      </c>
      <c r="AI346">
        <v>1</v>
      </c>
    </row>
    <row r="347" spans="1:35" x14ac:dyDescent="0.3">
      <c r="A347" t="s">
        <v>232</v>
      </c>
      <c r="B347">
        <v>1</v>
      </c>
      <c r="AH347" t="s">
        <v>10</v>
      </c>
      <c r="AI347">
        <v>1</v>
      </c>
    </row>
    <row r="348" spans="1:35" x14ac:dyDescent="0.3">
      <c r="A348" t="s">
        <v>634</v>
      </c>
      <c r="B348">
        <v>1</v>
      </c>
      <c r="AH348" t="s">
        <v>10</v>
      </c>
      <c r="AI348">
        <v>1</v>
      </c>
    </row>
    <row r="349" spans="1:35" x14ac:dyDescent="0.3">
      <c r="A349" t="s">
        <v>58</v>
      </c>
      <c r="B349">
        <v>1</v>
      </c>
      <c r="AH349" t="s">
        <v>35</v>
      </c>
      <c r="AI349">
        <v>1</v>
      </c>
    </row>
    <row r="350" spans="1:35" x14ac:dyDescent="0.3">
      <c r="A350" t="s">
        <v>98</v>
      </c>
      <c r="B350">
        <v>1</v>
      </c>
      <c r="AH350" t="s">
        <v>10</v>
      </c>
      <c r="AI350">
        <v>1</v>
      </c>
    </row>
    <row r="351" spans="1:35" x14ac:dyDescent="0.3">
      <c r="A351" t="s">
        <v>23</v>
      </c>
      <c r="B351">
        <v>1</v>
      </c>
      <c r="AH351" t="s">
        <v>124</v>
      </c>
      <c r="AI351">
        <v>1</v>
      </c>
    </row>
    <row r="352" spans="1:35" x14ac:dyDescent="0.3">
      <c r="A352" t="s">
        <v>726</v>
      </c>
      <c r="B352">
        <v>1</v>
      </c>
      <c r="AH352" t="s">
        <v>1079</v>
      </c>
      <c r="AI352">
        <v>1</v>
      </c>
    </row>
    <row r="353" spans="1:35" x14ac:dyDescent="0.3">
      <c r="A353" t="s">
        <v>64</v>
      </c>
      <c r="B353">
        <v>1</v>
      </c>
      <c r="AH353" t="s">
        <v>35</v>
      </c>
      <c r="AI353">
        <v>1</v>
      </c>
    </row>
    <row r="354" spans="1:35" x14ac:dyDescent="0.3">
      <c r="A354" t="s">
        <v>130</v>
      </c>
      <c r="B354">
        <v>1</v>
      </c>
      <c r="AH354" t="s">
        <v>10</v>
      </c>
      <c r="AI354">
        <v>1</v>
      </c>
    </row>
    <row r="355" spans="1:35" x14ac:dyDescent="0.3">
      <c r="A355" t="s">
        <v>151</v>
      </c>
      <c r="B355">
        <v>1</v>
      </c>
      <c r="AH355" t="s">
        <v>35</v>
      </c>
      <c r="AI355">
        <v>1</v>
      </c>
    </row>
    <row r="356" spans="1:35" x14ac:dyDescent="0.3">
      <c r="A356" t="s">
        <v>743</v>
      </c>
      <c r="B356">
        <v>1</v>
      </c>
      <c r="AH356" t="s">
        <v>10</v>
      </c>
      <c r="AI356">
        <v>1</v>
      </c>
    </row>
    <row r="357" spans="1:35" x14ac:dyDescent="0.3">
      <c r="A357" t="s">
        <v>243</v>
      </c>
      <c r="B357">
        <v>1</v>
      </c>
      <c r="AH357" t="s">
        <v>10</v>
      </c>
      <c r="AI357">
        <v>1</v>
      </c>
    </row>
    <row r="358" spans="1:35" x14ac:dyDescent="0.3">
      <c r="A358" t="s">
        <v>232</v>
      </c>
      <c r="B358">
        <v>1</v>
      </c>
      <c r="AH358" t="s">
        <v>10</v>
      </c>
      <c r="AI358">
        <v>1</v>
      </c>
    </row>
    <row r="359" spans="1:35" x14ac:dyDescent="0.3">
      <c r="A359" t="s">
        <v>151</v>
      </c>
      <c r="B359">
        <v>1</v>
      </c>
      <c r="AH359" t="s">
        <v>608</v>
      </c>
      <c r="AI359">
        <v>1</v>
      </c>
    </row>
    <row r="360" spans="1:35" x14ac:dyDescent="0.3">
      <c r="A360" t="s">
        <v>11</v>
      </c>
      <c r="B360">
        <v>1</v>
      </c>
      <c r="AH360" t="s">
        <v>1617</v>
      </c>
      <c r="AI360">
        <v>1</v>
      </c>
    </row>
    <row r="361" spans="1:35" x14ac:dyDescent="0.3">
      <c r="A361" t="s">
        <v>151</v>
      </c>
      <c r="B361">
        <v>1</v>
      </c>
      <c r="AH361" t="s">
        <v>1441</v>
      </c>
      <c r="AI361">
        <v>1</v>
      </c>
    </row>
    <row r="362" spans="1:35" x14ac:dyDescent="0.3">
      <c r="A362" t="s">
        <v>634</v>
      </c>
      <c r="B362">
        <v>1</v>
      </c>
      <c r="AH362" t="s">
        <v>696</v>
      </c>
      <c r="AI362">
        <v>1</v>
      </c>
    </row>
    <row r="363" spans="1:35" x14ac:dyDescent="0.3">
      <c r="A363" t="s">
        <v>52</v>
      </c>
      <c r="B363">
        <v>1</v>
      </c>
      <c r="AH363" t="s">
        <v>104</v>
      </c>
      <c r="AI363">
        <v>1</v>
      </c>
    </row>
    <row r="364" spans="1:35" x14ac:dyDescent="0.3">
      <c r="A364" t="s">
        <v>11</v>
      </c>
      <c r="B364">
        <v>1</v>
      </c>
      <c r="AH364" t="s">
        <v>1632</v>
      </c>
      <c r="AI364">
        <v>1</v>
      </c>
    </row>
    <row r="365" spans="1:35" x14ac:dyDescent="0.3">
      <c r="A365" t="s">
        <v>151</v>
      </c>
      <c r="B365">
        <v>1</v>
      </c>
      <c r="AH365" t="s">
        <v>124</v>
      </c>
      <c r="AI365">
        <v>1</v>
      </c>
    </row>
    <row r="366" spans="1:35" x14ac:dyDescent="0.3">
      <c r="A366" t="s">
        <v>11</v>
      </c>
      <c r="B366">
        <v>1</v>
      </c>
      <c r="AH366" t="s">
        <v>1463</v>
      </c>
      <c r="AI366">
        <v>1</v>
      </c>
    </row>
    <row r="367" spans="1:35" x14ac:dyDescent="0.3">
      <c r="A367" t="s">
        <v>174</v>
      </c>
      <c r="B367">
        <v>1</v>
      </c>
      <c r="AH367" t="s">
        <v>124</v>
      </c>
      <c r="AI367">
        <v>1</v>
      </c>
    </row>
    <row r="368" spans="1:35" x14ac:dyDescent="0.3">
      <c r="A368" t="s">
        <v>64</v>
      </c>
      <c r="B368">
        <v>1</v>
      </c>
      <c r="AH368" t="s">
        <v>35</v>
      </c>
      <c r="AI368">
        <v>1</v>
      </c>
    </row>
    <row r="369" spans="1:35" x14ac:dyDescent="0.3">
      <c r="A369" t="s">
        <v>726</v>
      </c>
      <c r="B369">
        <v>1</v>
      </c>
      <c r="AH369" t="s">
        <v>70</v>
      </c>
      <c r="AI369">
        <v>1</v>
      </c>
    </row>
    <row r="370" spans="1:35" x14ac:dyDescent="0.3">
      <c r="A370" t="s">
        <v>345</v>
      </c>
      <c r="B370">
        <v>1</v>
      </c>
      <c r="AH370" t="s">
        <v>51</v>
      </c>
      <c r="AI370">
        <v>1</v>
      </c>
    </row>
    <row r="371" spans="1:35" x14ac:dyDescent="0.3">
      <c r="A371" t="s">
        <v>17</v>
      </c>
      <c r="B371">
        <v>1</v>
      </c>
      <c r="AH371" t="s">
        <v>401</v>
      </c>
      <c r="AI371">
        <v>1</v>
      </c>
    </row>
    <row r="372" spans="1:35" x14ac:dyDescent="0.3">
      <c r="A372" t="s">
        <v>743</v>
      </c>
      <c r="B372">
        <v>1</v>
      </c>
      <c r="AH372" t="s">
        <v>10</v>
      </c>
      <c r="AI372">
        <v>1</v>
      </c>
    </row>
    <row r="373" spans="1:35" x14ac:dyDescent="0.3">
      <c r="A373" t="s">
        <v>58</v>
      </c>
      <c r="B373">
        <v>1</v>
      </c>
      <c r="AH373" t="s">
        <v>70</v>
      </c>
      <c r="AI373">
        <v>1</v>
      </c>
    </row>
    <row r="374" spans="1:35" x14ac:dyDescent="0.3">
      <c r="A374" t="s">
        <v>345</v>
      </c>
      <c r="B374">
        <v>1</v>
      </c>
      <c r="AH374" t="s">
        <v>10</v>
      </c>
      <c r="AI374">
        <v>1</v>
      </c>
    </row>
    <row r="375" spans="1:35" x14ac:dyDescent="0.3">
      <c r="A375" t="s">
        <v>151</v>
      </c>
      <c r="B375">
        <v>1</v>
      </c>
      <c r="AH375" t="s">
        <v>104</v>
      </c>
      <c r="AI375">
        <v>1</v>
      </c>
    </row>
    <row r="376" spans="1:35" x14ac:dyDescent="0.3">
      <c r="A376" t="s">
        <v>726</v>
      </c>
      <c r="B376">
        <v>1</v>
      </c>
      <c r="AH376" t="s">
        <v>1679</v>
      </c>
      <c r="AI376">
        <v>1</v>
      </c>
    </row>
    <row r="377" spans="1:35" x14ac:dyDescent="0.3">
      <c r="A377" t="s">
        <v>64</v>
      </c>
      <c r="B377">
        <v>1</v>
      </c>
      <c r="AH377" t="s">
        <v>10</v>
      </c>
      <c r="AI377">
        <v>1</v>
      </c>
    </row>
    <row r="378" spans="1:35" x14ac:dyDescent="0.3">
      <c r="A378" t="s">
        <v>11</v>
      </c>
      <c r="B378">
        <v>1</v>
      </c>
      <c r="AH378" t="s">
        <v>1617</v>
      </c>
      <c r="AI378">
        <v>1</v>
      </c>
    </row>
    <row r="379" spans="1:35" x14ac:dyDescent="0.3">
      <c r="A379" t="s">
        <v>174</v>
      </c>
      <c r="B379">
        <v>1</v>
      </c>
      <c r="AH379" t="s">
        <v>401</v>
      </c>
      <c r="AI379">
        <v>1</v>
      </c>
    </row>
    <row r="380" spans="1:35" x14ac:dyDescent="0.3">
      <c r="A380" t="s">
        <v>11</v>
      </c>
      <c r="B380">
        <v>1</v>
      </c>
      <c r="AH380" t="s">
        <v>216</v>
      </c>
      <c r="AI380">
        <v>1</v>
      </c>
    </row>
    <row r="381" spans="1:35" x14ac:dyDescent="0.3">
      <c r="A381" t="s">
        <v>464</v>
      </c>
      <c r="B381">
        <v>1</v>
      </c>
      <c r="AH381" t="s">
        <v>417</v>
      </c>
      <c r="AI381">
        <v>1</v>
      </c>
    </row>
    <row r="382" spans="1:35" x14ac:dyDescent="0.3">
      <c r="A382" t="s">
        <v>11</v>
      </c>
      <c r="B382">
        <v>1</v>
      </c>
      <c r="AH382" t="s">
        <v>458</v>
      </c>
      <c r="AI382">
        <v>1</v>
      </c>
    </row>
    <row r="383" spans="1:35" x14ac:dyDescent="0.3">
      <c r="A383" t="s">
        <v>23</v>
      </c>
      <c r="B383">
        <v>1</v>
      </c>
      <c r="AH383" t="s">
        <v>205</v>
      </c>
      <c r="AI383">
        <v>1</v>
      </c>
    </row>
    <row r="384" spans="1:35" x14ac:dyDescent="0.3">
      <c r="A384" t="s">
        <v>151</v>
      </c>
      <c r="B384">
        <v>1</v>
      </c>
      <c r="AH384" t="s">
        <v>737</v>
      </c>
      <c r="AI384">
        <v>1</v>
      </c>
    </row>
    <row r="385" spans="1:35" x14ac:dyDescent="0.3">
      <c r="A385" t="s">
        <v>634</v>
      </c>
      <c r="B385">
        <v>1</v>
      </c>
      <c r="AH385" t="s">
        <v>51</v>
      </c>
      <c r="AI385">
        <v>1</v>
      </c>
    </row>
    <row r="386" spans="1:35" x14ac:dyDescent="0.3">
      <c r="A386" t="s">
        <v>243</v>
      </c>
      <c r="B386">
        <v>1</v>
      </c>
      <c r="AH386" t="s">
        <v>104</v>
      </c>
      <c r="AI386">
        <v>1</v>
      </c>
    </row>
    <row r="387" spans="1:35" x14ac:dyDescent="0.3">
      <c r="A387" t="s">
        <v>243</v>
      </c>
      <c r="B387">
        <v>1</v>
      </c>
      <c r="AH387" t="s">
        <v>124</v>
      </c>
      <c r="AI387">
        <v>1</v>
      </c>
    </row>
    <row r="388" spans="1:35" x14ac:dyDescent="0.3">
      <c r="A388" t="s">
        <v>23</v>
      </c>
      <c r="B388">
        <v>1</v>
      </c>
      <c r="AH388" t="s">
        <v>10</v>
      </c>
      <c r="AI388">
        <v>1</v>
      </c>
    </row>
    <row r="389" spans="1:35" x14ac:dyDescent="0.3">
      <c r="A389" t="s">
        <v>706</v>
      </c>
      <c r="B389">
        <v>1</v>
      </c>
      <c r="AH389" t="s">
        <v>51</v>
      </c>
      <c r="AI389">
        <v>1</v>
      </c>
    </row>
    <row r="390" spans="1:35" x14ac:dyDescent="0.3">
      <c r="A390" t="s">
        <v>510</v>
      </c>
      <c r="B390">
        <v>1</v>
      </c>
      <c r="AH390" t="s">
        <v>51</v>
      </c>
      <c r="AI390">
        <v>1</v>
      </c>
    </row>
    <row r="391" spans="1:35" x14ac:dyDescent="0.3">
      <c r="A391" t="s">
        <v>11</v>
      </c>
      <c r="B391">
        <v>1</v>
      </c>
      <c r="AH391" t="s">
        <v>249</v>
      </c>
      <c r="AI391">
        <v>1</v>
      </c>
    </row>
    <row r="392" spans="1:35" x14ac:dyDescent="0.3">
      <c r="A392" t="s">
        <v>58</v>
      </c>
      <c r="B392">
        <v>1</v>
      </c>
      <c r="AH392" t="s">
        <v>51</v>
      </c>
      <c r="AI392">
        <v>1</v>
      </c>
    </row>
    <row r="393" spans="1:35" x14ac:dyDescent="0.3">
      <c r="A393" t="s">
        <v>634</v>
      </c>
      <c r="B393">
        <v>1</v>
      </c>
      <c r="AH393" t="s">
        <v>10</v>
      </c>
      <c r="AI393">
        <v>1</v>
      </c>
    </row>
    <row r="394" spans="1:35" x14ac:dyDescent="0.3">
      <c r="A394" t="s">
        <v>726</v>
      </c>
      <c r="B394">
        <v>1</v>
      </c>
      <c r="AH394" t="s">
        <v>10</v>
      </c>
      <c r="AI394">
        <v>1</v>
      </c>
    </row>
    <row r="395" spans="1:35" x14ac:dyDescent="0.3">
      <c r="A395" t="s">
        <v>634</v>
      </c>
      <c r="B395">
        <v>1</v>
      </c>
      <c r="AH395" t="s">
        <v>104</v>
      </c>
      <c r="AI395">
        <v>1</v>
      </c>
    </row>
    <row r="396" spans="1:35" x14ac:dyDescent="0.3">
      <c r="A396" t="s">
        <v>365</v>
      </c>
      <c r="B396">
        <v>1</v>
      </c>
      <c r="AH396" t="s">
        <v>76</v>
      </c>
      <c r="AI396">
        <v>1</v>
      </c>
    </row>
    <row r="397" spans="1:35" x14ac:dyDescent="0.3">
      <c r="A397" t="s">
        <v>11</v>
      </c>
      <c r="B397">
        <v>1</v>
      </c>
      <c r="AH397" t="s">
        <v>51</v>
      </c>
      <c r="AI397">
        <v>1</v>
      </c>
    </row>
    <row r="398" spans="1:35" x14ac:dyDescent="0.3">
      <c r="A398" t="s">
        <v>345</v>
      </c>
      <c r="B398">
        <v>1</v>
      </c>
      <c r="AH398" t="s">
        <v>124</v>
      </c>
      <c r="AI398">
        <v>1</v>
      </c>
    </row>
    <row r="399" spans="1:35" x14ac:dyDescent="0.3">
      <c r="A399" t="s">
        <v>11</v>
      </c>
      <c r="B399">
        <v>1</v>
      </c>
      <c r="AH399" t="s">
        <v>51</v>
      </c>
      <c r="AI399">
        <v>1</v>
      </c>
    </row>
    <row r="400" spans="1:35" x14ac:dyDescent="0.3">
      <c r="A400" t="s">
        <v>365</v>
      </c>
      <c r="B400">
        <v>1</v>
      </c>
      <c r="AH400" t="s">
        <v>51</v>
      </c>
      <c r="AI400">
        <v>1</v>
      </c>
    </row>
    <row r="401" spans="1:35" x14ac:dyDescent="0.3">
      <c r="A401" t="s">
        <v>250</v>
      </c>
      <c r="B401">
        <v>1</v>
      </c>
      <c r="AH401" t="s">
        <v>1441</v>
      </c>
      <c r="AI401">
        <v>1</v>
      </c>
    </row>
    <row r="402" spans="1:35" x14ac:dyDescent="0.3">
      <c r="A402" t="s">
        <v>11</v>
      </c>
      <c r="B402">
        <v>1</v>
      </c>
      <c r="AH402" t="s">
        <v>35</v>
      </c>
      <c r="AI402">
        <v>1</v>
      </c>
    </row>
    <row r="403" spans="1:35" x14ac:dyDescent="0.3">
      <c r="A403" t="s">
        <v>23</v>
      </c>
      <c r="B403">
        <v>1</v>
      </c>
      <c r="AH403" t="s">
        <v>35</v>
      </c>
      <c r="AI403">
        <v>1</v>
      </c>
    </row>
    <row r="404" spans="1:35" x14ac:dyDescent="0.3">
      <c r="A404" t="s">
        <v>11</v>
      </c>
      <c r="B404">
        <v>1</v>
      </c>
      <c r="AH404" t="s">
        <v>51</v>
      </c>
      <c r="AI404">
        <v>1</v>
      </c>
    </row>
    <row r="405" spans="1:35" x14ac:dyDescent="0.3">
      <c r="A405" t="s">
        <v>174</v>
      </c>
      <c r="B405">
        <v>1</v>
      </c>
      <c r="AH405" t="s">
        <v>10</v>
      </c>
      <c r="AI405">
        <v>1</v>
      </c>
    </row>
    <row r="406" spans="1:35" x14ac:dyDescent="0.3">
      <c r="A406" t="s">
        <v>23</v>
      </c>
      <c r="B406">
        <v>1</v>
      </c>
      <c r="AH406" t="s">
        <v>70</v>
      </c>
      <c r="AI406">
        <v>1</v>
      </c>
    </row>
    <row r="407" spans="1:35" x14ac:dyDescent="0.3">
      <c r="A407" t="s">
        <v>130</v>
      </c>
      <c r="B407">
        <v>1</v>
      </c>
      <c r="AH407" t="s">
        <v>35</v>
      </c>
      <c r="AI407">
        <v>1</v>
      </c>
    </row>
    <row r="408" spans="1:35" x14ac:dyDescent="0.3">
      <c r="A408" t="s">
        <v>130</v>
      </c>
      <c r="B408">
        <v>1</v>
      </c>
      <c r="AH408" t="s">
        <v>10</v>
      </c>
      <c r="AI408">
        <v>1</v>
      </c>
    </row>
    <row r="409" spans="1:35" x14ac:dyDescent="0.3">
      <c r="A409" t="s">
        <v>11</v>
      </c>
      <c r="B409">
        <v>1</v>
      </c>
      <c r="AH409" t="s">
        <v>10</v>
      </c>
      <c r="AI409">
        <v>1</v>
      </c>
    </row>
    <row r="410" spans="1:35" x14ac:dyDescent="0.3">
      <c r="A410" t="s">
        <v>151</v>
      </c>
      <c r="B410">
        <v>1</v>
      </c>
      <c r="AH410" t="s">
        <v>216</v>
      </c>
      <c r="AI410">
        <v>1</v>
      </c>
    </row>
    <row r="411" spans="1:35" x14ac:dyDescent="0.3">
      <c r="A411" t="s">
        <v>634</v>
      </c>
      <c r="B411">
        <v>1</v>
      </c>
      <c r="AH411" t="s">
        <v>436</v>
      </c>
      <c r="AI411">
        <v>1</v>
      </c>
    </row>
    <row r="412" spans="1:35" x14ac:dyDescent="0.3">
      <c r="A412" t="s">
        <v>130</v>
      </c>
      <c r="B412">
        <v>1</v>
      </c>
      <c r="AH412" t="s">
        <v>35</v>
      </c>
      <c r="AI412">
        <v>1</v>
      </c>
    </row>
    <row r="413" spans="1:35" x14ac:dyDescent="0.3">
      <c r="A413" t="s">
        <v>151</v>
      </c>
      <c r="B413">
        <v>1</v>
      </c>
      <c r="AH413" t="s">
        <v>205</v>
      </c>
      <c r="AI413">
        <v>1</v>
      </c>
    </row>
    <row r="414" spans="1:35" x14ac:dyDescent="0.3">
      <c r="A414" t="s">
        <v>64</v>
      </c>
      <c r="B414">
        <v>1</v>
      </c>
      <c r="AH414" t="s">
        <v>10</v>
      </c>
      <c r="AI414">
        <v>1</v>
      </c>
    </row>
    <row r="415" spans="1:35" x14ac:dyDescent="0.3">
      <c r="A415" t="s">
        <v>510</v>
      </c>
      <c r="B415">
        <v>1</v>
      </c>
      <c r="AH415" t="s">
        <v>124</v>
      </c>
      <c r="AI415">
        <v>1</v>
      </c>
    </row>
    <row r="416" spans="1:35" x14ac:dyDescent="0.3">
      <c r="A416" t="s">
        <v>52</v>
      </c>
      <c r="B416">
        <v>1</v>
      </c>
      <c r="AH416" t="s">
        <v>51</v>
      </c>
      <c r="AI416">
        <v>1</v>
      </c>
    </row>
    <row r="417" spans="1:35" x14ac:dyDescent="0.3">
      <c r="A417" t="s">
        <v>11</v>
      </c>
      <c r="B417">
        <v>1</v>
      </c>
      <c r="AH417" t="s">
        <v>10</v>
      </c>
      <c r="AI417">
        <v>1</v>
      </c>
    </row>
    <row r="418" spans="1:35" x14ac:dyDescent="0.3">
      <c r="A418" t="s">
        <v>29</v>
      </c>
      <c r="B418">
        <v>1</v>
      </c>
      <c r="AH418" t="s">
        <v>1617</v>
      </c>
      <c r="AI418">
        <v>1</v>
      </c>
    </row>
    <row r="419" spans="1:35" x14ac:dyDescent="0.3">
      <c r="A419" t="s">
        <v>130</v>
      </c>
      <c r="B419">
        <v>1</v>
      </c>
      <c r="AH419" t="s">
        <v>521</v>
      </c>
      <c r="AI419">
        <v>1</v>
      </c>
    </row>
    <row r="420" spans="1:35" x14ac:dyDescent="0.3">
      <c r="A420" t="s">
        <v>29</v>
      </c>
      <c r="B420">
        <v>1</v>
      </c>
      <c r="AH420" t="s">
        <v>10</v>
      </c>
      <c r="AI420">
        <v>1</v>
      </c>
    </row>
    <row r="421" spans="1:35" x14ac:dyDescent="0.3">
      <c r="A421" t="s">
        <v>11</v>
      </c>
      <c r="B421">
        <v>1</v>
      </c>
      <c r="AH421" t="s">
        <v>10</v>
      </c>
      <c r="AI421">
        <v>1</v>
      </c>
    </row>
    <row r="422" spans="1:35" x14ac:dyDescent="0.3">
      <c r="A422" t="s">
        <v>345</v>
      </c>
      <c r="B422">
        <v>1</v>
      </c>
      <c r="AH422" t="s">
        <v>10</v>
      </c>
      <c r="AI422">
        <v>1</v>
      </c>
    </row>
    <row r="423" spans="1:35" x14ac:dyDescent="0.3">
      <c r="A423" t="s">
        <v>151</v>
      </c>
      <c r="B423">
        <v>1</v>
      </c>
      <c r="AH423" t="s">
        <v>681</v>
      </c>
      <c r="AI423">
        <v>1</v>
      </c>
    </row>
    <row r="424" spans="1:35" x14ac:dyDescent="0.3">
      <c r="A424" t="s">
        <v>792</v>
      </c>
      <c r="B424">
        <v>1</v>
      </c>
      <c r="AH424" t="s">
        <v>51</v>
      </c>
      <c r="AI424">
        <v>1</v>
      </c>
    </row>
    <row r="425" spans="1:35" x14ac:dyDescent="0.3">
      <c r="A425" t="s">
        <v>365</v>
      </c>
      <c r="B425">
        <v>1</v>
      </c>
      <c r="AH425" t="s">
        <v>10</v>
      </c>
      <c r="AI425">
        <v>1</v>
      </c>
    </row>
    <row r="426" spans="1:35" x14ac:dyDescent="0.3">
      <c r="A426" t="s">
        <v>250</v>
      </c>
      <c r="B426">
        <v>1</v>
      </c>
      <c r="AH426" t="s">
        <v>70</v>
      </c>
      <c r="AI426">
        <v>1</v>
      </c>
    </row>
    <row r="427" spans="1:35" x14ac:dyDescent="0.3">
      <c r="A427" t="s">
        <v>345</v>
      </c>
      <c r="B427">
        <v>1</v>
      </c>
      <c r="AH427" t="s">
        <v>10</v>
      </c>
      <c r="AI427">
        <v>1</v>
      </c>
    </row>
    <row r="428" spans="1:35" x14ac:dyDescent="0.3">
      <c r="A428" t="s">
        <v>345</v>
      </c>
      <c r="B428">
        <v>1</v>
      </c>
      <c r="AH428" t="s">
        <v>104</v>
      </c>
      <c r="AI428">
        <v>1</v>
      </c>
    </row>
    <row r="429" spans="1:35" x14ac:dyDescent="0.3">
      <c r="A429" t="s">
        <v>345</v>
      </c>
      <c r="B429">
        <v>1</v>
      </c>
      <c r="AH429" t="s">
        <v>10</v>
      </c>
      <c r="AI429">
        <v>1</v>
      </c>
    </row>
    <row r="430" spans="1:35" x14ac:dyDescent="0.3">
      <c r="A430" t="s">
        <v>58</v>
      </c>
      <c r="B430">
        <v>1</v>
      </c>
      <c r="AH430" t="s">
        <v>297</v>
      </c>
      <c r="AI430">
        <v>1</v>
      </c>
    </row>
    <row r="431" spans="1:35" x14ac:dyDescent="0.3">
      <c r="A431" t="s">
        <v>29</v>
      </c>
      <c r="B431">
        <v>1</v>
      </c>
      <c r="AH431" t="s">
        <v>10</v>
      </c>
      <c r="AI431">
        <v>1</v>
      </c>
    </row>
    <row r="432" spans="1:35" x14ac:dyDescent="0.3">
      <c r="A432" t="s">
        <v>11</v>
      </c>
      <c r="B432">
        <v>1</v>
      </c>
      <c r="AH432" t="s">
        <v>124</v>
      </c>
      <c r="AI432">
        <v>1</v>
      </c>
    </row>
    <row r="433" spans="1:35" x14ac:dyDescent="0.3">
      <c r="A433" t="s">
        <v>52</v>
      </c>
      <c r="B433">
        <v>1</v>
      </c>
      <c r="AH433" t="s">
        <v>417</v>
      </c>
      <c r="AI433">
        <v>1</v>
      </c>
    </row>
    <row r="434" spans="1:35" x14ac:dyDescent="0.3">
      <c r="A434" t="s">
        <v>98</v>
      </c>
      <c r="B434">
        <v>1</v>
      </c>
      <c r="AH434" t="s">
        <v>10</v>
      </c>
      <c r="AI434">
        <v>1</v>
      </c>
    </row>
    <row r="435" spans="1:35" x14ac:dyDescent="0.3">
      <c r="A435" t="s">
        <v>52</v>
      </c>
      <c r="B435">
        <v>1</v>
      </c>
      <c r="AH435" t="s">
        <v>696</v>
      </c>
      <c r="AI435">
        <v>1</v>
      </c>
    </row>
    <row r="436" spans="1:35" x14ac:dyDescent="0.3">
      <c r="A436" t="s">
        <v>232</v>
      </c>
      <c r="B436">
        <v>1</v>
      </c>
      <c r="AH436" t="s">
        <v>104</v>
      </c>
      <c r="AI436">
        <v>1</v>
      </c>
    </row>
    <row r="437" spans="1:35" x14ac:dyDescent="0.3">
      <c r="A437" t="s">
        <v>58</v>
      </c>
      <c r="B437">
        <v>1</v>
      </c>
      <c r="AH437" t="s">
        <v>10</v>
      </c>
      <c r="AI437">
        <v>1</v>
      </c>
    </row>
    <row r="438" spans="1:35" x14ac:dyDescent="0.3">
      <c r="A438" t="s">
        <v>345</v>
      </c>
      <c r="B438">
        <v>1</v>
      </c>
      <c r="AH438" t="s">
        <v>10</v>
      </c>
      <c r="AI438">
        <v>1</v>
      </c>
    </row>
    <row r="439" spans="1:35" x14ac:dyDescent="0.3">
      <c r="A439" t="s">
        <v>23</v>
      </c>
      <c r="B439">
        <v>1</v>
      </c>
      <c r="AH439" t="s">
        <v>70</v>
      </c>
      <c r="AI439">
        <v>1</v>
      </c>
    </row>
    <row r="440" spans="1:35" x14ac:dyDescent="0.3">
      <c r="A440" t="s">
        <v>11</v>
      </c>
      <c r="B440">
        <v>1</v>
      </c>
      <c r="AH440" t="s">
        <v>1463</v>
      </c>
      <c r="AI440">
        <v>1</v>
      </c>
    </row>
    <row r="441" spans="1:35" x14ac:dyDescent="0.3">
      <c r="A441" t="s">
        <v>345</v>
      </c>
      <c r="B441">
        <v>1</v>
      </c>
      <c r="AH441" t="s">
        <v>51</v>
      </c>
      <c r="AI441">
        <v>1</v>
      </c>
    </row>
    <row r="442" spans="1:35" x14ac:dyDescent="0.3">
      <c r="A442" t="s">
        <v>29</v>
      </c>
      <c r="B442">
        <v>1</v>
      </c>
      <c r="AH442" t="s">
        <v>10</v>
      </c>
      <c r="AI442">
        <v>1</v>
      </c>
    </row>
    <row r="443" spans="1:35" x14ac:dyDescent="0.3">
      <c r="A443" t="s">
        <v>151</v>
      </c>
      <c r="B443">
        <v>1</v>
      </c>
      <c r="AH443" t="s">
        <v>1925</v>
      </c>
      <c r="AI443">
        <v>1</v>
      </c>
    </row>
    <row r="444" spans="1:35" x14ac:dyDescent="0.3">
      <c r="A444" t="s">
        <v>243</v>
      </c>
      <c r="B444">
        <v>1</v>
      </c>
      <c r="AH444" t="s">
        <v>10</v>
      </c>
      <c r="AI444">
        <v>1</v>
      </c>
    </row>
    <row r="445" spans="1:35" x14ac:dyDescent="0.3">
      <c r="A445" t="s">
        <v>11</v>
      </c>
      <c r="B445">
        <v>1</v>
      </c>
      <c r="AH445" t="s">
        <v>51</v>
      </c>
      <c r="AI445">
        <v>1</v>
      </c>
    </row>
    <row r="446" spans="1:35" x14ac:dyDescent="0.3">
      <c r="A446" t="s">
        <v>11</v>
      </c>
      <c r="B446">
        <v>1</v>
      </c>
      <c r="AH446" t="s">
        <v>10</v>
      </c>
      <c r="AI446">
        <v>1</v>
      </c>
    </row>
    <row r="447" spans="1:35" x14ac:dyDescent="0.3">
      <c r="A447" t="s">
        <v>11</v>
      </c>
      <c r="B447">
        <v>1</v>
      </c>
      <c r="AH447" t="s">
        <v>35</v>
      </c>
      <c r="AI447">
        <v>1</v>
      </c>
    </row>
    <row r="448" spans="1:35" x14ac:dyDescent="0.3">
      <c r="A448" t="s">
        <v>792</v>
      </c>
      <c r="B448">
        <v>1</v>
      </c>
      <c r="AH448" t="s">
        <v>35</v>
      </c>
      <c r="AI448">
        <v>1</v>
      </c>
    </row>
    <row r="449" spans="1:35" x14ac:dyDescent="0.3">
      <c r="A449" t="s">
        <v>52</v>
      </c>
      <c r="B449">
        <v>1</v>
      </c>
      <c r="AH449" t="s">
        <v>10</v>
      </c>
      <c r="AI449">
        <v>1</v>
      </c>
    </row>
    <row r="450" spans="1:35" x14ac:dyDescent="0.3">
      <c r="A450" t="s">
        <v>345</v>
      </c>
      <c r="B450">
        <v>1</v>
      </c>
      <c r="AH450" t="s">
        <v>1925</v>
      </c>
      <c r="AI450">
        <v>1</v>
      </c>
    </row>
    <row r="451" spans="1:35" x14ac:dyDescent="0.3">
      <c r="A451" t="s">
        <v>58</v>
      </c>
      <c r="B451">
        <v>1</v>
      </c>
      <c r="AH451" t="s">
        <v>51</v>
      </c>
      <c r="AI451">
        <v>1</v>
      </c>
    </row>
    <row r="452" spans="1:35" x14ac:dyDescent="0.3">
      <c r="A452" t="s">
        <v>58</v>
      </c>
      <c r="B452">
        <v>1</v>
      </c>
      <c r="AH452" t="s">
        <v>1079</v>
      </c>
      <c r="AI452">
        <v>1</v>
      </c>
    </row>
    <row r="453" spans="1:35" x14ac:dyDescent="0.3">
      <c r="A453" t="s">
        <v>52</v>
      </c>
      <c r="B453">
        <v>1</v>
      </c>
      <c r="AH453" t="s">
        <v>51</v>
      </c>
      <c r="AI453">
        <v>1</v>
      </c>
    </row>
    <row r="454" spans="1:35" x14ac:dyDescent="0.3">
      <c r="A454" t="s">
        <v>58</v>
      </c>
      <c r="B454">
        <v>1</v>
      </c>
      <c r="AH454" t="s">
        <v>10</v>
      </c>
      <c r="AI454">
        <v>1</v>
      </c>
    </row>
    <row r="455" spans="1:35" x14ac:dyDescent="0.3">
      <c r="A455" t="s">
        <v>11</v>
      </c>
      <c r="B455">
        <v>1</v>
      </c>
      <c r="AH455" t="s">
        <v>657</v>
      </c>
      <c r="AI455">
        <v>1</v>
      </c>
    </row>
    <row r="456" spans="1:35" x14ac:dyDescent="0.3">
      <c r="A456" t="s">
        <v>29</v>
      </c>
      <c r="B456">
        <v>1</v>
      </c>
      <c r="AH456" t="s">
        <v>35</v>
      </c>
      <c r="AI456">
        <v>1</v>
      </c>
    </row>
    <row r="457" spans="1:35" x14ac:dyDescent="0.3">
      <c r="A457" t="s">
        <v>64</v>
      </c>
      <c r="B457">
        <v>1</v>
      </c>
      <c r="AH457" t="s">
        <v>10</v>
      </c>
      <c r="AI457">
        <v>1</v>
      </c>
    </row>
    <row r="458" spans="1:35" x14ac:dyDescent="0.3">
      <c r="A458" t="s">
        <v>130</v>
      </c>
      <c r="B458">
        <v>1</v>
      </c>
      <c r="AH458" t="s">
        <v>10</v>
      </c>
      <c r="AI458">
        <v>1</v>
      </c>
    </row>
    <row r="459" spans="1:35" x14ac:dyDescent="0.3">
      <c r="A459" t="s">
        <v>130</v>
      </c>
      <c r="B459">
        <v>1</v>
      </c>
      <c r="AH459" t="s">
        <v>35</v>
      </c>
      <c r="AI459">
        <v>1</v>
      </c>
    </row>
    <row r="460" spans="1:35" x14ac:dyDescent="0.3">
      <c r="A460" t="s">
        <v>715</v>
      </c>
      <c r="B460">
        <v>1</v>
      </c>
      <c r="AH460" t="s">
        <v>104</v>
      </c>
      <c r="AI460">
        <v>1</v>
      </c>
    </row>
    <row r="461" spans="1:35" x14ac:dyDescent="0.3">
      <c r="A461" t="s">
        <v>17</v>
      </c>
      <c r="B461">
        <v>1</v>
      </c>
      <c r="AH461" t="s">
        <v>76</v>
      </c>
      <c r="AI461">
        <v>1</v>
      </c>
    </row>
    <row r="462" spans="1:35" x14ac:dyDescent="0.3">
      <c r="A462" t="s">
        <v>29</v>
      </c>
      <c r="B462">
        <v>1</v>
      </c>
      <c r="AH462" t="s">
        <v>1992</v>
      </c>
      <c r="AI462">
        <v>1</v>
      </c>
    </row>
    <row r="463" spans="1:35" x14ac:dyDescent="0.3">
      <c r="A463" t="s">
        <v>687</v>
      </c>
      <c r="B463">
        <v>1</v>
      </c>
      <c r="AH463" t="s">
        <v>70</v>
      </c>
      <c r="AI463">
        <v>1</v>
      </c>
    </row>
    <row r="464" spans="1:35" x14ac:dyDescent="0.3">
      <c r="A464" t="s">
        <v>345</v>
      </c>
      <c r="B464">
        <v>1</v>
      </c>
      <c r="AH464" t="s">
        <v>216</v>
      </c>
      <c r="AI464">
        <v>1</v>
      </c>
    </row>
    <row r="465" spans="1:35" x14ac:dyDescent="0.3">
      <c r="A465" t="s">
        <v>232</v>
      </c>
      <c r="B465">
        <v>1</v>
      </c>
      <c r="AH465" t="s">
        <v>51</v>
      </c>
      <c r="AI465">
        <v>1</v>
      </c>
    </row>
    <row r="466" spans="1:35" x14ac:dyDescent="0.3">
      <c r="A466" t="s">
        <v>29</v>
      </c>
      <c r="B466">
        <v>1</v>
      </c>
      <c r="AH466" t="s">
        <v>10</v>
      </c>
      <c r="AI466">
        <v>1</v>
      </c>
    </row>
    <row r="467" spans="1:35" x14ac:dyDescent="0.3">
      <c r="A467" t="s">
        <v>23</v>
      </c>
      <c r="B467">
        <v>1</v>
      </c>
      <c r="AH467" t="s">
        <v>10</v>
      </c>
      <c r="AI467">
        <v>1</v>
      </c>
    </row>
    <row r="468" spans="1:35" x14ac:dyDescent="0.3">
      <c r="A468" t="s">
        <v>715</v>
      </c>
      <c r="B468">
        <v>1</v>
      </c>
      <c r="AH468" t="s">
        <v>10</v>
      </c>
      <c r="AI468">
        <v>1</v>
      </c>
    </row>
    <row r="469" spans="1:35" x14ac:dyDescent="0.3">
      <c r="A469" t="s">
        <v>345</v>
      </c>
      <c r="B469">
        <v>1</v>
      </c>
      <c r="AH469" t="s">
        <v>417</v>
      </c>
      <c r="AI469">
        <v>1</v>
      </c>
    </row>
    <row r="470" spans="1:35" x14ac:dyDescent="0.3">
      <c r="A470" t="s">
        <v>64</v>
      </c>
      <c r="B470">
        <v>1</v>
      </c>
      <c r="AH470" t="s">
        <v>10</v>
      </c>
      <c r="AI470">
        <v>1</v>
      </c>
    </row>
    <row r="471" spans="1:35" x14ac:dyDescent="0.3">
      <c r="A471" t="s">
        <v>23</v>
      </c>
      <c r="B471">
        <v>1</v>
      </c>
      <c r="AH471" t="s">
        <v>35</v>
      </c>
      <c r="AI471">
        <v>1</v>
      </c>
    </row>
    <row r="472" spans="1:35" x14ac:dyDescent="0.3">
      <c r="A472" t="s">
        <v>23</v>
      </c>
      <c r="B472">
        <v>1</v>
      </c>
      <c r="AH472" t="s">
        <v>10</v>
      </c>
      <c r="AI472">
        <v>1</v>
      </c>
    </row>
    <row r="473" spans="1:35" x14ac:dyDescent="0.3">
      <c r="A473" t="s">
        <v>130</v>
      </c>
      <c r="B473">
        <v>1</v>
      </c>
      <c r="AH473" t="s">
        <v>10</v>
      </c>
      <c r="AI473">
        <v>1</v>
      </c>
    </row>
    <row r="474" spans="1:35" x14ac:dyDescent="0.3">
      <c r="A474" t="s">
        <v>130</v>
      </c>
      <c r="B474">
        <v>1</v>
      </c>
      <c r="AH474" t="s">
        <v>216</v>
      </c>
      <c r="AI474">
        <v>1</v>
      </c>
    </row>
    <row r="475" spans="1:35" x14ac:dyDescent="0.3">
      <c r="A475" t="s">
        <v>510</v>
      </c>
      <c r="B475">
        <v>1</v>
      </c>
      <c r="AH475" t="s">
        <v>10</v>
      </c>
      <c r="AI475">
        <v>1</v>
      </c>
    </row>
    <row r="476" spans="1:35" x14ac:dyDescent="0.3">
      <c r="A476" t="s">
        <v>11</v>
      </c>
      <c r="B476">
        <v>1</v>
      </c>
      <c r="AH476" t="s">
        <v>249</v>
      </c>
      <c r="AI476">
        <v>1</v>
      </c>
    </row>
    <row r="477" spans="1:35" x14ac:dyDescent="0.3">
      <c r="A477" t="s">
        <v>11</v>
      </c>
      <c r="B477">
        <v>1</v>
      </c>
      <c r="AH477" t="s">
        <v>10</v>
      </c>
      <c r="AI477">
        <v>1</v>
      </c>
    </row>
    <row r="478" spans="1:35" x14ac:dyDescent="0.3">
      <c r="A478" t="s">
        <v>58</v>
      </c>
      <c r="B478">
        <v>1</v>
      </c>
      <c r="AH478" t="s">
        <v>10</v>
      </c>
      <c r="AI478">
        <v>1</v>
      </c>
    </row>
    <row r="479" spans="1:35" x14ac:dyDescent="0.3">
      <c r="A479" t="s">
        <v>29</v>
      </c>
      <c r="B479">
        <v>1</v>
      </c>
      <c r="AH479" t="s">
        <v>458</v>
      </c>
      <c r="AI479">
        <v>1</v>
      </c>
    </row>
    <row r="480" spans="1:35" x14ac:dyDescent="0.3">
      <c r="A480" t="s">
        <v>64</v>
      </c>
      <c r="B480">
        <v>1</v>
      </c>
      <c r="AH480" t="s">
        <v>10</v>
      </c>
      <c r="AI480">
        <v>1</v>
      </c>
    </row>
    <row r="481" spans="1:35" x14ac:dyDescent="0.3">
      <c r="A481" t="s">
        <v>510</v>
      </c>
      <c r="B481">
        <v>1</v>
      </c>
      <c r="AH481" t="s">
        <v>521</v>
      </c>
      <c r="AI481">
        <v>1</v>
      </c>
    </row>
    <row r="482" spans="1:35" x14ac:dyDescent="0.3">
      <c r="A482" t="s">
        <v>58</v>
      </c>
      <c r="B482">
        <v>1</v>
      </c>
      <c r="AH482" t="s">
        <v>51</v>
      </c>
      <c r="AI482">
        <v>1</v>
      </c>
    </row>
    <row r="483" spans="1:35" x14ac:dyDescent="0.3">
      <c r="A483" t="s">
        <v>560</v>
      </c>
      <c r="B483">
        <v>1</v>
      </c>
      <c r="AH483" t="s">
        <v>76</v>
      </c>
      <c r="AI483">
        <v>1</v>
      </c>
    </row>
    <row r="484" spans="1:35" x14ac:dyDescent="0.3">
      <c r="A484" t="s">
        <v>11</v>
      </c>
      <c r="B484">
        <v>1</v>
      </c>
      <c r="AH484" t="s">
        <v>1925</v>
      </c>
      <c r="AI484">
        <v>1</v>
      </c>
    </row>
    <row r="485" spans="1:35" x14ac:dyDescent="0.3">
      <c r="A485" t="s">
        <v>130</v>
      </c>
      <c r="B485">
        <v>1</v>
      </c>
      <c r="AH485" t="s">
        <v>51</v>
      </c>
      <c r="AI485">
        <v>1</v>
      </c>
    </row>
    <row r="486" spans="1:35" x14ac:dyDescent="0.3">
      <c r="A486" t="s">
        <v>365</v>
      </c>
      <c r="B486">
        <v>1</v>
      </c>
      <c r="AH486" t="s">
        <v>1463</v>
      </c>
      <c r="AI486">
        <v>1</v>
      </c>
    </row>
    <row r="487" spans="1:35" x14ac:dyDescent="0.3">
      <c r="A487" t="s">
        <v>17</v>
      </c>
      <c r="B487">
        <v>1</v>
      </c>
      <c r="AH487" t="s">
        <v>10</v>
      </c>
      <c r="AI487">
        <v>1</v>
      </c>
    </row>
    <row r="488" spans="1:35" x14ac:dyDescent="0.3">
      <c r="A488" t="s">
        <v>792</v>
      </c>
      <c r="B488">
        <v>1</v>
      </c>
      <c r="AH488" t="s">
        <v>51</v>
      </c>
      <c r="AI488">
        <v>1</v>
      </c>
    </row>
    <row r="489" spans="1:35" x14ac:dyDescent="0.3">
      <c r="A489" t="s">
        <v>345</v>
      </c>
      <c r="B489">
        <v>1</v>
      </c>
      <c r="AH489" t="s">
        <v>10</v>
      </c>
      <c r="AI489">
        <v>1</v>
      </c>
    </row>
    <row r="490" spans="1:35" x14ac:dyDescent="0.3">
      <c r="A490" t="s">
        <v>345</v>
      </c>
      <c r="B490">
        <v>1</v>
      </c>
      <c r="AH490" t="s">
        <v>657</v>
      </c>
      <c r="AI490">
        <v>1</v>
      </c>
    </row>
    <row r="491" spans="1:35" x14ac:dyDescent="0.3">
      <c r="A491" t="s">
        <v>58</v>
      </c>
      <c r="B491">
        <v>1</v>
      </c>
      <c r="AH491" t="s">
        <v>51</v>
      </c>
      <c r="AI491">
        <v>1</v>
      </c>
    </row>
    <row r="492" spans="1:35" x14ac:dyDescent="0.3">
      <c r="A492" t="s">
        <v>58</v>
      </c>
      <c r="B492">
        <v>1</v>
      </c>
      <c r="AH492" t="s">
        <v>51</v>
      </c>
      <c r="AI492">
        <v>1</v>
      </c>
    </row>
    <row r="493" spans="1:35" x14ac:dyDescent="0.3">
      <c r="A493" t="s">
        <v>52</v>
      </c>
      <c r="B493">
        <v>1</v>
      </c>
      <c r="AH493" t="s">
        <v>51</v>
      </c>
      <c r="AI493">
        <v>1</v>
      </c>
    </row>
    <row r="494" spans="1:35" x14ac:dyDescent="0.3">
      <c r="A494" t="s">
        <v>23</v>
      </c>
      <c r="B494">
        <v>1</v>
      </c>
      <c r="AH494" t="s">
        <v>10</v>
      </c>
      <c r="AI494">
        <v>1</v>
      </c>
    </row>
    <row r="495" spans="1:35" x14ac:dyDescent="0.3">
      <c r="A495" t="s">
        <v>11</v>
      </c>
      <c r="B495">
        <v>1</v>
      </c>
      <c r="AH495" t="s">
        <v>35</v>
      </c>
      <c r="AI495">
        <v>1</v>
      </c>
    </row>
    <row r="496" spans="1:35" x14ac:dyDescent="0.3">
      <c r="A496" t="s">
        <v>345</v>
      </c>
      <c r="B496">
        <v>1</v>
      </c>
      <c r="AH496" t="s">
        <v>35</v>
      </c>
      <c r="AI496">
        <v>1</v>
      </c>
    </row>
    <row r="497" spans="1:35" x14ac:dyDescent="0.3">
      <c r="A497" t="s">
        <v>23</v>
      </c>
      <c r="B497">
        <v>1</v>
      </c>
      <c r="AH497" t="s">
        <v>10</v>
      </c>
      <c r="AI497">
        <v>1</v>
      </c>
    </row>
    <row r="498" spans="1:35" x14ac:dyDescent="0.3">
      <c r="A498" t="s">
        <v>634</v>
      </c>
      <c r="B498">
        <v>1</v>
      </c>
      <c r="AH498" t="s">
        <v>657</v>
      </c>
      <c r="AI498">
        <v>1</v>
      </c>
    </row>
    <row r="499" spans="1:35" x14ac:dyDescent="0.3">
      <c r="A499" t="s">
        <v>29</v>
      </c>
      <c r="B499">
        <v>1</v>
      </c>
      <c r="AH499" t="s">
        <v>417</v>
      </c>
      <c r="AI499">
        <v>1</v>
      </c>
    </row>
    <row r="500" spans="1:35" x14ac:dyDescent="0.3">
      <c r="A500" t="s">
        <v>58</v>
      </c>
      <c r="B500">
        <v>1</v>
      </c>
      <c r="AH500" t="s">
        <v>51</v>
      </c>
      <c r="AI500">
        <v>1</v>
      </c>
    </row>
    <row r="501" spans="1:35" x14ac:dyDescent="0.3">
      <c r="A501" t="s">
        <v>11</v>
      </c>
      <c r="B501">
        <v>1</v>
      </c>
      <c r="AH501" t="s">
        <v>124</v>
      </c>
      <c r="AI501">
        <v>1</v>
      </c>
    </row>
    <row r="502" spans="1:35" x14ac:dyDescent="0.3">
      <c r="A502" t="s">
        <v>510</v>
      </c>
      <c r="B502">
        <v>1</v>
      </c>
      <c r="AH502" t="s">
        <v>10</v>
      </c>
      <c r="AI502">
        <v>1</v>
      </c>
    </row>
    <row r="503" spans="1:35" x14ac:dyDescent="0.3">
      <c r="A503" t="s">
        <v>365</v>
      </c>
      <c r="B503">
        <v>1</v>
      </c>
      <c r="AH503" t="s">
        <v>10</v>
      </c>
      <c r="AI503">
        <v>1</v>
      </c>
    </row>
    <row r="504" spans="1:35" x14ac:dyDescent="0.3">
      <c r="A504" t="s">
        <v>11</v>
      </c>
      <c r="B504">
        <v>1</v>
      </c>
      <c r="AH504" t="s">
        <v>10</v>
      </c>
      <c r="AI504">
        <v>1</v>
      </c>
    </row>
    <row r="505" spans="1:35" x14ac:dyDescent="0.3">
      <c r="A505" t="s">
        <v>58</v>
      </c>
      <c r="B505">
        <v>1</v>
      </c>
      <c r="AH505" t="s">
        <v>51</v>
      </c>
      <c r="AI505">
        <v>1</v>
      </c>
    </row>
    <row r="506" spans="1:35" x14ac:dyDescent="0.3">
      <c r="A506" t="s">
        <v>11</v>
      </c>
      <c r="B506">
        <v>1</v>
      </c>
      <c r="AH506" t="s">
        <v>205</v>
      </c>
      <c r="AI506">
        <v>1</v>
      </c>
    </row>
    <row r="507" spans="1:35" x14ac:dyDescent="0.3">
      <c r="A507" t="s">
        <v>510</v>
      </c>
      <c r="B507">
        <v>1</v>
      </c>
      <c r="AH507" t="s">
        <v>10</v>
      </c>
      <c r="AI507">
        <v>1</v>
      </c>
    </row>
    <row r="508" spans="1:35" x14ac:dyDescent="0.3">
      <c r="A508" t="s">
        <v>130</v>
      </c>
      <c r="B508">
        <v>1</v>
      </c>
      <c r="AH508" t="s">
        <v>10</v>
      </c>
      <c r="AI508">
        <v>1</v>
      </c>
    </row>
    <row r="509" spans="1:35" x14ac:dyDescent="0.3">
      <c r="A509" t="s">
        <v>11</v>
      </c>
      <c r="B509">
        <v>1</v>
      </c>
      <c r="AH509" t="s">
        <v>417</v>
      </c>
      <c r="AI509">
        <v>1</v>
      </c>
    </row>
    <row r="510" spans="1:35" x14ac:dyDescent="0.3">
      <c r="A510" t="s">
        <v>151</v>
      </c>
      <c r="B510">
        <v>1</v>
      </c>
      <c r="AH510" t="s">
        <v>1679</v>
      </c>
      <c r="AI510">
        <v>1</v>
      </c>
    </row>
    <row r="511" spans="1:35" x14ac:dyDescent="0.3">
      <c r="A511" t="s">
        <v>29</v>
      </c>
      <c r="B511">
        <v>1</v>
      </c>
      <c r="AH511" t="s">
        <v>417</v>
      </c>
      <c r="AI511">
        <v>1</v>
      </c>
    </row>
    <row r="512" spans="1:35" x14ac:dyDescent="0.3">
      <c r="A512" t="s">
        <v>23</v>
      </c>
      <c r="B512">
        <v>1</v>
      </c>
      <c r="AH512" t="s">
        <v>124</v>
      </c>
      <c r="AI512">
        <v>1</v>
      </c>
    </row>
    <row r="513" spans="1:35" x14ac:dyDescent="0.3">
      <c r="A513" t="s">
        <v>726</v>
      </c>
      <c r="B513">
        <v>1</v>
      </c>
      <c r="AH513" t="s">
        <v>10</v>
      </c>
      <c r="AI513">
        <v>1</v>
      </c>
    </row>
    <row r="514" spans="1:35" x14ac:dyDescent="0.3">
      <c r="A514" t="s">
        <v>243</v>
      </c>
      <c r="B514">
        <v>1</v>
      </c>
      <c r="AH514" t="s">
        <v>35</v>
      </c>
      <c r="AI514">
        <v>1</v>
      </c>
    </row>
    <row r="515" spans="1:35" x14ac:dyDescent="0.3">
      <c r="A515" t="s">
        <v>64</v>
      </c>
      <c r="B515">
        <v>1</v>
      </c>
      <c r="AH515" t="s">
        <v>10</v>
      </c>
      <c r="AI515">
        <v>1</v>
      </c>
    </row>
    <row r="516" spans="1:35" x14ac:dyDescent="0.3">
      <c r="A516" t="s">
        <v>11</v>
      </c>
      <c r="B516">
        <v>1</v>
      </c>
      <c r="AH516" t="s">
        <v>2172</v>
      </c>
      <c r="AI516">
        <v>1</v>
      </c>
    </row>
    <row r="517" spans="1:35" x14ac:dyDescent="0.3">
      <c r="A517" t="s">
        <v>130</v>
      </c>
      <c r="B517">
        <v>1</v>
      </c>
      <c r="AH517" t="s">
        <v>35</v>
      </c>
      <c r="AI517">
        <v>1</v>
      </c>
    </row>
    <row r="518" spans="1:35" x14ac:dyDescent="0.3">
      <c r="A518" t="s">
        <v>11</v>
      </c>
      <c r="B518">
        <v>1</v>
      </c>
      <c r="AH518" t="s">
        <v>452</v>
      </c>
      <c r="AI518">
        <v>1</v>
      </c>
    </row>
    <row r="519" spans="1:35" x14ac:dyDescent="0.3">
      <c r="A519" t="s">
        <v>52</v>
      </c>
      <c r="B519">
        <v>1</v>
      </c>
      <c r="AH519" t="s">
        <v>124</v>
      </c>
      <c r="AI519">
        <v>1</v>
      </c>
    </row>
    <row r="520" spans="1:35" x14ac:dyDescent="0.3">
      <c r="A520" t="s">
        <v>345</v>
      </c>
      <c r="B520">
        <v>1</v>
      </c>
      <c r="AH520" t="s">
        <v>10</v>
      </c>
      <c r="AI520">
        <v>1</v>
      </c>
    </row>
    <row r="521" spans="1:35" x14ac:dyDescent="0.3">
      <c r="A521" t="s">
        <v>11</v>
      </c>
      <c r="B521">
        <v>1</v>
      </c>
      <c r="AH521" t="s">
        <v>10</v>
      </c>
      <c r="AI521">
        <v>1</v>
      </c>
    </row>
    <row r="522" spans="1:35" x14ac:dyDescent="0.3">
      <c r="A522" t="s">
        <v>715</v>
      </c>
      <c r="B522">
        <v>1</v>
      </c>
      <c r="AH522" t="s">
        <v>10</v>
      </c>
      <c r="AI522">
        <v>1</v>
      </c>
    </row>
    <row r="523" spans="1:35" x14ac:dyDescent="0.3">
      <c r="A523" t="s">
        <v>58</v>
      </c>
      <c r="B523">
        <v>1</v>
      </c>
      <c r="AH523" t="s">
        <v>1617</v>
      </c>
      <c r="AI523">
        <v>1</v>
      </c>
    </row>
    <row r="524" spans="1:35" x14ac:dyDescent="0.3">
      <c r="A524" t="s">
        <v>560</v>
      </c>
      <c r="B524">
        <v>1</v>
      </c>
      <c r="AH524" t="s">
        <v>205</v>
      </c>
      <c r="AI524">
        <v>1</v>
      </c>
    </row>
    <row r="525" spans="1:35" x14ac:dyDescent="0.3">
      <c r="A525" t="s">
        <v>98</v>
      </c>
      <c r="B525">
        <v>1</v>
      </c>
      <c r="AH525" t="s">
        <v>51</v>
      </c>
      <c r="AI525">
        <v>1</v>
      </c>
    </row>
    <row r="526" spans="1:35" x14ac:dyDescent="0.3">
      <c r="A526" t="s">
        <v>687</v>
      </c>
      <c r="B526">
        <v>1</v>
      </c>
      <c r="AH526" t="s">
        <v>10</v>
      </c>
      <c r="AI526">
        <v>1</v>
      </c>
    </row>
    <row r="527" spans="1:35" x14ac:dyDescent="0.3">
      <c r="A527" t="s">
        <v>17</v>
      </c>
      <c r="B527">
        <v>1</v>
      </c>
      <c r="AH527" t="s">
        <v>10</v>
      </c>
      <c r="AI527">
        <v>1</v>
      </c>
    </row>
    <row r="528" spans="1:35" x14ac:dyDescent="0.3">
      <c r="A528" t="s">
        <v>58</v>
      </c>
      <c r="B528">
        <v>1</v>
      </c>
      <c r="AH528" t="s">
        <v>737</v>
      </c>
      <c r="AI528">
        <v>1</v>
      </c>
    </row>
    <row r="529" spans="1:35" x14ac:dyDescent="0.3">
      <c r="A529" t="s">
        <v>232</v>
      </c>
      <c r="B529">
        <v>1</v>
      </c>
      <c r="AH529" t="s">
        <v>51</v>
      </c>
      <c r="AI529">
        <v>1</v>
      </c>
    </row>
    <row r="530" spans="1:35" x14ac:dyDescent="0.3">
      <c r="A530" t="s">
        <v>464</v>
      </c>
      <c r="B530">
        <v>1</v>
      </c>
      <c r="AH530" t="s">
        <v>76</v>
      </c>
      <c r="AI530">
        <v>1</v>
      </c>
    </row>
    <row r="531" spans="1:35" x14ac:dyDescent="0.3">
      <c r="A531" t="s">
        <v>345</v>
      </c>
      <c r="B531">
        <v>1</v>
      </c>
      <c r="AH531" t="s">
        <v>216</v>
      </c>
      <c r="AI531">
        <v>1</v>
      </c>
    </row>
    <row r="532" spans="1:35" x14ac:dyDescent="0.3">
      <c r="A532" t="s">
        <v>687</v>
      </c>
      <c r="B532">
        <v>1</v>
      </c>
      <c r="AH532" t="s">
        <v>10</v>
      </c>
      <c r="AI532">
        <v>1</v>
      </c>
    </row>
    <row r="533" spans="1:35" x14ac:dyDescent="0.3">
      <c r="A533" t="s">
        <v>52</v>
      </c>
      <c r="B533">
        <v>1</v>
      </c>
      <c r="AH533" t="s">
        <v>51</v>
      </c>
      <c r="AI533">
        <v>1</v>
      </c>
    </row>
    <row r="534" spans="1:35" x14ac:dyDescent="0.3">
      <c r="A534" t="s">
        <v>29</v>
      </c>
      <c r="B534">
        <v>1</v>
      </c>
      <c r="AH534" t="s">
        <v>216</v>
      </c>
      <c r="AI534">
        <v>1</v>
      </c>
    </row>
    <row r="535" spans="1:35" x14ac:dyDescent="0.3">
      <c r="A535" t="s">
        <v>243</v>
      </c>
      <c r="B535">
        <v>1</v>
      </c>
      <c r="AH535" t="s">
        <v>51</v>
      </c>
      <c r="AI535">
        <v>1</v>
      </c>
    </row>
    <row r="536" spans="1:35" x14ac:dyDescent="0.3">
      <c r="A536" t="s">
        <v>23</v>
      </c>
      <c r="B536">
        <v>1</v>
      </c>
      <c r="AH536" t="s">
        <v>10</v>
      </c>
      <c r="AI536">
        <v>1</v>
      </c>
    </row>
    <row r="537" spans="1:35" x14ac:dyDescent="0.3">
      <c r="A537" t="s">
        <v>634</v>
      </c>
      <c r="B537">
        <v>1</v>
      </c>
      <c r="AH537" t="s">
        <v>10</v>
      </c>
      <c r="AI537">
        <v>1</v>
      </c>
    </row>
    <row r="538" spans="1:35" x14ac:dyDescent="0.3">
      <c r="A538" t="s">
        <v>726</v>
      </c>
      <c r="B538">
        <v>1</v>
      </c>
      <c r="AH538" t="s">
        <v>51</v>
      </c>
      <c r="AI538">
        <v>1</v>
      </c>
    </row>
    <row r="539" spans="1:35" x14ac:dyDescent="0.3">
      <c r="A539" t="s">
        <v>98</v>
      </c>
      <c r="B539">
        <v>1</v>
      </c>
      <c r="AH539" t="s">
        <v>51</v>
      </c>
      <c r="AI539">
        <v>1</v>
      </c>
    </row>
    <row r="540" spans="1:35" x14ac:dyDescent="0.3">
      <c r="A540" t="s">
        <v>64</v>
      </c>
      <c r="B540">
        <v>1</v>
      </c>
      <c r="AH540" t="s">
        <v>10</v>
      </c>
      <c r="AI540">
        <v>1</v>
      </c>
    </row>
    <row r="541" spans="1:35" x14ac:dyDescent="0.3">
      <c r="A541" t="s">
        <v>706</v>
      </c>
      <c r="B541">
        <v>1</v>
      </c>
      <c r="AH541" t="s">
        <v>70</v>
      </c>
      <c r="AI541">
        <v>1</v>
      </c>
    </row>
    <row r="542" spans="1:35" x14ac:dyDescent="0.3">
      <c r="A542" t="s">
        <v>11</v>
      </c>
      <c r="B542">
        <v>1</v>
      </c>
      <c r="AH542" t="s">
        <v>10</v>
      </c>
      <c r="AI542">
        <v>1</v>
      </c>
    </row>
    <row r="543" spans="1:35" x14ac:dyDescent="0.3">
      <c r="A543" t="s">
        <v>58</v>
      </c>
      <c r="B543">
        <v>1</v>
      </c>
      <c r="AH543" t="s">
        <v>417</v>
      </c>
      <c r="AI543">
        <v>1</v>
      </c>
    </row>
    <row r="544" spans="1:35" x14ac:dyDescent="0.3">
      <c r="A544" t="s">
        <v>130</v>
      </c>
      <c r="B544">
        <v>1</v>
      </c>
      <c r="AH544" t="s">
        <v>76</v>
      </c>
      <c r="AI544">
        <v>1</v>
      </c>
    </row>
    <row r="545" spans="1:35" x14ac:dyDescent="0.3">
      <c r="A545" t="s">
        <v>510</v>
      </c>
      <c r="B545">
        <v>1</v>
      </c>
      <c r="AH545" t="s">
        <v>51</v>
      </c>
      <c r="AI545">
        <v>1</v>
      </c>
    </row>
    <row r="546" spans="1:35" x14ac:dyDescent="0.3">
      <c r="A546" t="s">
        <v>98</v>
      </c>
      <c r="B546">
        <v>1</v>
      </c>
      <c r="AH546" t="s">
        <v>696</v>
      </c>
      <c r="AI546">
        <v>1</v>
      </c>
    </row>
    <row r="547" spans="1:35" x14ac:dyDescent="0.3">
      <c r="A547" t="s">
        <v>11</v>
      </c>
      <c r="B547">
        <v>1</v>
      </c>
      <c r="AH547" t="s">
        <v>608</v>
      </c>
      <c r="AI547">
        <v>1</v>
      </c>
    </row>
    <row r="548" spans="1:35" x14ac:dyDescent="0.3">
      <c r="A548" t="s">
        <v>464</v>
      </c>
      <c r="B548">
        <v>1</v>
      </c>
      <c r="AH548" t="s">
        <v>35</v>
      </c>
      <c r="AI548">
        <v>1</v>
      </c>
    </row>
    <row r="549" spans="1:35" x14ac:dyDescent="0.3">
      <c r="A549" t="s">
        <v>243</v>
      </c>
      <c r="B549">
        <v>1</v>
      </c>
      <c r="AH549" t="s">
        <v>70</v>
      </c>
      <c r="AI549">
        <v>1</v>
      </c>
    </row>
    <row r="550" spans="1:35" x14ac:dyDescent="0.3">
      <c r="A550" t="s">
        <v>726</v>
      </c>
      <c r="B550">
        <v>1</v>
      </c>
      <c r="AH550" t="s">
        <v>10</v>
      </c>
      <c r="AI550">
        <v>1</v>
      </c>
    </row>
    <row r="551" spans="1:35" x14ac:dyDescent="0.3">
      <c r="A551" t="s">
        <v>726</v>
      </c>
      <c r="B551">
        <v>1</v>
      </c>
      <c r="AH551" t="s">
        <v>10</v>
      </c>
      <c r="AI551">
        <v>1</v>
      </c>
    </row>
    <row r="552" spans="1:35" x14ac:dyDescent="0.3">
      <c r="A552" t="s">
        <v>634</v>
      </c>
      <c r="B552">
        <v>1</v>
      </c>
      <c r="AH552" t="s">
        <v>51</v>
      </c>
      <c r="AI552">
        <v>1</v>
      </c>
    </row>
    <row r="553" spans="1:35" x14ac:dyDescent="0.3">
      <c r="A553" t="s">
        <v>52</v>
      </c>
      <c r="B553">
        <v>1</v>
      </c>
      <c r="AH553" t="s">
        <v>205</v>
      </c>
      <c r="AI553">
        <v>1</v>
      </c>
    </row>
    <row r="554" spans="1:35" x14ac:dyDescent="0.3">
      <c r="A554" t="s">
        <v>345</v>
      </c>
      <c r="B554">
        <v>1</v>
      </c>
      <c r="AH554" t="s">
        <v>124</v>
      </c>
      <c r="AI554">
        <v>1</v>
      </c>
    </row>
    <row r="555" spans="1:35" x14ac:dyDescent="0.3">
      <c r="A555" t="s">
        <v>58</v>
      </c>
      <c r="B555">
        <v>1</v>
      </c>
      <c r="AH555" t="s">
        <v>1441</v>
      </c>
      <c r="AI555">
        <v>1</v>
      </c>
    </row>
    <row r="556" spans="1:35" x14ac:dyDescent="0.3">
      <c r="A556" t="s">
        <v>345</v>
      </c>
      <c r="B556">
        <v>1</v>
      </c>
      <c r="AH556" t="s">
        <v>10</v>
      </c>
      <c r="AI556">
        <v>1</v>
      </c>
    </row>
    <row r="557" spans="1:35" x14ac:dyDescent="0.3">
      <c r="A557" t="s">
        <v>365</v>
      </c>
      <c r="B557">
        <v>1</v>
      </c>
      <c r="AH557" t="s">
        <v>10</v>
      </c>
      <c r="AI557">
        <v>1</v>
      </c>
    </row>
    <row r="558" spans="1:35" x14ac:dyDescent="0.3">
      <c r="A558" t="s">
        <v>23</v>
      </c>
      <c r="B558">
        <v>1</v>
      </c>
      <c r="AH558" t="s">
        <v>10</v>
      </c>
      <c r="AI558">
        <v>1</v>
      </c>
    </row>
    <row r="559" spans="1:35" x14ac:dyDescent="0.3">
      <c r="A559" t="s">
        <v>141</v>
      </c>
      <c r="B559">
        <v>1</v>
      </c>
      <c r="AH559" t="s">
        <v>681</v>
      </c>
      <c r="AI559">
        <v>1</v>
      </c>
    </row>
    <row r="560" spans="1:35" x14ac:dyDescent="0.3">
      <c r="A560" t="s">
        <v>11</v>
      </c>
      <c r="B560">
        <v>1</v>
      </c>
      <c r="AH560" t="s">
        <v>104</v>
      </c>
      <c r="AI560">
        <v>1</v>
      </c>
    </row>
    <row r="561" spans="1:35" x14ac:dyDescent="0.3">
      <c r="A561" t="s">
        <v>687</v>
      </c>
      <c r="B561">
        <v>1</v>
      </c>
      <c r="AH561" t="s">
        <v>124</v>
      </c>
      <c r="AI561">
        <v>1</v>
      </c>
    </row>
    <row r="562" spans="1:35" x14ac:dyDescent="0.3">
      <c r="A562" t="s">
        <v>98</v>
      </c>
      <c r="B562">
        <v>1</v>
      </c>
      <c r="AH562" t="s">
        <v>104</v>
      </c>
      <c r="AI562">
        <v>1</v>
      </c>
    </row>
    <row r="563" spans="1:35" x14ac:dyDescent="0.3">
      <c r="A563" t="s">
        <v>510</v>
      </c>
      <c r="B563">
        <v>1</v>
      </c>
      <c r="AH563" t="s">
        <v>51</v>
      </c>
      <c r="AI563">
        <v>1</v>
      </c>
    </row>
    <row r="564" spans="1:35" x14ac:dyDescent="0.3">
      <c r="A564" t="s">
        <v>11</v>
      </c>
      <c r="B564">
        <v>1</v>
      </c>
      <c r="AH564" t="s">
        <v>51</v>
      </c>
      <c r="AI564">
        <v>1</v>
      </c>
    </row>
    <row r="565" spans="1:35" x14ac:dyDescent="0.3">
      <c r="A565" t="s">
        <v>365</v>
      </c>
      <c r="B565">
        <v>1</v>
      </c>
      <c r="AH565" t="s">
        <v>35</v>
      </c>
      <c r="AI565">
        <v>1</v>
      </c>
    </row>
    <row r="566" spans="1:35" x14ac:dyDescent="0.3">
      <c r="A566" t="s">
        <v>130</v>
      </c>
      <c r="B566">
        <v>1</v>
      </c>
      <c r="AH566" t="s">
        <v>401</v>
      </c>
      <c r="AI566">
        <v>1</v>
      </c>
    </row>
    <row r="567" spans="1:35" x14ac:dyDescent="0.3">
      <c r="A567" t="s">
        <v>11</v>
      </c>
      <c r="B567">
        <v>1</v>
      </c>
      <c r="AH567" t="s">
        <v>2329</v>
      </c>
      <c r="AI567">
        <v>1</v>
      </c>
    </row>
    <row r="568" spans="1:35" x14ac:dyDescent="0.3">
      <c r="A568" t="s">
        <v>365</v>
      </c>
      <c r="B568">
        <v>1</v>
      </c>
      <c r="AH568" t="s">
        <v>417</v>
      </c>
      <c r="AI568">
        <v>1</v>
      </c>
    </row>
    <row r="569" spans="1:35" x14ac:dyDescent="0.3">
      <c r="A569" t="s">
        <v>345</v>
      </c>
      <c r="B569">
        <v>1</v>
      </c>
      <c r="AH569" t="s">
        <v>10</v>
      </c>
      <c r="AI569">
        <v>1</v>
      </c>
    </row>
    <row r="570" spans="1:35" x14ac:dyDescent="0.3">
      <c r="A570" t="s">
        <v>706</v>
      </c>
      <c r="B570">
        <v>1</v>
      </c>
      <c r="AH570" t="s">
        <v>10</v>
      </c>
      <c r="AI570">
        <v>1</v>
      </c>
    </row>
    <row r="571" spans="1:35" x14ac:dyDescent="0.3">
      <c r="A571" t="s">
        <v>64</v>
      </c>
      <c r="B571">
        <v>1</v>
      </c>
      <c r="AH571" t="s">
        <v>51</v>
      </c>
      <c r="AI571">
        <v>1</v>
      </c>
    </row>
    <row r="572" spans="1:35" x14ac:dyDescent="0.3">
      <c r="A572" t="s">
        <v>52</v>
      </c>
      <c r="B572">
        <v>1</v>
      </c>
      <c r="AH572" t="s">
        <v>51</v>
      </c>
      <c r="AI572">
        <v>1</v>
      </c>
    </row>
    <row r="573" spans="1:35" x14ac:dyDescent="0.3">
      <c r="A573" t="s">
        <v>345</v>
      </c>
      <c r="B573">
        <v>1</v>
      </c>
      <c r="AH573" t="s">
        <v>124</v>
      </c>
      <c r="AI573">
        <v>1</v>
      </c>
    </row>
    <row r="574" spans="1:35" x14ac:dyDescent="0.3">
      <c r="A574" t="s">
        <v>29</v>
      </c>
      <c r="B574">
        <v>1</v>
      </c>
      <c r="AH574" t="s">
        <v>584</v>
      </c>
      <c r="AI574">
        <v>1</v>
      </c>
    </row>
    <row r="575" spans="1:35" x14ac:dyDescent="0.3">
      <c r="A575" t="s">
        <v>510</v>
      </c>
      <c r="B575">
        <v>1</v>
      </c>
      <c r="AH575" t="s">
        <v>1441</v>
      </c>
      <c r="AI575">
        <v>1</v>
      </c>
    </row>
    <row r="576" spans="1:35" x14ac:dyDescent="0.3">
      <c r="A576" t="s">
        <v>345</v>
      </c>
      <c r="B576">
        <v>1</v>
      </c>
      <c r="AH576" t="s">
        <v>10</v>
      </c>
      <c r="AI576">
        <v>1</v>
      </c>
    </row>
    <row r="577" spans="1:35" x14ac:dyDescent="0.3">
      <c r="A577" t="s">
        <v>232</v>
      </c>
      <c r="B577">
        <v>1</v>
      </c>
      <c r="AH577" t="s">
        <v>10</v>
      </c>
      <c r="AI577">
        <v>1</v>
      </c>
    </row>
    <row r="578" spans="1:35" x14ac:dyDescent="0.3">
      <c r="A578" t="s">
        <v>151</v>
      </c>
      <c r="B578">
        <v>1</v>
      </c>
      <c r="AH578" t="s">
        <v>76</v>
      </c>
      <c r="AI578">
        <v>1</v>
      </c>
    </row>
    <row r="579" spans="1:35" x14ac:dyDescent="0.3">
      <c r="A579" t="s">
        <v>11</v>
      </c>
      <c r="B579">
        <v>1</v>
      </c>
      <c r="AH579" t="s">
        <v>2364</v>
      </c>
      <c r="AI579">
        <v>1</v>
      </c>
    </row>
    <row r="580" spans="1:35" x14ac:dyDescent="0.3">
      <c r="A580" t="s">
        <v>510</v>
      </c>
      <c r="B580">
        <v>1</v>
      </c>
      <c r="AH580" t="s">
        <v>10</v>
      </c>
      <c r="AI580">
        <v>1</v>
      </c>
    </row>
    <row r="581" spans="1:35" x14ac:dyDescent="0.3">
      <c r="A581" t="s">
        <v>464</v>
      </c>
      <c r="B581">
        <v>1</v>
      </c>
      <c r="AH581" t="s">
        <v>452</v>
      </c>
      <c r="AI581">
        <v>1</v>
      </c>
    </row>
    <row r="582" spans="1:35" x14ac:dyDescent="0.3">
      <c r="A582" t="s">
        <v>510</v>
      </c>
      <c r="B582">
        <v>1</v>
      </c>
      <c r="AH582" t="s">
        <v>35</v>
      </c>
      <c r="AI582">
        <v>1</v>
      </c>
    </row>
    <row r="583" spans="1:35" x14ac:dyDescent="0.3">
      <c r="A583" t="s">
        <v>58</v>
      </c>
      <c r="B583">
        <v>1</v>
      </c>
      <c r="AH583" t="s">
        <v>51</v>
      </c>
      <c r="AI583">
        <v>1</v>
      </c>
    </row>
    <row r="584" spans="1:35" x14ac:dyDescent="0.3">
      <c r="A584" t="s">
        <v>232</v>
      </c>
      <c r="B584">
        <v>1</v>
      </c>
      <c r="AH584" t="s">
        <v>35</v>
      </c>
      <c r="AI584">
        <v>1</v>
      </c>
    </row>
    <row r="585" spans="1:35" x14ac:dyDescent="0.3">
      <c r="A585" t="s">
        <v>141</v>
      </c>
      <c r="B585">
        <v>1</v>
      </c>
      <c r="AH585" t="s">
        <v>124</v>
      </c>
      <c r="AI585">
        <v>1</v>
      </c>
    </row>
    <row r="586" spans="1:35" x14ac:dyDescent="0.3">
      <c r="A586" t="s">
        <v>52</v>
      </c>
      <c r="B586">
        <v>1</v>
      </c>
      <c r="AH586" t="s">
        <v>10</v>
      </c>
      <c r="AI586">
        <v>1</v>
      </c>
    </row>
    <row r="587" spans="1:35" x14ac:dyDescent="0.3">
      <c r="A587" t="s">
        <v>687</v>
      </c>
      <c r="B587">
        <v>1</v>
      </c>
      <c r="AH587" t="s">
        <v>51</v>
      </c>
      <c r="AI587">
        <v>1</v>
      </c>
    </row>
    <row r="588" spans="1:35" x14ac:dyDescent="0.3">
      <c r="A588" t="s">
        <v>634</v>
      </c>
      <c r="B588">
        <v>1</v>
      </c>
      <c r="AH588" t="s">
        <v>458</v>
      </c>
      <c r="AI588">
        <v>1</v>
      </c>
    </row>
    <row r="589" spans="1:35" x14ac:dyDescent="0.3">
      <c r="A589" t="s">
        <v>52</v>
      </c>
      <c r="B589">
        <v>1</v>
      </c>
      <c r="AH589" t="s">
        <v>51</v>
      </c>
      <c r="AI589">
        <v>1</v>
      </c>
    </row>
    <row r="590" spans="1:35" x14ac:dyDescent="0.3">
      <c r="A590" t="s">
        <v>29</v>
      </c>
      <c r="B590">
        <v>1</v>
      </c>
      <c r="AH590" t="s">
        <v>1441</v>
      </c>
      <c r="AI590">
        <v>1</v>
      </c>
    </row>
    <row r="591" spans="1:35" x14ac:dyDescent="0.3">
      <c r="A591" t="s">
        <v>52</v>
      </c>
      <c r="B591">
        <v>1</v>
      </c>
      <c r="AH591" t="s">
        <v>10</v>
      </c>
      <c r="AI591">
        <v>1</v>
      </c>
    </row>
    <row r="592" spans="1:35" x14ac:dyDescent="0.3">
      <c r="A592" t="s">
        <v>345</v>
      </c>
      <c r="B592">
        <v>1</v>
      </c>
      <c r="AH592" t="s">
        <v>2172</v>
      </c>
      <c r="AI592">
        <v>1</v>
      </c>
    </row>
    <row r="593" spans="1:35" x14ac:dyDescent="0.3">
      <c r="A593" t="s">
        <v>345</v>
      </c>
      <c r="B593">
        <v>1</v>
      </c>
      <c r="AH593" t="s">
        <v>297</v>
      </c>
      <c r="AI593">
        <v>1</v>
      </c>
    </row>
    <row r="594" spans="1:35" x14ac:dyDescent="0.3">
      <c r="A594" t="s">
        <v>510</v>
      </c>
      <c r="B594">
        <v>1</v>
      </c>
      <c r="AH594" t="s">
        <v>70</v>
      </c>
      <c r="AI594">
        <v>1</v>
      </c>
    </row>
    <row r="595" spans="1:35" x14ac:dyDescent="0.3">
      <c r="A595" t="s">
        <v>464</v>
      </c>
      <c r="B595">
        <v>1</v>
      </c>
      <c r="AH595" t="s">
        <v>452</v>
      </c>
      <c r="AI595">
        <v>1</v>
      </c>
    </row>
    <row r="596" spans="1:35" x14ac:dyDescent="0.3">
      <c r="A596" t="s">
        <v>634</v>
      </c>
      <c r="B596">
        <v>1</v>
      </c>
      <c r="AH596" t="s">
        <v>2415</v>
      </c>
      <c r="AI596">
        <v>1</v>
      </c>
    </row>
    <row r="597" spans="1:35" x14ac:dyDescent="0.3">
      <c r="A597" t="s">
        <v>464</v>
      </c>
      <c r="B597">
        <v>1</v>
      </c>
      <c r="AH597" t="s">
        <v>521</v>
      </c>
      <c r="AI597">
        <v>1</v>
      </c>
    </row>
    <row r="598" spans="1:35" x14ac:dyDescent="0.3">
      <c r="A598" t="s">
        <v>23</v>
      </c>
      <c r="B598">
        <v>1</v>
      </c>
      <c r="AH598" t="s">
        <v>297</v>
      </c>
      <c r="AI598">
        <v>1</v>
      </c>
    </row>
    <row r="599" spans="1:35" x14ac:dyDescent="0.3">
      <c r="A599" t="s">
        <v>11</v>
      </c>
      <c r="B599">
        <v>1</v>
      </c>
      <c r="AH599" t="s">
        <v>205</v>
      </c>
      <c r="AI599">
        <v>1</v>
      </c>
    </row>
    <row r="600" spans="1:35" x14ac:dyDescent="0.3">
      <c r="A600" t="s">
        <v>52</v>
      </c>
      <c r="B600">
        <v>1</v>
      </c>
      <c r="AH600" t="s">
        <v>10</v>
      </c>
      <c r="AI600">
        <v>1</v>
      </c>
    </row>
    <row r="601" spans="1:35" x14ac:dyDescent="0.3">
      <c r="A601" t="s">
        <v>141</v>
      </c>
      <c r="B601">
        <v>1</v>
      </c>
      <c r="AH601" t="s">
        <v>51</v>
      </c>
      <c r="AI601">
        <v>1</v>
      </c>
    </row>
    <row r="602" spans="1:35" x14ac:dyDescent="0.3">
      <c r="A602" t="s">
        <v>64</v>
      </c>
      <c r="B602">
        <v>1</v>
      </c>
      <c r="AH602" t="s">
        <v>696</v>
      </c>
      <c r="AI602">
        <v>1</v>
      </c>
    </row>
    <row r="603" spans="1:35" x14ac:dyDescent="0.3">
      <c r="A603" t="s">
        <v>23</v>
      </c>
      <c r="B603">
        <v>1</v>
      </c>
      <c r="AH603" t="s">
        <v>10</v>
      </c>
      <c r="AI603">
        <v>1</v>
      </c>
    </row>
    <row r="604" spans="1:35" x14ac:dyDescent="0.3">
      <c r="A604" t="s">
        <v>687</v>
      </c>
      <c r="B604">
        <v>1</v>
      </c>
      <c r="AH604" t="s">
        <v>10</v>
      </c>
      <c r="AI604">
        <v>1</v>
      </c>
    </row>
    <row r="605" spans="1:35" x14ac:dyDescent="0.3">
      <c r="A605" t="s">
        <v>130</v>
      </c>
      <c r="B605">
        <v>1</v>
      </c>
      <c r="AH605" t="s">
        <v>35</v>
      </c>
      <c r="AI605">
        <v>1</v>
      </c>
    </row>
    <row r="606" spans="1:35" x14ac:dyDescent="0.3">
      <c r="A606" t="s">
        <v>464</v>
      </c>
      <c r="B606">
        <v>1</v>
      </c>
      <c r="AH606" t="s">
        <v>35</v>
      </c>
      <c r="AI606">
        <v>1</v>
      </c>
    </row>
    <row r="607" spans="1:35" x14ac:dyDescent="0.3">
      <c r="A607" t="s">
        <v>726</v>
      </c>
      <c r="B607">
        <v>1</v>
      </c>
      <c r="AH607" t="s">
        <v>216</v>
      </c>
      <c r="AI607">
        <v>1</v>
      </c>
    </row>
    <row r="608" spans="1:35" x14ac:dyDescent="0.3">
      <c r="A608" t="s">
        <v>345</v>
      </c>
      <c r="B608">
        <v>1</v>
      </c>
      <c r="AH608" t="s">
        <v>51</v>
      </c>
      <c r="AI608">
        <v>1</v>
      </c>
    </row>
    <row r="609" spans="1:35" x14ac:dyDescent="0.3">
      <c r="A609" t="s">
        <v>11</v>
      </c>
      <c r="B609">
        <v>1</v>
      </c>
      <c r="AH609" t="s">
        <v>205</v>
      </c>
      <c r="AI609">
        <v>1</v>
      </c>
    </row>
    <row r="610" spans="1:35" x14ac:dyDescent="0.3">
      <c r="A610" t="s">
        <v>345</v>
      </c>
      <c r="B610">
        <v>1</v>
      </c>
      <c r="AH610" t="s">
        <v>10</v>
      </c>
      <c r="AI610">
        <v>1</v>
      </c>
    </row>
    <row r="611" spans="1:35" x14ac:dyDescent="0.3">
      <c r="A611" t="s">
        <v>743</v>
      </c>
      <c r="B611">
        <v>1</v>
      </c>
      <c r="AH611" t="s">
        <v>10</v>
      </c>
      <c r="AI611">
        <v>1</v>
      </c>
    </row>
    <row r="612" spans="1:35" x14ac:dyDescent="0.3">
      <c r="A612" t="s">
        <v>11</v>
      </c>
      <c r="B612">
        <v>1</v>
      </c>
      <c r="AH612" t="s">
        <v>10</v>
      </c>
      <c r="AI612">
        <v>1</v>
      </c>
    </row>
    <row r="613" spans="1:35" x14ac:dyDescent="0.3">
      <c r="A613" t="s">
        <v>687</v>
      </c>
      <c r="B613">
        <v>1</v>
      </c>
      <c r="AH613" t="s">
        <v>696</v>
      </c>
      <c r="AI613">
        <v>1</v>
      </c>
    </row>
    <row r="614" spans="1:35" x14ac:dyDescent="0.3">
      <c r="A614" t="s">
        <v>634</v>
      </c>
      <c r="B614">
        <v>1</v>
      </c>
      <c r="AH614" t="s">
        <v>297</v>
      </c>
      <c r="AI614">
        <v>1</v>
      </c>
    </row>
    <row r="615" spans="1:35" x14ac:dyDescent="0.3">
      <c r="A615" t="s">
        <v>11</v>
      </c>
      <c r="B615">
        <v>1</v>
      </c>
      <c r="AH615" t="s">
        <v>10</v>
      </c>
      <c r="AI615">
        <v>1</v>
      </c>
    </row>
    <row r="616" spans="1:35" x14ac:dyDescent="0.3">
      <c r="A616" t="s">
        <v>560</v>
      </c>
      <c r="B616">
        <v>1</v>
      </c>
      <c r="AH616" t="s">
        <v>104</v>
      </c>
      <c r="AI616">
        <v>1</v>
      </c>
    </row>
    <row r="617" spans="1:35" x14ac:dyDescent="0.3">
      <c r="A617" t="s">
        <v>365</v>
      </c>
      <c r="B617">
        <v>1</v>
      </c>
      <c r="AH617" t="s">
        <v>51</v>
      </c>
      <c r="AI617">
        <v>1</v>
      </c>
    </row>
    <row r="618" spans="1:35" x14ac:dyDescent="0.3">
      <c r="A618" t="s">
        <v>743</v>
      </c>
      <c r="B618">
        <v>1</v>
      </c>
      <c r="AH618" t="s">
        <v>10</v>
      </c>
      <c r="AI618">
        <v>1</v>
      </c>
    </row>
    <row r="619" spans="1:35" x14ac:dyDescent="0.3">
      <c r="A619" t="s">
        <v>151</v>
      </c>
      <c r="B619">
        <v>1</v>
      </c>
      <c r="AH619" t="s">
        <v>2364</v>
      </c>
      <c r="AI619">
        <v>1</v>
      </c>
    </row>
    <row r="620" spans="1:35" x14ac:dyDescent="0.3">
      <c r="A620" t="s">
        <v>726</v>
      </c>
      <c r="B620">
        <v>1</v>
      </c>
      <c r="AH620" t="s">
        <v>35</v>
      </c>
      <c r="AI620">
        <v>1</v>
      </c>
    </row>
    <row r="621" spans="1:35" x14ac:dyDescent="0.3">
      <c r="A621" t="s">
        <v>464</v>
      </c>
      <c r="B621">
        <v>1</v>
      </c>
      <c r="AH621" t="s">
        <v>401</v>
      </c>
      <c r="AI621">
        <v>1</v>
      </c>
    </row>
    <row r="622" spans="1:35" x14ac:dyDescent="0.3">
      <c r="A622" t="s">
        <v>23</v>
      </c>
      <c r="B622">
        <v>1</v>
      </c>
      <c r="AH622" t="s">
        <v>51</v>
      </c>
      <c r="AI622">
        <v>1</v>
      </c>
    </row>
    <row r="623" spans="1:35" x14ac:dyDescent="0.3">
      <c r="A623" t="s">
        <v>232</v>
      </c>
      <c r="B623">
        <v>1</v>
      </c>
      <c r="AH623" t="s">
        <v>10</v>
      </c>
      <c r="AI623">
        <v>1</v>
      </c>
    </row>
    <row r="624" spans="1:35" x14ac:dyDescent="0.3">
      <c r="A624" t="s">
        <v>232</v>
      </c>
      <c r="B624">
        <v>1</v>
      </c>
      <c r="AH624" t="s">
        <v>10</v>
      </c>
      <c r="AI624">
        <v>1</v>
      </c>
    </row>
    <row r="625" spans="1:35" x14ac:dyDescent="0.3">
      <c r="A625" t="s">
        <v>365</v>
      </c>
      <c r="B625">
        <v>1</v>
      </c>
      <c r="AH625" t="s">
        <v>35</v>
      </c>
      <c r="AI625">
        <v>1</v>
      </c>
    </row>
    <row r="626" spans="1:35" x14ac:dyDescent="0.3">
      <c r="A626" t="s">
        <v>345</v>
      </c>
      <c r="B626">
        <v>1</v>
      </c>
      <c r="AH626" t="s">
        <v>10</v>
      </c>
      <c r="AI626">
        <v>1</v>
      </c>
    </row>
    <row r="627" spans="1:35" x14ac:dyDescent="0.3">
      <c r="A627" t="s">
        <v>11</v>
      </c>
      <c r="B627">
        <v>1</v>
      </c>
      <c r="AH627" t="s">
        <v>1463</v>
      </c>
      <c r="AI627">
        <v>1</v>
      </c>
    </row>
    <row r="628" spans="1:35" x14ac:dyDescent="0.3">
      <c r="A628" t="s">
        <v>130</v>
      </c>
      <c r="B628">
        <v>1</v>
      </c>
      <c r="AH628" t="s">
        <v>104</v>
      </c>
      <c r="AI628">
        <v>1</v>
      </c>
    </row>
    <row r="629" spans="1:35" x14ac:dyDescent="0.3">
      <c r="A629" t="s">
        <v>11</v>
      </c>
      <c r="B629">
        <v>1</v>
      </c>
      <c r="AH629" t="s">
        <v>1441</v>
      </c>
      <c r="AI629">
        <v>1</v>
      </c>
    </row>
    <row r="630" spans="1:35" x14ac:dyDescent="0.3">
      <c r="A630" t="s">
        <v>510</v>
      </c>
      <c r="B630">
        <v>1</v>
      </c>
      <c r="AH630" t="s">
        <v>76</v>
      </c>
      <c r="AI630">
        <v>1</v>
      </c>
    </row>
    <row r="631" spans="1:35" x14ac:dyDescent="0.3">
      <c r="A631" t="s">
        <v>130</v>
      </c>
      <c r="B631">
        <v>1</v>
      </c>
      <c r="AH631" t="s">
        <v>35</v>
      </c>
      <c r="AI631">
        <v>1</v>
      </c>
    </row>
    <row r="632" spans="1:35" x14ac:dyDescent="0.3">
      <c r="A632" t="s">
        <v>11</v>
      </c>
      <c r="B632">
        <v>1</v>
      </c>
      <c r="AH632" t="s">
        <v>249</v>
      </c>
      <c r="AI632">
        <v>1</v>
      </c>
    </row>
    <row r="633" spans="1:35" x14ac:dyDescent="0.3">
      <c r="A633" t="s">
        <v>510</v>
      </c>
      <c r="B633">
        <v>1</v>
      </c>
      <c r="AH633" t="s">
        <v>35</v>
      </c>
      <c r="AI633">
        <v>1</v>
      </c>
    </row>
    <row r="634" spans="1:35" x14ac:dyDescent="0.3">
      <c r="A634" t="s">
        <v>141</v>
      </c>
      <c r="B634">
        <v>1</v>
      </c>
      <c r="AH634" t="s">
        <v>124</v>
      </c>
      <c r="AI634">
        <v>1</v>
      </c>
    </row>
    <row r="635" spans="1:35" x14ac:dyDescent="0.3">
      <c r="A635" t="s">
        <v>130</v>
      </c>
      <c r="B635">
        <v>1</v>
      </c>
      <c r="AH635" t="s">
        <v>51</v>
      </c>
      <c r="AI635">
        <v>1</v>
      </c>
    </row>
    <row r="636" spans="1:35" x14ac:dyDescent="0.3">
      <c r="A636" t="s">
        <v>687</v>
      </c>
      <c r="B636">
        <v>1</v>
      </c>
      <c r="AH636" t="s">
        <v>51</v>
      </c>
      <c r="AI636">
        <v>1</v>
      </c>
    </row>
    <row r="637" spans="1:35" x14ac:dyDescent="0.3">
      <c r="A637" t="s">
        <v>52</v>
      </c>
      <c r="B637">
        <v>1</v>
      </c>
      <c r="AH637" t="s">
        <v>51</v>
      </c>
      <c r="AI637">
        <v>1</v>
      </c>
    </row>
    <row r="638" spans="1:35" x14ac:dyDescent="0.3">
      <c r="A638" t="s">
        <v>29</v>
      </c>
      <c r="B638">
        <v>1</v>
      </c>
      <c r="AH638" t="s">
        <v>10</v>
      </c>
      <c r="AI638">
        <v>1</v>
      </c>
    </row>
    <row r="639" spans="1:35" x14ac:dyDescent="0.3">
      <c r="A639" t="s">
        <v>23</v>
      </c>
      <c r="B639">
        <v>1</v>
      </c>
      <c r="AH639" t="s">
        <v>10</v>
      </c>
      <c r="AI639">
        <v>1</v>
      </c>
    </row>
    <row r="640" spans="1:35" x14ac:dyDescent="0.3">
      <c r="A640" t="s">
        <v>715</v>
      </c>
      <c r="B640">
        <v>1</v>
      </c>
      <c r="AH640" t="s">
        <v>10</v>
      </c>
      <c r="AI640">
        <v>1</v>
      </c>
    </row>
    <row r="641" spans="1:35" x14ac:dyDescent="0.3">
      <c r="A641" t="s">
        <v>29</v>
      </c>
      <c r="B641">
        <v>1</v>
      </c>
      <c r="AH641" t="s">
        <v>417</v>
      </c>
      <c r="AI641">
        <v>1</v>
      </c>
    </row>
    <row r="642" spans="1:35" x14ac:dyDescent="0.3">
      <c r="A642" t="s">
        <v>365</v>
      </c>
      <c r="B642">
        <v>1</v>
      </c>
      <c r="AH642" t="s">
        <v>297</v>
      </c>
      <c r="AI642">
        <v>1</v>
      </c>
    </row>
    <row r="643" spans="1:35" x14ac:dyDescent="0.3">
      <c r="A643" t="s">
        <v>52</v>
      </c>
      <c r="B643">
        <v>1</v>
      </c>
      <c r="AH643" t="s">
        <v>51</v>
      </c>
      <c r="AI643">
        <v>1</v>
      </c>
    </row>
    <row r="644" spans="1:35" x14ac:dyDescent="0.3">
      <c r="A644" t="s">
        <v>687</v>
      </c>
      <c r="B644">
        <v>1</v>
      </c>
      <c r="AH644" t="s">
        <v>124</v>
      </c>
      <c r="AI644">
        <v>1</v>
      </c>
    </row>
    <row r="645" spans="1:35" x14ac:dyDescent="0.3">
      <c r="A645" t="s">
        <v>52</v>
      </c>
      <c r="B645">
        <v>1</v>
      </c>
      <c r="AH645" t="s">
        <v>124</v>
      </c>
      <c r="AI645">
        <v>1</v>
      </c>
    </row>
    <row r="646" spans="1:35" x14ac:dyDescent="0.3">
      <c r="A646" t="s">
        <v>130</v>
      </c>
      <c r="B646">
        <v>1</v>
      </c>
      <c r="AH646" t="s">
        <v>10</v>
      </c>
      <c r="AI646">
        <v>1</v>
      </c>
    </row>
    <row r="647" spans="1:35" x14ac:dyDescent="0.3">
      <c r="A647" t="s">
        <v>464</v>
      </c>
      <c r="B647">
        <v>1</v>
      </c>
      <c r="AH647" t="s">
        <v>10</v>
      </c>
      <c r="AI647">
        <v>1</v>
      </c>
    </row>
    <row r="648" spans="1:35" x14ac:dyDescent="0.3">
      <c r="A648" t="s">
        <v>174</v>
      </c>
      <c r="B648">
        <v>1</v>
      </c>
      <c r="AH648" t="s">
        <v>10</v>
      </c>
      <c r="AI648">
        <v>1</v>
      </c>
    </row>
    <row r="649" spans="1:35" x14ac:dyDescent="0.3">
      <c r="A649" t="s">
        <v>560</v>
      </c>
      <c r="B649">
        <v>1</v>
      </c>
      <c r="AH649" t="s">
        <v>35</v>
      </c>
      <c r="AI649">
        <v>1</v>
      </c>
    </row>
    <row r="650" spans="1:35" x14ac:dyDescent="0.3">
      <c r="A650" t="s">
        <v>52</v>
      </c>
      <c r="B650">
        <v>1</v>
      </c>
      <c r="AH650" t="s">
        <v>51</v>
      </c>
      <c r="AI650">
        <v>1</v>
      </c>
    </row>
    <row r="651" spans="1:35" x14ac:dyDescent="0.3">
      <c r="A651" t="s">
        <v>29</v>
      </c>
      <c r="B651">
        <v>1</v>
      </c>
      <c r="AH651" t="s">
        <v>10</v>
      </c>
      <c r="AI651">
        <v>1</v>
      </c>
    </row>
    <row r="652" spans="1:35" x14ac:dyDescent="0.3">
      <c r="A652" t="s">
        <v>64</v>
      </c>
      <c r="B652">
        <v>1</v>
      </c>
      <c r="AH652" t="s">
        <v>10</v>
      </c>
      <c r="AI652">
        <v>1</v>
      </c>
    </row>
    <row r="653" spans="1:35" x14ac:dyDescent="0.3">
      <c r="A653" t="s">
        <v>345</v>
      </c>
      <c r="B653">
        <v>1</v>
      </c>
      <c r="AH653" t="s">
        <v>10</v>
      </c>
      <c r="AI653">
        <v>1</v>
      </c>
    </row>
    <row r="654" spans="1:35" x14ac:dyDescent="0.3">
      <c r="A654" t="s">
        <v>23</v>
      </c>
      <c r="B654">
        <v>1</v>
      </c>
      <c r="AH654" t="s">
        <v>35</v>
      </c>
      <c r="AI654">
        <v>1</v>
      </c>
    </row>
    <row r="655" spans="1:35" x14ac:dyDescent="0.3">
      <c r="A655" t="s">
        <v>706</v>
      </c>
      <c r="B655">
        <v>1</v>
      </c>
      <c r="AH655" t="s">
        <v>51</v>
      </c>
      <c r="AI655">
        <v>1</v>
      </c>
    </row>
    <row r="656" spans="1:35" x14ac:dyDescent="0.3">
      <c r="A656" t="s">
        <v>98</v>
      </c>
      <c r="B656">
        <v>1</v>
      </c>
      <c r="AH656" t="s">
        <v>1441</v>
      </c>
      <c r="AI656">
        <v>1</v>
      </c>
    </row>
    <row r="657" spans="1:35" x14ac:dyDescent="0.3">
      <c r="A657" t="s">
        <v>11</v>
      </c>
      <c r="B657">
        <v>1</v>
      </c>
      <c r="AH657" t="s">
        <v>249</v>
      </c>
      <c r="AI657">
        <v>1</v>
      </c>
    </row>
    <row r="658" spans="1:35" x14ac:dyDescent="0.3">
      <c r="A658" t="s">
        <v>11</v>
      </c>
      <c r="B658">
        <v>1</v>
      </c>
      <c r="AH658" t="s">
        <v>10</v>
      </c>
      <c r="AI658">
        <v>1</v>
      </c>
    </row>
    <row r="659" spans="1:35" x14ac:dyDescent="0.3">
      <c r="A659" t="s">
        <v>345</v>
      </c>
      <c r="B659">
        <v>1</v>
      </c>
      <c r="AH659" t="s">
        <v>2364</v>
      </c>
      <c r="AI659">
        <v>1</v>
      </c>
    </row>
    <row r="660" spans="1:35" x14ac:dyDescent="0.3">
      <c r="A660" t="s">
        <v>365</v>
      </c>
      <c r="B660">
        <v>1</v>
      </c>
      <c r="AH660" t="s">
        <v>205</v>
      </c>
      <c r="AI660">
        <v>1</v>
      </c>
    </row>
    <row r="661" spans="1:35" x14ac:dyDescent="0.3">
      <c r="A661" t="s">
        <v>365</v>
      </c>
      <c r="B661">
        <v>1</v>
      </c>
      <c r="AH661" t="s">
        <v>51</v>
      </c>
      <c r="AI661">
        <v>1</v>
      </c>
    </row>
    <row r="662" spans="1:35" x14ac:dyDescent="0.3">
      <c r="A662" t="s">
        <v>243</v>
      </c>
      <c r="B662">
        <v>1</v>
      </c>
      <c r="AH662" t="s">
        <v>10</v>
      </c>
      <c r="AI662">
        <v>1</v>
      </c>
    </row>
    <row r="663" spans="1:35" x14ac:dyDescent="0.3">
      <c r="A663" t="s">
        <v>11</v>
      </c>
      <c r="B663">
        <v>1</v>
      </c>
      <c r="AH663" t="s">
        <v>10</v>
      </c>
      <c r="AI663">
        <v>1</v>
      </c>
    </row>
    <row r="664" spans="1:35" x14ac:dyDescent="0.3">
      <c r="A664" t="s">
        <v>365</v>
      </c>
      <c r="B664">
        <v>1</v>
      </c>
      <c r="AH664" t="s">
        <v>51</v>
      </c>
      <c r="AI664">
        <v>1</v>
      </c>
    </row>
    <row r="665" spans="1:35" x14ac:dyDescent="0.3">
      <c r="A665" t="s">
        <v>64</v>
      </c>
      <c r="B665">
        <v>1</v>
      </c>
      <c r="AH665" t="s">
        <v>35</v>
      </c>
      <c r="AI665">
        <v>1</v>
      </c>
    </row>
    <row r="666" spans="1:35" x14ac:dyDescent="0.3">
      <c r="A666" t="s">
        <v>687</v>
      </c>
      <c r="B666">
        <v>1</v>
      </c>
      <c r="AH666" t="s">
        <v>696</v>
      </c>
      <c r="AI666">
        <v>1</v>
      </c>
    </row>
    <row r="667" spans="1:35" x14ac:dyDescent="0.3">
      <c r="A667" t="s">
        <v>58</v>
      </c>
      <c r="B667">
        <v>1</v>
      </c>
      <c r="AH667" t="s">
        <v>2329</v>
      </c>
      <c r="AI667">
        <v>1</v>
      </c>
    </row>
    <row r="668" spans="1:35" x14ac:dyDescent="0.3">
      <c r="A668" t="s">
        <v>58</v>
      </c>
      <c r="B668">
        <v>1</v>
      </c>
      <c r="AH668" t="s">
        <v>10</v>
      </c>
      <c r="AI668">
        <v>1</v>
      </c>
    </row>
    <row r="669" spans="1:35" x14ac:dyDescent="0.3">
      <c r="A669" t="s">
        <v>98</v>
      </c>
      <c r="B669">
        <v>1</v>
      </c>
      <c r="AH669" t="s">
        <v>2612</v>
      </c>
      <c r="AI669">
        <v>1</v>
      </c>
    </row>
    <row r="670" spans="1:35" x14ac:dyDescent="0.3">
      <c r="A670" t="s">
        <v>365</v>
      </c>
      <c r="B670">
        <v>1</v>
      </c>
      <c r="AH670" t="s">
        <v>452</v>
      </c>
      <c r="AI670">
        <v>1</v>
      </c>
    </row>
    <row r="671" spans="1:35" x14ac:dyDescent="0.3">
      <c r="A671" t="s">
        <v>141</v>
      </c>
      <c r="B671">
        <v>1</v>
      </c>
      <c r="AH671" t="s">
        <v>51</v>
      </c>
      <c r="AI671">
        <v>1</v>
      </c>
    </row>
    <row r="672" spans="1:35" x14ac:dyDescent="0.3">
      <c r="A672" t="s">
        <v>11</v>
      </c>
      <c r="B672">
        <v>1</v>
      </c>
      <c r="AH672" t="s">
        <v>205</v>
      </c>
      <c r="AI672">
        <v>1</v>
      </c>
    </row>
    <row r="673" spans="1:35" x14ac:dyDescent="0.3">
      <c r="A673" t="s">
        <v>58</v>
      </c>
      <c r="B673">
        <v>1</v>
      </c>
      <c r="AH673" t="s">
        <v>10</v>
      </c>
      <c r="AI673">
        <v>1</v>
      </c>
    </row>
    <row r="674" spans="1:35" x14ac:dyDescent="0.3">
      <c r="A674" t="s">
        <v>634</v>
      </c>
      <c r="B674">
        <v>1</v>
      </c>
      <c r="AH674" t="s">
        <v>51</v>
      </c>
      <c r="AI674">
        <v>1</v>
      </c>
    </row>
    <row r="675" spans="1:35" x14ac:dyDescent="0.3">
      <c r="A675" t="s">
        <v>151</v>
      </c>
      <c r="B675">
        <v>1</v>
      </c>
      <c r="AH675" t="s">
        <v>696</v>
      </c>
      <c r="AI675">
        <v>1</v>
      </c>
    </row>
    <row r="676" spans="1:35" x14ac:dyDescent="0.3">
      <c r="A676" t="s">
        <v>715</v>
      </c>
      <c r="B676">
        <v>1</v>
      </c>
      <c r="AH676" t="s">
        <v>2632</v>
      </c>
      <c r="AI676">
        <v>1</v>
      </c>
    </row>
    <row r="677" spans="1:35" x14ac:dyDescent="0.3">
      <c r="A677" t="s">
        <v>11</v>
      </c>
      <c r="B677">
        <v>1</v>
      </c>
      <c r="AH677" t="s">
        <v>10</v>
      </c>
      <c r="AI677">
        <v>1</v>
      </c>
    </row>
    <row r="678" spans="1:35" x14ac:dyDescent="0.3">
      <c r="A678" t="s">
        <v>151</v>
      </c>
      <c r="B678">
        <v>1</v>
      </c>
      <c r="AH678" t="s">
        <v>10</v>
      </c>
      <c r="AI678">
        <v>1</v>
      </c>
    </row>
    <row r="679" spans="1:35" x14ac:dyDescent="0.3">
      <c r="A679" t="s">
        <v>17</v>
      </c>
      <c r="B679">
        <v>1</v>
      </c>
      <c r="AH679" t="s">
        <v>10</v>
      </c>
      <c r="AI679">
        <v>1</v>
      </c>
    </row>
    <row r="680" spans="1:35" x14ac:dyDescent="0.3">
      <c r="A680" t="s">
        <v>29</v>
      </c>
      <c r="B680">
        <v>1</v>
      </c>
      <c r="AH680" t="s">
        <v>249</v>
      </c>
      <c r="AI680">
        <v>1</v>
      </c>
    </row>
    <row r="681" spans="1:35" x14ac:dyDescent="0.3">
      <c r="A681" t="s">
        <v>23</v>
      </c>
      <c r="B681">
        <v>1</v>
      </c>
      <c r="AH681" t="s">
        <v>401</v>
      </c>
      <c r="AI681">
        <v>1</v>
      </c>
    </row>
    <row r="682" spans="1:35" x14ac:dyDescent="0.3">
      <c r="A682" t="s">
        <v>687</v>
      </c>
      <c r="B682">
        <v>1</v>
      </c>
      <c r="AH682" t="s">
        <v>696</v>
      </c>
      <c r="AI682">
        <v>1</v>
      </c>
    </row>
    <row r="683" spans="1:35" x14ac:dyDescent="0.3">
      <c r="A683" t="s">
        <v>58</v>
      </c>
      <c r="B683">
        <v>1</v>
      </c>
      <c r="AH683" t="s">
        <v>452</v>
      </c>
      <c r="AI683">
        <v>1</v>
      </c>
    </row>
    <row r="684" spans="1:35" x14ac:dyDescent="0.3">
      <c r="A684" t="s">
        <v>345</v>
      </c>
      <c r="B684">
        <v>1</v>
      </c>
      <c r="AH684" t="s">
        <v>10</v>
      </c>
      <c r="AI684">
        <v>1</v>
      </c>
    </row>
    <row r="685" spans="1:35" x14ac:dyDescent="0.3">
      <c r="A685" t="s">
        <v>726</v>
      </c>
      <c r="B685">
        <v>1</v>
      </c>
      <c r="AH685" t="s">
        <v>124</v>
      </c>
      <c r="AI685">
        <v>1</v>
      </c>
    </row>
    <row r="686" spans="1:35" x14ac:dyDescent="0.3">
      <c r="A686" t="s">
        <v>11</v>
      </c>
      <c r="B686">
        <v>1</v>
      </c>
      <c r="AH686" t="s">
        <v>205</v>
      </c>
      <c r="AI686">
        <v>1</v>
      </c>
    </row>
    <row r="687" spans="1:35" x14ac:dyDescent="0.3">
      <c r="A687" t="s">
        <v>560</v>
      </c>
      <c r="B687">
        <v>1</v>
      </c>
      <c r="AH687" t="s">
        <v>417</v>
      </c>
      <c r="AI687">
        <v>1</v>
      </c>
    </row>
    <row r="688" spans="1:35" x14ac:dyDescent="0.3">
      <c r="A688" t="s">
        <v>151</v>
      </c>
      <c r="B688">
        <v>1</v>
      </c>
      <c r="AH688" t="s">
        <v>35</v>
      </c>
      <c r="AI688">
        <v>1</v>
      </c>
    </row>
    <row r="689" spans="1:35" x14ac:dyDescent="0.3">
      <c r="A689" t="s">
        <v>11</v>
      </c>
      <c r="B689">
        <v>1</v>
      </c>
      <c r="AH689" t="s">
        <v>2672</v>
      </c>
      <c r="AI689">
        <v>1</v>
      </c>
    </row>
    <row r="690" spans="1:35" x14ac:dyDescent="0.3">
      <c r="A690" t="s">
        <v>743</v>
      </c>
      <c r="B690">
        <v>1</v>
      </c>
      <c r="AH690" t="s">
        <v>124</v>
      </c>
      <c r="AI690">
        <v>1</v>
      </c>
    </row>
    <row r="691" spans="1:35" x14ac:dyDescent="0.3">
      <c r="A691" t="s">
        <v>98</v>
      </c>
      <c r="B691">
        <v>1</v>
      </c>
      <c r="AH691" t="s">
        <v>10</v>
      </c>
      <c r="AI691">
        <v>1</v>
      </c>
    </row>
    <row r="692" spans="1:35" x14ac:dyDescent="0.3">
      <c r="A692" t="s">
        <v>232</v>
      </c>
      <c r="B692">
        <v>1</v>
      </c>
      <c r="AH692" t="s">
        <v>10</v>
      </c>
      <c r="AI692">
        <v>1</v>
      </c>
    </row>
    <row r="693" spans="1:35" x14ac:dyDescent="0.3">
      <c r="A693" t="s">
        <v>250</v>
      </c>
      <c r="B693">
        <v>1</v>
      </c>
      <c r="AH693" t="s">
        <v>51</v>
      </c>
      <c r="AI693">
        <v>1</v>
      </c>
    </row>
    <row r="694" spans="1:35" x14ac:dyDescent="0.3">
      <c r="A694" t="s">
        <v>715</v>
      </c>
      <c r="B694">
        <v>1</v>
      </c>
      <c r="AH694" t="s">
        <v>104</v>
      </c>
      <c r="AI694">
        <v>1</v>
      </c>
    </row>
    <row r="695" spans="1:35" x14ac:dyDescent="0.3">
      <c r="A695" t="s">
        <v>23</v>
      </c>
      <c r="B695">
        <v>1</v>
      </c>
      <c r="AH695" t="s">
        <v>10</v>
      </c>
      <c r="AI695">
        <v>1</v>
      </c>
    </row>
    <row r="696" spans="1:35" x14ac:dyDescent="0.3">
      <c r="A696" t="s">
        <v>98</v>
      </c>
      <c r="B696">
        <v>1</v>
      </c>
      <c r="AH696" t="s">
        <v>10</v>
      </c>
      <c r="AI696">
        <v>1</v>
      </c>
    </row>
    <row r="697" spans="1:35" x14ac:dyDescent="0.3">
      <c r="A697" t="s">
        <v>706</v>
      </c>
      <c r="B697">
        <v>1</v>
      </c>
      <c r="AH697" t="s">
        <v>249</v>
      </c>
      <c r="AI697">
        <v>1</v>
      </c>
    </row>
    <row r="698" spans="1:35" x14ac:dyDescent="0.3">
      <c r="A698" t="s">
        <v>243</v>
      </c>
      <c r="B698">
        <v>1</v>
      </c>
      <c r="AH698" t="s">
        <v>10</v>
      </c>
      <c r="AI698">
        <v>1</v>
      </c>
    </row>
    <row r="699" spans="1:35" x14ac:dyDescent="0.3">
      <c r="A699" t="s">
        <v>706</v>
      </c>
      <c r="B699">
        <v>1</v>
      </c>
      <c r="AH699" t="s">
        <v>51</v>
      </c>
      <c r="AI699">
        <v>1</v>
      </c>
    </row>
    <row r="700" spans="1:35" x14ac:dyDescent="0.3">
      <c r="A700" t="s">
        <v>52</v>
      </c>
      <c r="B700">
        <v>1</v>
      </c>
      <c r="AH700" t="s">
        <v>10</v>
      </c>
      <c r="AI700">
        <v>1</v>
      </c>
    </row>
    <row r="701" spans="1:35" x14ac:dyDescent="0.3">
      <c r="A701" t="s">
        <v>23</v>
      </c>
      <c r="B701">
        <v>1</v>
      </c>
      <c r="AH701" t="s">
        <v>70</v>
      </c>
      <c r="AI701">
        <v>1</v>
      </c>
    </row>
    <row r="702" spans="1:35" x14ac:dyDescent="0.3">
      <c r="A702" t="s">
        <v>365</v>
      </c>
      <c r="B702">
        <v>1</v>
      </c>
      <c r="AH702" t="s">
        <v>104</v>
      </c>
      <c r="AI702">
        <v>1</v>
      </c>
    </row>
    <row r="703" spans="1:35" x14ac:dyDescent="0.3">
      <c r="A703" t="s">
        <v>11</v>
      </c>
      <c r="B703">
        <v>1</v>
      </c>
      <c r="AH703" t="s">
        <v>10</v>
      </c>
      <c r="AI703">
        <v>1</v>
      </c>
    </row>
    <row r="704" spans="1:35" x14ac:dyDescent="0.3">
      <c r="A704" t="s">
        <v>464</v>
      </c>
      <c r="B704">
        <v>1</v>
      </c>
      <c r="AH704" t="s">
        <v>10</v>
      </c>
      <c r="AI704">
        <v>1</v>
      </c>
    </row>
    <row r="705" spans="1:35" x14ac:dyDescent="0.3">
      <c r="A705" t="s">
        <v>58</v>
      </c>
      <c r="B705">
        <v>1</v>
      </c>
      <c r="AH705" t="s">
        <v>10</v>
      </c>
      <c r="AI705">
        <v>1</v>
      </c>
    </row>
    <row r="706" spans="1:35" x14ac:dyDescent="0.3">
      <c r="A706" t="s">
        <v>58</v>
      </c>
      <c r="B706">
        <v>1</v>
      </c>
      <c r="AH706" t="s">
        <v>297</v>
      </c>
      <c r="AI706">
        <v>1</v>
      </c>
    </row>
    <row r="707" spans="1:35" x14ac:dyDescent="0.3">
      <c r="A707" t="s">
        <v>706</v>
      </c>
      <c r="B707">
        <v>1</v>
      </c>
      <c r="AH707" t="s">
        <v>10</v>
      </c>
      <c r="AI707">
        <v>1</v>
      </c>
    </row>
    <row r="708" spans="1:35" x14ac:dyDescent="0.3">
      <c r="A708" t="s">
        <v>365</v>
      </c>
      <c r="B708">
        <v>1</v>
      </c>
      <c r="AH708" t="s">
        <v>104</v>
      </c>
      <c r="AI708">
        <v>1</v>
      </c>
    </row>
    <row r="709" spans="1:35" x14ac:dyDescent="0.3">
      <c r="A709" t="s">
        <v>743</v>
      </c>
      <c r="B709">
        <v>1</v>
      </c>
      <c r="AH709" t="s">
        <v>10</v>
      </c>
      <c r="AI709">
        <v>1</v>
      </c>
    </row>
    <row r="710" spans="1:35" x14ac:dyDescent="0.3">
      <c r="A710" t="s">
        <v>23</v>
      </c>
      <c r="B710">
        <v>1</v>
      </c>
      <c r="AH710" t="s">
        <v>10</v>
      </c>
      <c r="AI710">
        <v>1</v>
      </c>
    </row>
    <row r="711" spans="1:35" x14ac:dyDescent="0.3">
      <c r="A711" t="s">
        <v>726</v>
      </c>
      <c r="B711">
        <v>1</v>
      </c>
      <c r="AH711" t="s">
        <v>51</v>
      </c>
      <c r="AI711">
        <v>1</v>
      </c>
    </row>
    <row r="712" spans="1:35" x14ac:dyDescent="0.3">
      <c r="A712" t="s">
        <v>232</v>
      </c>
      <c r="B712">
        <v>1</v>
      </c>
      <c r="AH712" t="s">
        <v>76</v>
      </c>
      <c r="AI712">
        <v>1</v>
      </c>
    </row>
    <row r="713" spans="1:35" x14ac:dyDescent="0.3">
      <c r="A713" t="s">
        <v>510</v>
      </c>
      <c r="B713">
        <v>1</v>
      </c>
      <c r="AH713" t="s">
        <v>70</v>
      </c>
      <c r="AI713">
        <v>1</v>
      </c>
    </row>
    <row r="714" spans="1:35" x14ac:dyDescent="0.3">
      <c r="A714" t="s">
        <v>634</v>
      </c>
      <c r="B714">
        <v>1</v>
      </c>
      <c r="AH714" t="s">
        <v>51</v>
      </c>
      <c r="AI714">
        <v>1</v>
      </c>
    </row>
    <row r="715" spans="1:35" x14ac:dyDescent="0.3">
      <c r="A715" t="s">
        <v>23</v>
      </c>
      <c r="B715">
        <v>1</v>
      </c>
      <c r="AH715" t="s">
        <v>10</v>
      </c>
      <c r="AI715">
        <v>1</v>
      </c>
    </row>
    <row r="716" spans="1:35" x14ac:dyDescent="0.3">
      <c r="A716" t="s">
        <v>345</v>
      </c>
      <c r="B716">
        <v>1</v>
      </c>
      <c r="AH716" t="s">
        <v>10</v>
      </c>
      <c r="AI716">
        <v>1</v>
      </c>
    </row>
    <row r="717" spans="1:35" x14ac:dyDescent="0.3">
      <c r="A717" t="s">
        <v>715</v>
      </c>
      <c r="B717">
        <v>1</v>
      </c>
      <c r="AH717" t="s">
        <v>35</v>
      </c>
      <c r="AI717">
        <v>1</v>
      </c>
    </row>
    <row r="718" spans="1:35" x14ac:dyDescent="0.3">
      <c r="A718" t="s">
        <v>64</v>
      </c>
      <c r="B718">
        <v>1</v>
      </c>
      <c r="AH718" t="s">
        <v>10</v>
      </c>
      <c r="AI718">
        <v>1</v>
      </c>
    </row>
    <row r="719" spans="1:35" x14ac:dyDescent="0.3">
      <c r="A719" t="s">
        <v>345</v>
      </c>
      <c r="B719">
        <v>1</v>
      </c>
      <c r="AH719" t="s">
        <v>35</v>
      </c>
      <c r="AI719">
        <v>1</v>
      </c>
    </row>
    <row r="720" spans="1:35" x14ac:dyDescent="0.3">
      <c r="A720" t="s">
        <v>726</v>
      </c>
      <c r="B720">
        <v>1</v>
      </c>
      <c r="AH720" t="s">
        <v>51</v>
      </c>
      <c r="AI720">
        <v>1</v>
      </c>
    </row>
    <row r="721" spans="1:35" x14ac:dyDescent="0.3">
      <c r="A721" t="s">
        <v>29</v>
      </c>
      <c r="B721">
        <v>1</v>
      </c>
      <c r="AH721" t="s">
        <v>1632</v>
      </c>
      <c r="AI721">
        <v>1</v>
      </c>
    </row>
    <row r="722" spans="1:35" x14ac:dyDescent="0.3">
      <c r="A722" t="s">
        <v>743</v>
      </c>
      <c r="B722">
        <v>1</v>
      </c>
      <c r="AH722" t="s">
        <v>10</v>
      </c>
      <c r="AI722">
        <v>1</v>
      </c>
    </row>
    <row r="723" spans="1:35" x14ac:dyDescent="0.3">
      <c r="A723" t="s">
        <v>23</v>
      </c>
      <c r="B723">
        <v>1</v>
      </c>
      <c r="AH723" t="s">
        <v>696</v>
      </c>
      <c r="AI723">
        <v>1</v>
      </c>
    </row>
    <row r="724" spans="1:35" x14ac:dyDescent="0.3">
      <c r="A724" t="s">
        <v>232</v>
      </c>
      <c r="B724">
        <v>1</v>
      </c>
      <c r="AH724" t="s">
        <v>35</v>
      </c>
      <c r="AI724">
        <v>1</v>
      </c>
    </row>
    <row r="725" spans="1:35" x14ac:dyDescent="0.3">
      <c r="A725" t="s">
        <v>23</v>
      </c>
      <c r="B725">
        <v>1</v>
      </c>
      <c r="AH725" t="s">
        <v>401</v>
      </c>
      <c r="AI725">
        <v>1</v>
      </c>
    </row>
    <row r="726" spans="1:35" x14ac:dyDescent="0.3">
      <c r="A726" t="s">
        <v>98</v>
      </c>
      <c r="B726">
        <v>1</v>
      </c>
      <c r="AH726" t="s">
        <v>51</v>
      </c>
      <c r="AI726">
        <v>1</v>
      </c>
    </row>
    <row r="727" spans="1:35" x14ac:dyDescent="0.3">
      <c r="A727" t="s">
        <v>11</v>
      </c>
      <c r="B727">
        <v>1</v>
      </c>
      <c r="AH727" t="s">
        <v>657</v>
      </c>
      <c r="AI727">
        <v>1</v>
      </c>
    </row>
    <row r="728" spans="1:35" x14ac:dyDescent="0.3">
      <c r="A728" t="s">
        <v>715</v>
      </c>
      <c r="B728">
        <v>1</v>
      </c>
      <c r="AH728" t="s">
        <v>10</v>
      </c>
      <c r="AI728">
        <v>1</v>
      </c>
    </row>
    <row r="729" spans="1:35" x14ac:dyDescent="0.3">
      <c r="A729" t="s">
        <v>345</v>
      </c>
      <c r="B729">
        <v>1</v>
      </c>
      <c r="AH729" t="s">
        <v>51</v>
      </c>
      <c r="AI729">
        <v>1</v>
      </c>
    </row>
    <row r="730" spans="1:35" x14ac:dyDescent="0.3">
      <c r="A730" t="s">
        <v>52</v>
      </c>
      <c r="B730">
        <v>1</v>
      </c>
      <c r="AH730" t="s">
        <v>104</v>
      </c>
      <c r="AI730">
        <v>1</v>
      </c>
    </row>
    <row r="731" spans="1:35" x14ac:dyDescent="0.3">
      <c r="A731" t="s">
        <v>64</v>
      </c>
      <c r="B731">
        <v>1</v>
      </c>
      <c r="AH731" t="s">
        <v>10</v>
      </c>
      <c r="AI731">
        <v>1</v>
      </c>
    </row>
    <row r="732" spans="1:35" x14ac:dyDescent="0.3">
      <c r="A732" t="s">
        <v>64</v>
      </c>
      <c r="B732">
        <v>1</v>
      </c>
      <c r="AH732" t="s">
        <v>10</v>
      </c>
      <c r="AI732">
        <v>1</v>
      </c>
    </row>
    <row r="733" spans="1:35" x14ac:dyDescent="0.3">
      <c r="A733" t="s">
        <v>11</v>
      </c>
      <c r="B733">
        <v>1</v>
      </c>
      <c r="AH733" t="s">
        <v>10</v>
      </c>
      <c r="AI733">
        <v>1</v>
      </c>
    </row>
    <row r="734" spans="1:35" x14ac:dyDescent="0.3">
      <c r="A734" t="s">
        <v>17</v>
      </c>
      <c r="B734">
        <v>1</v>
      </c>
      <c r="AH734" t="s">
        <v>452</v>
      </c>
      <c r="AI734">
        <v>1</v>
      </c>
    </row>
    <row r="735" spans="1:35" x14ac:dyDescent="0.3">
      <c r="A735" t="s">
        <v>510</v>
      </c>
      <c r="B735">
        <v>1</v>
      </c>
      <c r="AH735" t="s">
        <v>51</v>
      </c>
      <c r="AI735">
        <v>1</v>
      </c>
    </row>
    <row r="736" spans="1:35" x14ac:dyDescent="0.3">
      <c r="A736" t="s">
        <v>726</v>
      </c>
      <c r="B736">
        <v>1</v>
      </c>
      <c r="AH736" t="s">
        <v>216</v>
      </c>
      <c r="AI736">
        <v>1</v>
      </c>
    </row>
    <row r="737" spans="1:35" x14ac:dyDescent="0.3">
      <c r="A737" t="s">
        <v>365</v>
      </c>
      <c r="B737">
        <v>1</v>
      </c>
      <c r="AH737" t="s">
        <v>51</v>
      </c>
      <c r="AI737">
        <v>1</v>
      </c>
    </row>
    <row r="738" spans="1:35" x14ac:dyDescent="0.3">
      <c r="A738" t="s">
        <v>58</v>
      </c>
      <c r="B738">
        <v>1</v>
      </c>
      <c r="AH738" t="s">
        <v>35</v>
      </c>
      <c r="AI738">
        <v>1</v>
      </c>
    </row>
    <row r="739" spans="1:35" x14ac:dyDescent="0.3">
      <c r="A739" t="s">
        <v>130</v>
      </c>
      <c r="B739">
        <v>1</v>
      </c>
      <c r="AH739" t="s">
        <v>35</v>
      </c>
      <c r="AI739">
        <v>1</v>
      </c>
    </row>
    <row r="740" spans="1:35" x14ac:dyDescent="0.3">
      <c r="A740" t="s">
        <v>634</v>
      </c>
      <c r="B740">
        <v>1</v>
      </c>
      <c r="AH740" t="s">
        <v>1441</v>
      </c>
      <c r="AI740">
        <v>1</v>
      </c>
    </row>
    <row r="741" spans="1:35" x14ac:dyDescent="0.3">
      <c r="A741" t="s">
        <v>365</v>
      </c>
      <c r="B741">
        <v>1</v>
      </c>
      <c r="AH741" t="s">
        <v>51</v>
      </c>
      <c r="AI741">
        <v>1</v>
      </c>
    </row>
    <row r="742" spans="1:35" x14ac:dyDescent="0.3">
      <c r="A742" t="s">
        <v>52</v>
      </c>
      <c r="B742">
        <v>1</v>
      </c>
      <c r="AH742" t="s">
        <v>10</v>
      </c>
      <c r="AI742">
        <v>1</v>
      </c>
    </row>
    <row r="743" spans="1:35" x14ac:dyDescent="0.3">
      <c r="A743" t="s">
        <v>706</v>
      </c>
      <c r="B743">
        <v>1</v>
      </c>
      <c r="AH743" t="s">
        <v>633</v>
      </c>
      <c r="AI743">
        <v>1</v>
      </c>
    </row>
    <row r="744" spans="1:35" x14ac:dyDescent="0.3">
      <c r="A744" t="s">
        <v>687</v>
      </c>
      <c r="B744">
        <v>1</v>
      </c>
      <c r="AH744" t="s">
        <v>10</v>
      </c>
      <c r="AI744">
        <v>1</v>
      </c>
    </row>
    <row r="745" spans="1:35" x14ac:dyDescent="0.3">
      <c r="A745" t="s">
        <v>130</v>
      </c>
      <c r="B745">
        <v>1</v>
      </c>
      <c r="AH745" t="s">
        <v>1679</v>
      </c>
      <c r="AI745">
        <v>1</v>
      </c>
    </row>
    <row r="746" spans="1:35" x14ac:dyDescent="0.3">
      <c r="A746" t="s">
        <v>634</v>
      </c>
      <c r="B746">
        <v>1</v>
      </c>
      <c r="AH746" t="s">
        <v>452</v>
      </c>
      <c r="AI746">
        <v>1</v>
      </c>
    </row>
    <row r="747" spans="1:35" x14ac:dyDescent="0.3">
      <c r="A747" t="s">
        <v>11</v>
      </c>
      <c r="B747">
        <v>1</v>
      </c>
      <c r="AH747" t="s">
        <v>2329</v>
      </c>
      <c r="AI747">
        <v>1</v>
      </c>
    </row>
    <row r="748" spans="1:35" x14ac:dyDescent="0.3">
      <c r="A748" t="s">
        <v>243</v>
      </c>
      <c r="B748">
        <v>1</v>
      </c>
      <c r="AH748" t="s">
        <v>124</v>
      </c>
      <c r="AI748">
        <v>1</v>
      </c>
    </row>
    <row r="749" spans="1:35" x14ac:dyDescent="0.3">
      <c r="A749" t="s">
        <v>11</v>
      </c>
      <c r="B749">
        <v>1</v>
      </c>
      <c r="AH749" t="s">
        <v>297</v>
      </c>
      <c r="AI749">
        <v>1</v>
      </c>
    </row>
    <row r="750" spans="1:35" x14ac:dyDescent="0.3">
      <c r="A750" t="s">
        <v>11</v>
      </c>
      <c r="B750">
        <v>1</v>
      </c>
      <c r="AH750" t="s">
        <v>10</v>
      </c>
      <c r="AI750">
        <v>1</v>
      </c>
    </row>
    <row r="751" spans="1:35" x14ac:dyDescent="0.3">
      <c r="A751" t="s">
        <v>706</v>
      </c>
      <c r="B751">
        <v>1</v>
      </c>
      <c r="AH751" t="s">
        <v>10</v>
      </c>
      <c r="AI751">
        <v>1</v>
      </c>
    </row>
    <row r="752" spans="1:35" x14ac:dyDescent="0.3">
      <c r="A752" t="s">
        <v>23</v>
      </c>
      <c r="B752">
        <v>1</v>
      </c>
      <c r="AH752" t="s">
        <v>417</v>
      </c>
      <c r="AI752">
        <v>1</v>
      </c>
    </row>
    <row r="753" spans="1:35" x14ac:dyDescent="0.3">
      <c r="A753" t="s">
        <v>23</v>
      </c>
      <c r="B753">
        <v>1</v>
      </c>
      <c r="AH753" t="s">
        <v>436</v>
      </c>
      <c r="AI753">
        <v>1</v>
      </c>
    </row>
    <row r="754" spans="1:35" x14ac:dyDescent="0.3">
      <c r="A754" t="s">
        <v>243</v>
      </c>
      <c r="B754">
        <v>1</v>
      </c>
      <c r="AH754" t="s">
        <v>10</v>
      </c>
      <c r="AI754">
        <v>1</v>
      </c>
    </row>
    <row r="755" spans="1:35" x14ac:dyDescent="0.3">
      <c r="A755" t="s">
        <v>11</v>
      </c>
      <c r="B755">
        <v>1</v>
      </c>
      <c r="AH755" t="s">
        <v>51</v>
      </c>
      <c r="AI755">
        <v>1</v>
      </c>
    </row>
    <row r="756" spans="1:35" x14ac:dyDescent="0.3">
      <c r="A756" t="s">
        <v>365</v>
      </c>
      <c r="B756">
        <v>1</v>
      </c>
      <c r="AH756" t="s">
        <v>737</v>
      </c>
      <c r="AI756">
        <v>1</v>
      </c>
    </row>
    <row r="757" spans="1:35" x14ac:dyDescent="0.3">
      <c r="A757" t="s">
        <v>232</v>
      </c>
      <c r="B757">
        <v>1</v>
      </c>
      <c r="AH757" t="s">
        <v>104</v>
      </c>
      <c r="AI757">
        <v>1</v>
      </c>
    </row>
    <row r="758" spans="1:35" x14ac:dyDescent="0.3">
      <c r="A758" t="s">
        <v>151</v>
      </c>
      <c r="B758">
        <v>1</v>
      </c>
      <c r="AH758" t="s">
        <v>1679</v>
      </c>
      <c r="AI758">
        <v>1</v>
      </c>
    </row>
    <row r="759" spans="1:35" x14ac:dyDescent="0.3">
      <c r="A759" t="s">
        <v>23</v>
      </c>
      <c r="B759">
        <v>1</v>
      </c>
      <c r="AH759" t="s">
        <v>10</v>
      </c>
      <c r="AI759">
        <v>1</v>
      </c>
    </row>
    <row r="760" spans="1:35" x14ac:dyDescent="0.3">
      <c r="A760" t="s">
        <v>726</v>
      </c>
      <c r="B760">
        <v>1</v>
      </c>
      <c r="AH760" t="s">
        <v>51</v>
      </c>
      <c r="AI760">
        <v>1</v>
      </c>
    </row>
    <row r="761" spans="1:35" x14ac:dyDescent="0.3">
      <c r="A761" t="s">
        <v>706</v>
      </c>
      <c r="B761">
        <v>1</v>
      </c>
      <c r="AH761" t="s">
        <v>10</v>
      </c>
      <c r="AI761">
        <v>1</v>
      </c>
    </row>
    <row r="762" spans="1:35" x14ac:dyDescent="0.3">
      <c r="A762" t="s">
        <v>23</v>
      </c>
      <c r="B762">
        <v>1</v>
      </c>
      <c r="AH762" t="s">
        <v>51</v>
      </c>
      <c r="AI762">
        <v>1</v>
      </c>
    </row>
    <row r="763" spans="1:35" x14ac:dyDescent="0.3">
      <c r="A763" t="s">
        <v>98</v>
      </c>
      <c r="B763">
        <v>1</v>
      </c>
      <c r="AH763" t="s">
        <v>10</v>
      </c>
      <c r="AI763">
        <v>1</v>
      </c>
    </row>
    <row r="764" spans="1:35" x14ac:dyDescent="0.3">
      <c r="A764" t="s">
        <v>243</v>
      </c>
      <c r="B764">
        <v>1</v>
      </c>
      <c r="AH764" t="s">
        <v>216</v>
      </c>
      <c r="AI764">
        <v>1</v>
      </c>
    </row>
    <row r="765" spans="1:35" x14ac:dyDescent="0.3">
      <c r="A765" t="s">
        <v>243</v>
      </c>
      <c r="B765">
        <v>1</v>
      </c>
      <c r="AH765" t="s">
        <v>124</v>
      </c>
      <c r="AI765">
        <v>1</v>
      </c>
    </row>
    <row r="766" spans="1:35" x14ac:dyDescent="0.3">
      <c r="A766" t="s">
        <v>345</v>
      </c>
      <c r="B766">
        <v>1</v>
      </c>
      <c r="AH766" t="s">
        <v>10</v>
      </c>
      <c r="AI766">
        <v>1</v>
      </c>
    </row>
    <row r="767" spans="1:35" x14ac:dyDescent="0.3">
      <c r="A767" t="s">
        <v>58</v>
      </c>
      <c r="B767">
        <v>1</v>
      </c>
      <c r="AH767" t="s">
        <v>35</v>
      </c>
      <c r="AI767">
        <v>1</v>
      </c>
    </row>
    <row r="768" spans="1:35" x14ac:dyDescent="0.3">
      <c r="A768" t="s">
        <v>11</v>
      </c>
      <c r="B768">
        <v>1</v>
      </c>
      <c r="AH768" t="s">
        <v>10</v>
      </c>
      <c r="AI768">
        <v>1</v>
      </c>
    </row>
    <row r="769" spans="1:35" x14ac:dyDescent="0.3">
      <c r="A769" t="s">
        <v>706</v>
      </c>
      <c r="B769">
        <v>1</v>
      </c>
      <c r="AH769" t="s">
        <v>1463</v>
      </c>
      <c r="AI769">
        <v>1</v>
      </c>
    </row>
    <row r="770" spans="1:35" x14ac:dyDescent="0.3">
      <c r="A770" t="s">
        <v>29</v>
      </c>
      <c r="B770">
        <v>1</v>
      </c>
      <c r="AH770" t="s">
        <v>10</v>
      </c>
      <c r="AI770">
        <v>1</v>
      </c>
    </row>
    <row r="771" spans="1:35" x14ac:dyDescent="0.3">
      <c r="A771" t="s">
        <v>243</v>
      </c>
      <c r="B771">
        <v>1</v>
      </c>
      <c r="AH771" t="s">
        <v>10</v>
      </c>
      <c r="AI771">
        <v>1</v>
      </c>
    </row>
    <row r="772" spans="1:35" x14ac:dyDescent="0.3">
      <c r="A772" t="s">
        <v>345</v>
      </c>
      <c r="B772">
        <v>1</v>
      </c>
      <c r="AH772" t="s">
        <v>10</v>
      </c>
      <c r="AI772">
        <v>1</v>
      </c>
    </row>
    <row r="773" spans="1:35" x14ac:dyDescent="0.3">
      <c r="A773" t="s">
        <v>23</v>
      </c>
      <c r="B773">
        <v>1</v>
      </c>
      <c r="AH773" t="s">
        <v>452</v>
      </c>
      <c r="AI773">
        <v>1</v>
      </c>
    </row>
    <row r="774" spans="1:35" x14ac:dyDescent="0.3">
      <c r="A774" t="s">
        <v>17</v>
      </c>
      <c r="B774">
        <v>1</v>
      </c>
      <c r="AH774" t="s">
        <v>297</v>
      </c>
      <c r="AI774">
        <v>1</v>
      </c>
    </row>
    <row r="775" spans="1:35" x14ac:dyDescent="0.3">
      <c r="A775" t="s">
        <v>58</v>
      </c>
      <c r="B775">
        <v>1</v>
      </c>
      <c r="AH775" t="s">
        <v>1441</v>
      </c>
      <c r="AI775">
        <v>1</v>
      </c>
    </row>
    <row r="776" spans="1:35" x14ac:dyDescent="0.3">
      <c r="A776" t="s">
        <v>743</v>
      </c>
      <c r="B776">
        <v>1</v>
      </c>
      <c r="AH776" t="s">
        <v>10</v>
      </c>
      <c r="AI776">
        <v>1</v>
      </c>
    </row>
    <row r="777" spans="1:35" x14ac:dyDescent="0.3">
      <c r="A777" t="s">
        <v>29</v>
      </c>
      <c r="B777">
        <v>1</v>
      </c>
      <c r="AH777" t="s">
        <v>10</v>
      </c>
      <c r="AI777">
        <v>1</v>
      </c>
    </row>
    <row r="778" spans="1:35" x14ac:dyDescent="0.3">
      <c r="A778" t="s">
        <v>141</v>
      </c>
      <c r="B778">
        <v>1</v>
      </c>
      <c r="AH778" t="s">
        <v>51</v>
      </c>
      <c r="AI778">
        <v>1</v>
      </c>
    </row>
    <row r="779" spans="1:35" x14ac:dyDescent="0.3">
      <c r="A779" t="s">
        <v>130</v>
      </c>
      <c r="B779">
        <v>1</v>
      </c>
      <c r="AH779" t="s">
        <v>10</v>
      </c>
      <c r="AI779">
        <v>1</v>
      </c>
    </row>
    <row r="780" spans="1:35" x14ac:dyDescent="0.3">
      <c r="A780" t="s">
        <v>58</v>
      </c>
      <c r="B780">
        <v>1</v>
      </c>
      <c r="AH780" t="s">
        <v>10</v>
      </c>
      <c r="AI780">
        <v>1</v>
      </c>
    </row>
    <row r="781" spans="1:35" x14ac:dyDescent="0.3">
      <c r="A781" t="s">
        <v>365</v>
      </c>
      <c r="B781">
        <v>1</v>
      </c>
      <c r="AH781" t="s">
        <v>51</v>
      </c>
      <c r="AI781">
        <v>1</v>
      </c>
    </row>
    <row r="782" spans="1:35" x14ac:dyDescent="0.3">
      <c r="A782" t="s">
        <v>345</v>
      </c>
      <c r="B782">
        <v>1</v>
      </c>
      <c r="AH782" t="s">
        <v>297</v>
      </c>
      <c r="AI782">
        <v>1</v>
      </c>
    </row>
    <row r="783" spans="1:35" x14ac:dyDescent="0.3">
      <c r="A783" t="s">
        <v>715</v>
      </c>
      <c r="B783">
        <v>1</v>
      </c>
      <c r="AH783" t="s">
        <v>10</v>
      </c>
      <c r="AI783">
        <v>1</v>
      </c>
    </row>
    <row r="784" spans="1:35" x14ac:dyDescent="0.3">
      <c r="A784" t="s">
        <v>743</v>
      </c>
      <c r="B784">
        <v>1</v>
      </c>
      <c r="AH784" t="s">
        <v>10</v>
      </c>
      <c r="AI784">
        <v>1</v>
      </c>
    </row>
    <row r="785" spans="1:35" x14ac:dyDescent="0.3">
      <c r="A785" t="s">
        <v>23</v>
      </c>
      <c r="B785">
        <v>1</v>
      </c>
      <c r="AH785" t="s">
        <v>10</v>
      </c>
      <c r="AI785">
        <v>1</v>
      </c>
    </row>
    <row r="786" spans="1:35" x14ac:dyDescent="0.3">
      <c r="A786" t="s">
        <v>232</v>
      </c>
      <c r="B786">
        <v>1</v>
      </c>
      <c r="AH786" t="s">
        <v>10</v>
      </c>
      <c r="AI786">
        <v>1</v>
      </c>
    </row>
    <row r="787" spans="1:35" x14ac:dyDescent="0.3">
      <c r="A787" t="s">
        <v>743</v>
      </c>
      <c r="B787">
        <v>1</v>
      </c>
      <c r="AH787" t="s">
        <v>10</v>
      </c>
      <c r="AI787">
        <v>1</v>
      </c>
    </row>
    <row r="788" spans="1:35" x14ac:dyDescent="0.3">
      <c r="A788" t="s">
        <v>687</v>
      </c>
      <c r="B788">
        <v>1</v>
      </c>
      <c r="AH788" t="s">
        <v>51</v>
      </c>
      <c r="AI788">
        <v>1</v>
      </c>
    </row>
    <row r="789" spans="1:35" x14ac:dyDescent="0.3">
      <c r="A789" t="s">
        <v>11</v>
      </c>
      <c r="B789">
        <v>1</v>
      </c>
      <c r="AH789" t="s">
        <v>216</v>
      </c>
      <c r="AI789">
        <v>1</v>
      </c>
    </row>
    <row r="790" spans="1:35" x14ac:dyDescent="0.3">
      <c r="A790" t="s">
        <v>560</v>
      </c>
      <c r="B790">
        <v>1</v>
      </c>
      <c r="AH790" t="s">
        <v>35</v>
      </c>
      <c r="AI790">
        <v>1</v>
      </c>
    </row>
    <row r="791" spans="1:35" x14ac:dyDescent="0.3">
      <c r="A791" t="s">
        <v>64</v>
      </c>
      <c r="B791">
        <v>1</v>
      </c>
      <c r="AH791" t="s">
        <v>124</v>
      </c>
      <c r="AI791">
        <v>1</v>
      </c>
    </row>
    <row r="792" spans="1:35" x14ac:dyDescent="0.3">
      <c r="A792" t="s">
        <v>151</v>
      </c>
      <c r="B792">
        <v>1</v>
      </c>
      <c r="AH792" t="s">
        <v>2672</v>
      </c>
      <c r="AI792">
        <v>1</v>
      </c>
    </row>
    <row r="793" spans="1:35" x14ac:dyDescent="0.3">
      <c r="A793" t="s">
        <v>141</v>
      </c>
      <c r="B793">
        <v>1</v>
      </c>
      <c r="AH793" t="s">
        <v>2925</v>
      </c>
      <c r="AI793">
        <v>1</v>
      </c>
    </row>
    <row r="794" spans="1:35" x14ac:dyDescent="0.3">
      <c r="A794" t="s">
        <v>151</v>
      </c>
      <c r="B794">
        <v>1</v>
      </c>
      <c r="AH794" t="s">
        <v>1617</v>
      </c>
      <c r="AI794">
        <v>1</v>
      </c>
    </row>
    <row r="795" spans="1:35" x14ac:dyDescent="0.3">
      <c r="A795" t="s">
        <v>23</v>
      </c>
      <c r="B795">
        <v>1</v>
      </c>
      <c r="AH795" t="s">
        <v>401</v>
      </c>
      <c r="AI795">
        <v>1</v>
      </c>
    </row>
    <row r="796" spans="1:35" x14ac:dyDescent="0.3">
      <c r="A796" t="s">
        <v>11</v>
      </c>
      <c r="B796">
        <v>1</v>
      </c>
      <c r="AH796" t="s">
        <v>10</v>
      </c>
      <c r="AI796">
        <v>1</v>
      </c>
    </row>
    <row r="797" spans="1:35" x14ac:dyDescent="0.3">
      <c r="A797" t="s">
        <v>743</v>
      </c>
      <c r="B797">
        <v>1</v>
      </c>
      <c r="AH797" t="s">
        <v>10</v>
      </c>
      <c r="AI797">
        <v>1</v>
      </c>
    </row>
    <row r="798" spans="1:35" x14ac:dyDescent="0.3">
      <c r="A798" t="s">
        <v>23</v>
      </c>
      <c r="B798">
        <v>1</v>
      </c>
      <c r="AH798" t="s">
        <v>51</v>
      </c>
      <c r="AI798">
        <v>1</v>
      </c>
    </row>
    <row r="799" spans="1:35" x14ac:dyDescent="0.3">
      <c r="A799" t="s">
        <v>250</v>
      </c>
      <c r="B799">
        <v>1</v>
      </c>
      <c r="AH799" t="s">
        <v>124</v>
      </c>
      <c r="AI799">
        <v>1</v>
      </c>
    </row>
    <row r="800" spans="1:35" x14ac:dyDescent="0.3">
      <c r="A800" t="s">
        <v>345</v>
      </c>
      <c r="B800">
        <v>1</v>
      </c>
      <c r="AH800" t="s">
        <v>51</v>
      </c>
      <c r="AI800">
        <v>1</v>
      </c>
    </row>
    <row r="801" spans="1:35" x14ac:dyDescent="0.3">
      <c r="A801" t="s">
        <v>715</v>
      </c>
      <c r="B801">
        <v>1</v>
      </c>
      <c r="AH801" t="s">
        <v>124</v>
      </c>
      <c r="AI801">
        <v>1</v>
      </c>
    </row>
    <row r="802" spans="1:35" x14ac:dyDescent="0.3">
      <c r="A802" t="s">
        <v>365</v>
      </c>
      <c r="B802">
        <v>1</v>
      </c>
      <c r="AH802" t="s">
        <v>51</v>
      </c>
      <c r="AI802">
        <v>1</v>
      </c>
    </row>
    <row r="803" spans="1:35" x14ac:dyDescent="0.3">
      <c r="A803" t="s">
        <v>743</v>
      </c>
      <c r="B803">
        <v>1</v>
      </c>
      <c r="AH803" t="s">
        <v>10</v>
      </c>
      <c r="AI803">
        <v>1</v>
      </c>
    </row>
    <row r="804" spans="1:35" x14ac:dyDescent="0.3">
      <c r="A804" t="s">
        <v>11</v>
      </c>
      <c r="B804">
        <v>1</v>
      </c>
      <c r="AH804" t="s">
        <v>1079</v>
      </c>
      <c r="AI804">
        <v>1</v>
      </c>
    </row>
    <row r="805" spans="1:35" x14ac:dyDescent="0.3">
      <c r="A805" t="s">
        <v>29</v>
      </c>
      <c r="B805">
        <v>1</v>
      </c>
      <c r="AH805" t="s">
        <v>1172</v>
      </c>
      <c r="AI805">
        <v>1</v>
      </c>
    </row>
    <row r="806" spans="1:35" x14ac:dyDescent="0.3">
      <c r="A806" t="s">
        <v>130</v>
      </c>
      <c r="B806">
        <v>1</v>
      </c>
      <c r="AH806" t="s">
        <v>452</v>
      </c>
      <c r="AI806">
        <v>1</v>
      </c>
    </row>
    <row r="807" spans="1:35" x14ac:dyDescent="0.3">
      <c r="A807" t="s">
        <v>11</v>
      </c>
      <c r="B807">
        <v>1</v>
      </c>
      <c r="AH807" t="s">
        <v>10</v>
      </c>
      <c r="AI807">
        <v>1</v>
      </c>
    </row>
    <row r="808" spans="1:35" x14ac:dyDescent="0.3">
      <c r="A808" t="s">
        <v>17</v>
      </c>
      <c r="B808">
        <v>1</v>
      </c>
      <c r="AH808" t="s">
        <v>10</v>
      </c>
      <c r="AI808">
        <v>1</v>
      </c>
    </row>
    <row r="809" spans="1:35" x14ac:dyDescent="0.3">
      <c r="A809" t="s">
        <v>345</v>
      </c>
      <c r="B809">
        <v>1</v>
      </c>
      <c r="AH809" t="s">
        <v>205</v>
      </c>
      <c r="AI809">
        <v>1</v>
      </c>
    </row>
    <row r="810" spans="1:35" x14ac:dyDescent="0.3">
      <c r="A810" t="s">
        <v>560</v>
      </c>
      <c r="B810">
        <v>1</v>
      </c>
      <c r="AH810" t="s">
        <v>10</v>
      </c>
      <c r="AI810">
        <v>1</v>
      </c>
    </row>
    <row r="811" spans="1:35" x14ac:dyDescent="0.3">
      <c r="A811" t="s">
        <v>634</v>
      </c>
      <c r="B811">
        <v>1</v>
      </c>
      <c r="AH811" t="s">
        <v>10</v>
      </c>
      <c r="AI811">
        <v>1</v>
      </c>
    </row>
    <row r="812" spans="1:35" x14ac:dyDescent="0.3">
      <c r="A812" t="s">
        <v>345</v>
      </c>
      <c r="B812">
        <v>1</v>
      </c>
      <c r="AH812" t="s">
        <v>737</v>
      </c>
      <c r="AI812">
        <v>1</v>
      </c>
    </row>
    <row r="813" spans="1:35" x14ac:dyDescent="0.3">
      <c r="A813" t="s">
        <v>23</v>
      </c>
      <c r="B813">
        <v>1</v>
      </c>
      <c r="AH813" t="s">
        <v>35</v>
      </c>
      <c r="AI813">
        <v>1</v>
      </c>
    </row>
    <row r="814" spans="1:35" x14ac:dyDescent="0.3">
      <c r="A814" t="s">
        <v>174</v>
      </c>
      <c r="B814">
        <v>1</v>
      </c>
      <c r="AH814" t="s">
        <v>10</v>
      </c>
      <c r="AI814">
        <v>1</v>
      </c>
    </row>
    <row r="815" spans="1:35" x14ac:dyDescent="0.3">
      <c r="A815" t="s">
        <v>11</v>
      </c>
      <c r="B815">
        <v>1</v>
      </c>
      <c r="AH815" t="s">
        <v>10</v>
      </c>
      <c r="AI815">
        <v>1</v>
      </c>
    </row>
    <row r="816" spans="1:35" x14ac:dyDescent="0.3">
      <c r="A816" t="s">
        <v>58</v>
      </c>
      <c r="B816">
        <v>1</v>
      </c>
      <c r="AH816" t="s">
        <v>51</v>
      </c>
      <c r="AI816">
        <v>1</v>
      </c>
    </row>
    <row r="817" spans="1:35" x14ac:dyDescent="0.3">
      <c r="A817" t="s">
        <v>29</v>
      </c>
      <c r="B817">
        <v>1</v>
      </c>
      <c r="AH817" t="s">
        <v>417</v>
      </c>
      <c r="AI817">
        <v>1</v>
      </c>
    </row>
    <row r="818" spans="1:35" x14ac:dyDescent="0.3">
      <c r="A818" t="s">
        <v>250</v>
      </c>
      <c r="B818">
        <v>1</v>
      </c>
      <c r="AH818" t="s">
        <v>10</v>
      </c>
      <c r="AI818">
        <v>1</v>
      </c>
    </row>
    <row r="819" spans="1:35" x14ac:dyDescent="0.3">
      <c r="A819" t="s">
        <v>715</v>
      </c>
      <c r="B819">
        <v>1</v>
      </c>
      <c r="AH819" t="s">
        <v>10</v>
      </c>
      <c r="AI819">
        <v>1</v>
      </c>
    </row>
    <row r="820" spans="1:35" x14ac:dyDescent="0.3">
      <c r="A820" t="s">
        <v>64</v>
      </c>
      <c r="B820">
        <v>1</v>
      </c>
      <c r="AH820" t="s">
        <v>10</v>
      </c>
      <c r="AI820">
        <v>1</v>
      </c>
    </row>
    <row r="821" spans="1:35" x14ac:dyDescent="0.3">
      <c r="A821" t="s">
        <v>11</v>
      </c>
      <c r="B821">
        <v>1</v>
      </c>
      <c r="AH821" t="s">
        <v>1172</v>
      </c>
      <c r="AI821">
        <v>1</v>
      </c>
    </row>
    <row r="822" spans="1:35" x14ac:dyDescent="0.3">
      <c r="A822" t="s">
        <v>23</v>
      </c>
      <c r="B822">
        <v>1</v>
      </c>
      <c r="AH822" t="s">
        <v>1079</v>
      </c>
      <c r="AI822">
        <v>1</v>
      </c>
    </row>
    <row r="823" spans="1:35" x14ac:dyDescent="0.3">
      <c r="A823" t="s">
        <v>29</v>
      </c>
      <c r="B823">
        <v>1</v>
      </c>
      <c r="AH823" t="s">
        <v>10</v>
      </c>
      <c r="AI823">
        <v>1</v>
      </c>
    </row>
    <row r="824" spans="1:35" x14ac:dyDescent="0.3">
      <c r="A824" t="s">
        <v>141</v>
      </c>
      <c r="B824">
        <v>1</v>
      </c>
      <c r="AH824" t="s">
        <v>10</v>
      </c>
      <c r="AI824">
        <v>1</v>
      </c>
    </row>
    <row r="825" spans="1:35" x14ac:dyDescent="0.3">
      <c r="A825" t="s">
        <v>174</v>
      </c>
      <c r="B825">
        <v>1</v>
      </c>
      <c r="AH825" t="s">
        <v>10</v>
      </c>
      <c r="AI825">
        <v>1</v>
      </c>
    </row>
    <row r="826" spans="1:35" x14ac:dyDescent="0.3">
      <c r="A826" t="s">
        <v>174</v>
      </c>
      <c r="B826">
        <v>1</v>
      </c>
      <c r="AH826" t="s">
        <v>10</v>
      </c>
      <c r="AI826">
        <v>1</v>
      </c>
    </row>
    <row r="827" spans="1:35" x14ac:dyDescent="0.3">
      <c r="A827" t="s">
        <v>64</v>
      </c>
      <c r="B827">
        <v>1</v>
      </c>
      <c r="AH827" t="s">
        <v>10</v>
      </c>
      <c r="AI827">
        <v>1</v>
      </c>
    </row>
    <row r="828" spans="1:35" x14ac:dyDescent="0.3">
      <c r="A828" t="s">
        <v>11</v>
      </c>
      <c r="B828">
        <v>1</v>
      </c>
      <c r="AH828" t="s">
        <v>10</v>
      </c>
      <c r="AI828">
        <v>1</v>
      </c>
    </row>
    <row r="829" spans="1:35" x14ac:dyDescent="0.3">
      <c r="A829" t="s">
        <v>23</v>
      </c>
      <c r="B829">
        <v>1</v>
      </c>
      <c r="AH829" t="s">
        <v>51</v>
      </c>
      <c r="AI829">
        <v>1</v>
      </c>
    </row>
    <row r="830" spans="1:35" x14ac:dyDescent="0.3">
      <c r="A830" t="s">
        <v>130</v>
      </c>
      <c r="B830">
        <v>1</v>
      </c>
      <c r="AH830" t="s">
        <v>1679</v>
      </c>
      <c r="AI830">
        <v>1</v>
      </c>
    </row>
    <row r="831" spans="1:35" x14ac:dyDescent="0.3">
      <c r="A831" t="s">
        <v>250</v>
      </c>
      <c r="B831">
        <v>1</v>
      </c>
      <c r="AH831" t="s">
        <v>1441</v>
      </c>
      <c r="AI831">
        <v>1</v>
      </c>
    </row>
    <row r="832" spans="1:35" x14ac:dyDescent="0.3">
      <c r="A832" t="s">
        <v>560</v>
      </c>
      <c r="B832">
        <v>1</v>
      </c>
      <c r="AH832" t="s">
        <v>104</v>
      </c>
      <c r="AI832">
        <v>1</v>
      </c>
    </row>
    <row r="833" spans="1:35" x14ac:dyDescent="0.3">
      <c r="A833" t="s">
        <v>743</v>
      </c>
      <c r="B833">
        <v>1</v>
      </c>
      <c r="AH833" t="s">
        <v>10</v>
      </c>
      <c r="AI833">
        <v>1</v>
      </c>
    </row>
    <row r="834" spans="1:35" x14ac:dyDescent="0.3">
      <c r="A834" t="s">
        <v>726</v>
      </c>
      <c r="B834">
        <v>1</v>
      </c>
      <c r="AH834" t="s">
        <v>51</v>
      </c>
      <c r="AI834">
        <v>1</v>
      </c>
    </row>
    <row r="835" spans="1:35" x14ac:dyDescent="0.3">
      <c r="A835" t="s">
        <v>464</v>
      </c>
      <c r="B835">
        <v>1</v>
      </c>
      <c r="AH835" t="s">
        <v>35</v>
      </c>
      <c r="AI835">
        <v>1</v>
      </c>
    </row>
    <row r="836" spans="1:35" x14ac:dyDescent="0.3">
      <c r="A836" t="s">
        <v>345</v>
      </c>
      <c r="B836">
        <v>1</v>
      </c>
      <c r="AH836" t="s">
        <v>10</v>
      </c>
      <c r="AI836">
        <v>1</v>
      </c>
    </row>
    <row r="837" spans="1:35" x14ac:dyDescent="0.3">
      <c r="A837" t="s">
        <v>345</v>
      </c>
      <c r="B837">
        <v>1</v>
      </c>
      <c r="AH837" t="s">
        <v>10</v>
      </c>
      <c r="AI837">
        <v>1</v>
      </c>
    </row>
    <row r="838" spans="1:35" x14ac:dyDescent="0.3">
      <c r="A838" t="s">
        <v>130</v>
      </c>
      <c r="B838">
        <v>1</v>
      </c>
      <c r="AH838" t="s">
        <v>51</v>
      </c>
      <c r="AI838">
        <v>1</v>
      </c>
    </row>
    <row r="839" spans="1:35" x14ac:dyDescent="0.3">
      <c r="A839" t="s">
        <v>11</v>
      </c>
      <c r="B839">
        <v>1</v>
      </c>
      <c r="AH839" t="s">
        <v>51</v>
      </c>
      <c r="AI839">
        <v>1</v>
      </c>
    </row>
    <row r="840" spans="1:35" x14ac:dyDescent="0.3">
      <c r="A840" t="s">
        <v>365</v>
      </c>
      <c r="B840">
        <v>1</v>
      </c>
      <c r="AH840" t="s">
        <v>10</v>
      </c>
      <c r="AI840">
        <v>1</v>
      </c>
    </row>
    <row r="841" spans="1:35" x14ac:dyDescent="0.3">
      <c r="A841" t="s">
        <v>232</v>
      </c>
      <c r="B841">
        <v>1</v>
      </c>
      <c r="AH841" t="s">
        <v>3043</v>
      </c>
      <c r="AI841">
        <v>1</v>
      </c>
    </row>
    <row r="842" spans="1:35" x14ac:dyDescent="0.3">
      <c r="A842" t="s">
        <v>687</v>
      </c>
      <c r="B842">
        <v>1</v>
      </c>
      <c r="AH842" t="s">
        <v>696</v>
      </c>
      <c r="AI842">
        <v>1</v>
      </c>
    </row>
    <row r="843" spans="1:35" x14ac:dyDescent="0.3">
      <c r="A843" t="s">
        <v>151</v>
      </c>
      <c r="B843">
        <v>1</v>
      </c>
      <c r="AH843" t="s">
        <v>2172</v>
      </c>
      <c r="AI843">
        <v>1</v>
      </c>
    </row>
    <row r="844" spans="1:35" x14ac:dyDescent="0.3">
      <c r="A844" t="s">
        <v>243</v>
      </c>
      <c r="B844">
        <v>1</v>
      </c>
      <c r="AH844" t="s">
        <v>10</v>
      </c>
      <c r="AI844">
        <v>1</v>
      </c>
    </row>
    <row r="845" spans="1:35" x14ac:dyDescent="0.3">
      <c r="A845" t="s">
        <v>23</v>
      </c>
      <c r="B845">
        <v>1</v>
      </c>
      <c r="AH845" t="s">
        <v>205</v>
      </c>
      <c r="AI845">
        <v>1</v>
      </c>
    </row>
    <row r="846" spans="1:35" x14ac:dyDescent="0.3">
      <c r="A846" t="s">
        <v>232</v>
      </c>
      <c r="B846">
        <v>1</v>
      </c>
      <c r="AH846" t="s">
        <v>35</v>
      </c>
      <c r="AI846">
        <v>1</v>
      </c>
    </row>
    <row r="847" spans="1:35" x14ac:dyDescent="0.3">
      <c r="A847" t="s">
        <v>345</v>
      </c>
      <c r="B847">
        <v>1</v>
      </c>
      <c r="AH847" t="s">
        <v>10</v>
      </c>
      <c r="AI847">
        <v>1</v>
      </c>
    </row>
    <row r="848" spans="1:35" x14ac:dyDescent="0.3">
      <c r="A848" t="s">
        <v>232</v>
      </c>
      <c r="B848">
        <v>1</v>
      </c>
      <c r="AH848" t="s">
        <v>104</v>
      </c>
      <c r="AI848">
        <v>1</v>
      </c>
    </row>
    <row r="849" spans="1:35" x14ac:dyDescent="0.3">
      <c r="A849" t="s">
        <v>52</v>
      </c>
      <c r="B849">
        <v>1</v>
      </c>
      <c r="AH849" t="s">
        <v>10</v>
      </c>
      <c r="AI849">
        <v>1</v>
      </c>
    </row>
    <row r="850" spans="1:35" x14ac:dyDescent="0.3">
      <c r="A850" t="s">
        <v>23</v>
      </c>
      <c r="B850">
        <v>1</v>
      </c>
      <c r="AH850" t="s">
        <v>205</v>
      </c>
      <c r="AI850">
        <v>1</v>
      </c>
    </row>
    <row r="851" spans="1:35" x14ac:dyDescent="0.3">
      <c r="A851" t="s">
        <v>11</v>
      </c>
      <c r="B851">
        <v>1</v>
      </c>
      <c r="AH851" t="s">
        <v>2364</v>
      </c>
      <c r="AI851">
        <v>1</v>
      </c>
    </row>
    <row r="852" spans="1:35" x14ac:dyDescent="0.3">
      <c r="A852" t="s">
        <v>17</v>
      </c>
      <c r="B852">
        <v>1</v>
      </c>
      <c r="AH852" t="s">
        <v>10</v>
      </c>
      <c r="AI852">
        <v>1</v>
      </c>
    </row>
    <row r="853" spans="1:35" x14ac:dyDescent="0.3">
      <c r="A853" t="s">
        <v>510</v>
      </c>
      <c r="B853">
        <v>1</v>
      </c>
      <c r="AH853" t="s">
        <v>51</v>
      </c>
      <c r="AI853">
        <v>1</v>
      </c>
    </row>
    <row r="854" spans="1:35" x14ac:dyDescent="0.3">
      <c r="A854" t="s">
        <v>29</v>
      </c>
      <c r="B854">
        <v>1</v>
      </c>
      <c r="AH854" t="s">
        <v>417</v>
      </c>
      <c r="AI854">
        <v>1</v>
      </c>
    </row>
    <row r="855" spans="1:35" x14ac:dyDescent="0.3">
      <c r="A855" t="s">
        <v>52</v>
      </c>
      <c r="B855">
        <v>1</v>
      </c>
      <c r="AH855" t="s">
        <v>10</v>
      </c>
      <c r="AI855">
        <v>1</v>
      </c>
    </row>
    <row r="856" spans="1:35" x14ac:dyDescent="0.3">
      <c r="A856" t="s">
        <v>11</v>
      </c>
      <c r="B856">
        <v>1</v>
      </c>
      <c r="AH856" t="s">
        <v>2364</v>
      </c>
      <c r="AI856">
        <v>1</v>
      </c>
    </row>
    <row r="857" spans="1:35" x14ac:dyDescent="0.3">
      <c r="A857" t="s">
        <v>29</v>
      </c>
      <c r="B857">
        <v>1</v>
      </c>
      <c r="AH857" t="s">
        <v>1172</v>
      </c>
      <c r="AI857">
        <v>1</v>
      </c>
    </row>
    <row r="858" spans="1:35" x14ac:dyDescent="0.3">
      <c r="A858" t="s">
        <v>345</v>
      </c>
      <c r="B858">
        <v>1</v>
      </c>
      <c r="AH858" t="s">
        <v>51</v>
      </c>
      <c r="AI858">
        <v>1</v>
      </c>
    </row>
    <row r="859" spans="1:35" x14ac:dyDescent="0.3">
      <c r="A859" t="s">
        <v>232</v>
      </c>
      <c r="B859">
        <v>1</v>
      </c>
      <c r="AH859" t="s">
        <v>205</v>
      </c>
      <c r="AI859">
        <v>1</v>
      </c>
    </row>
    <row r="860" spans="1:35" x14ac:dyDescent="0.3">
      <c r="A860" t="s">
        <v>715</v>
      </c>
      <c r="B860">
        <v>1</v>
      </c>
      <c r="AH860" t="s">
        <v>10</v>
      </c>
      <c r="AI860">
        <v>1</v>
      </c>
    </row>
    <row r="861" spans="1:35" x14ac:dyDescent="0.3">
      <c r="A861" t="s">
        <v>58</v>
      </c>
      <c r="B861">
        <v>1</v>
      </c>
      <c r="AH861" t="s">
        <v>737</v>
      </c>
      <c r="AI861">
        <v>1</v>
      </c>
    </row>
    <row r="862" spans="1:35" x14ac:dyDescent="0.3">
      <c r="A862" t="s">
        <v>743</v>
      </c>
      <c r="B862">
        <v>1</v>
      </c>
      <c r="AH862" t="s">
        <v>124</v>
      </c>
      <c r="AI862">
        <v>1</v>
      </c>
    </row>
    <row r="863" spans="1:35" x14ac:dyDescent="0.3">
      <c r="A863" t="s">
        <v>634</v>
      </c>
      <c r="B863">
        <v>1</v>
      </c>
      <c r="AH863" t="s">
        <v>51</v>
      </c>
      <c r="AI863">
        <v>1</v>
      </c>
    </row>
    <row r="864" spans="1:35" x14ac:dyDescent="0.3">
      <c r="A864" t="s">
        <v>23</v>
      </c>
      <c r="B864">
        <v>1</v>
      </c>
      <c r="AH864" t="s">
        <v>35</v>
      </c>
      <c r="AI864">
        <v>1</v>
      </c>
    </row>
    <row r="865" spans="1:35" x14ac:dyDescent="0.3">
      <c r="A865" t="s">
        <v>174</v>
      </c>
      <c r="B865">
        <v>1</v>
      </c>
      <c r="AH865" t="s">
        <v>10</v>
      </c>
      <c r="AI865">
        <v>1</v>
      </c>
    </row>
    <row r="866" spans="1:35" x14ac:dyDescent="0.3">
      <c r="A866" t="s">
        <v>792</v>
      </c>
      <c r="B866">
        <v>1</v>
      </c>
      <c r="AH866" t="s">
        <v>51</v>
      </c>
      <c r="AI866">
        <v>1</v>
      </c>
    </row>
    <row r="867" spans="1:35" x14ac:dyDescent="0.3">
      <c r="A867" t="s">
        <v>345</v>
      </c>
      <c r="B867">
        <v>1</v>
      </c>
      <c r="AH867" t="s">
        <v>10</v>
      </c>
      <c r="AI867">
        <v>1</v>
      </c>
    </row>
    <row r="868" spans="1:35" x14ac:dyDescent="0.3">
      <c r="A868" t="s">
        <v>345</v>
      </c>
      <c r="B868">
        <v>1</v>
      </c>
      <c r="AH868" t="s">
        <v>10</v>
      </c>
      <c r="AI868">
        <v>1</v>
      </c>
    </row>
    <row r="869" spans="1:35" x14ac:dyDescent="0.3">
      <c r="A869" t="s">
        <v>58</v>
      </c>
      <c r="B869">
        <v>1</v>
      </c>
      <c r="AH869" t="s">
        <v>10</v>
      </c>
      <c r="AI869">
        <v>1</v>
      </c>
    </row>
    <row r="870" spans="1:35" x14ac:dyDescent="0.3">
      <c r="A870" t="s">
        <v>58</v>
      </c>
      <c r="B870">
        <v>1</v>
      </c>
      <c r="AH870" t="s">
        <v>124</v>
      </c>
      <c r="AI870">
        <v>1</v>
      </c>
    </row>
    <row r="871" spans="1:35" x14ac:dyDescent="0.3">
      <c r="A871" t="s">
        <v>17</v>
      </c>
      <c r="B871">
        <v>1</v>
      </c>
      <c r="AH871" t="s">
        <v>35</v>
      </c>
      <c r="AI871">
        <v>1</v>
      </c>
    </row>
    <row r="872" spans="1:35" x14ac:dyDescent="0.3">
      <c r="A872" t="s">
        <v>130</v>
      </c>
      <c r="B872">
        <v>1</v>
      </c>
      <c r="AH872" t="s">
        <v>10</v>
      </c>
      <c r="AI872">
        <v>1</v>
      </c>
    </row>
    <row r="873" spans="1:35" x14ac:dyDescent="0.3">
      <c r="A873" t="s">
        <v>687</v>
      </c>
      <c r="B873">
        <v>1</v>
      </c>
      <c r="AH873" t="s">
        <v>104</v>
      </c>
      <c r="AI873">
        <v>1</v>
      </c>
    </row>
    <row r="874" spans="1:35" x14ac:dyDescent="0.3">
      <c r="A874" t="s">
        <v>706</v>
      </c>
      <c r="B874">
        <v>1</v>
      </c>
      <c r="AH874" t="s">
        <v>10</v>
      </c>
      <c r="AI874">
        <v>1</v>
      </c>
    </row>
    <row r="875" spans="1:35" x14ac:dyDescent="0.3">
      <c r="A875" t="s">
        <v>250</v>
      </c>
      <c r="B875">
        <v>1</v>
      </c>
      <c r="AH875" t="s">
        <v>10</v>
      </c>
      <c r="AI875">
        <v>1</v>
      </c>
    </row>
    <row r="876" spans="1:35" x14ac:dyDescent="0.3">
      <c r="A876" t="s">
        <v>11</v>
      </c>
      <c r="B876">
        <v>1</v>
      </c>
      <c r="AH876" t="s">
        <v>10</v>
      </c>
      <c r="AI876">
        <v>1</v>
      </c>
    </row>
    <row r="877" spans="1:35" x14ac:dyDescent="0.3">
      <c r="A877" t="s">
        <v>58</v>
      </c>
      <c r="B877">
        <v>1</v>
      </c>
      <c r="AH877" t="s">
        <v>249</v>
      </c>
      <c r="AI877">
        <v>1</v>
      </c>
    </row>
    <row r="878" spans="1:35" x14ac:dyDescent="0.3">
      <c r="A878" t="s">
        <v>726</v>
      </c>
      <c r="B878">
        <v>1</v>
      </c>
      <c r="AH878" t="s">
        <v>216</v>
      </c>
      <c r="AI878">
        <v>1</v>
      </c>
    </row>
    <row r="879" spans="1:35" x14ac:dyDescent="0.3">
      <c r="A879" t="s">
        <v>243</v>
      </c>
      <c r="B879">
        <v>1</v>
      </c>
      <c r="AH879" t="s">
        <v>51</v>
      </c>
      <c r="AI879">
        <v>1</v>
      </c>
    </row>
    <row r="880" spans="1:35" x14ac:dyDescent="0.3">
      <c r="A880" t="s">
        <v>58</v>
      </c>
      <c r="B880">
        <v>1</v>
      </c>
      <c r="AH880" t="s">
        <v>452</v>
      </c>
      <c r="AI880">
        <v>1</v>
      </c>
    </row>
    <row r="881" spans="1:35" x14ac:dyDescent="0.3">
      <c r="A881" t="s">
        <v>64</v>
      </c>
      <c r="B881">
        <v>1</v>
      </c>
      <c r="AH881" t="s">
        <v>10</v>
      </c>
      <c r="AI881">
        <v>1</v>
      </c>
    </row>
    <row r="882" spans="1:35" x14ac:dyDescent="0.3">
      <c r="A882" t="s">
        <v>52</v>
      </c>
      <c r="B882">
        <v>1</v>
      </c>
      <c r="AH882" t="s">
        <v>104</v>
      </c>
      <c r="AI882">
        <v>1</v>
      </c>
    </row>
    <row r="883" spans="1:35" x14ac:dyDescent="0.3">
      <c r="A883" t="s">
        <v>706</v>
      </c>
      <c r="B883">
        <v>1</v>
      </c>
      <c r="AH883" t="s">
        <v>696</v>
      </c>
      <c r="AI883">
        <v>1</v>
      </c>
    </row>
    <row r="884" spans="1:35" x14ac:dyDescent="0.3">
      <c r="A884" t="s">
        <v>58</v>
      </c>
      <c r="B884">
        <v>1</v>
      </c>
      <c r="AH884" t="s">
        <v>2329</v>
      </c>
      <c r="AI884">
        <v>1</v>
      </c>
    </row>
    <row r="885" spans="1:35" x14ac:dyDescent="0.3">
      <c r="A885" t="s">
        <v>29</v>
      </c>
      <c r="B885">
        <v>1</v>
      </c>
      <c r="AH885" t="s">
        <v>458</v>
      </c>
      <c r="AI885">
        <v>1</v>
      </c>
    </row>
    <row r="886" spans="1:35" x14ac:dyDescent="0.3">
      <c r="A886" t="s">
        <v>58</v>
      </c>
      <c r="B886">
        <v>1</v>
      </c>
      <c r="AH886" t="s">
        <v>584</v>
      </c>
      <c r="AI886">
        <v>1</v>
      </c>
    </row>
    <row r="887" spans="1:35" x14ac:dyDescent="0.3">
      <c r="A887" t="s">
        <v>130</v>
      </c>
      <c r="B887">
        <v>1</v>
      </c>
      <c r="AH887" t="s">
        <v>608</v>
      </c>
      <c r="AI887">
        <v>1</v>
      </c>
    </row>
    <row r="888" spans="1:35" x14ac:dyDescent="0.3">
      <c r="A888" t="s">
        <v>743</v>
      </c>
      <c r="B888">
        <v>1</v>
      </c>
      <c r="AH888" t="s">
        <v>35</v>
      </c>
      <c r="AI888">
        <v>1</v>
      </c>
    </row>
    <row r="889" spans="1:35" x14ac:dyDescent="0.3">
      <c r="A889" t="s">
        <v>23</v>
      </c>
      <c r="B889">
        <v>1</v>
      </c>
      <c r="AH889" t="s">
        <v>452</v>
      </c>
      <c r="AI889">
        <v>1</v>
      </c>
    </row>
    <row r="890" spans="1:35" x14ac:dyDescent="0.3">
      <c r="A890" t="s">
        <v>726</v>
      </c>
      <c r="B890">
        <v>1</v>
      </c>
      <c r="AH890" t="s">
        <v>1992</v>
      </c>
      <c r="AI890">
        <v>1</v>
      </c>
    </row>
    <row r="891" spans="1:35" x14ac:dyDescent="0.3">
      <c r="A891" t="s">
        <v>243</v>
      </c>
      <c r="B891">
        <v>1</v>
      </c>
      <c r="AH891" t="s">
        <v>205</v>
      </c>
      <c r="AI891">
        <v>1</v>
      </c>
    </row>
    <row r="892" spans="1:35" x14ac:dyDescent="0.3">
      <c r="A892" t="s">
        <v>11</v>
      </c>
      <c r="B892">
        <v>1</v>
      </c>
      <c r="AH892" t="s">
        <v>2925</v>
      </c>
      <c r="AI892">
        <v>1</v>
      </c>
    </row>
    <row r="893" spans="1:35" x14ac:dyDescent="0.3">
      <c r="A893" t="s">
        <v>23</v>
      </c>
      <c r="B893">
        <v>1</v>
      </c>
      <c r="AH893" t="s">
        <v>10</v>
      </c>
      <c r="AI893">
        <v>1</v>
      </c>
    </row>
    <row r="894" spans="1:35" x14ac:dyDescent="0.3">
      <c r="A894" t="s">
        <v>687</v>
      </c>
      <c r="B894">
        <v>1</v>
      </c>
      <c r="AH894" t="s">
        <v>10</v>
      </c>
      <c r="AI894">
        <v>1</v>
      </c>
    </row>
    <row r="895" spans="1:35" x14ac:dyDescent="0.3">
      <c r="A895" t="s">
        <v>687</v>
      </c>
      <c r="B895">
        <v>1</v>
      </c>
      <c r="AH895" t="s">
        <v>51</v>
      </c>
      <c r="AI895">
        <v>1</v>
      </c>
    </row>
    <row r="896" spans="1:35" x14ac:dyDescent="0.3">
      <c r="A896" t="s">
        <v>151</v>
      </c>
      <c r="B896">
        <v>1</v>
      </c>
      <c r="AH896" t="s">
        <v>35</v>
      </c>
      <c r="AI896">
        <v>1</v>
      </c>
    </row>
    <row r="897" spans="1:35" x14ac:dyDescent="0.3">
      <c r="A897" t="s">
        <v>151</v>
      </c>
      <c r="B897">
        <v>1</v>
      </c>
      <c r="AH897" t="s">
        <v>3161</v>
      </c>
      <c r="AI897">
        <v>1</v>
      </c>
    </row>
    <row r="898" spans="1:35" x14ac:dyDescent="0.3">
      <c r="A898" t="s">
        <v>11</v>
      </c>
      <c r="B898">
        <v>1</v>
      </c>
      <c r="AH898" t="s">
        <v>737</v>
      </c>
      <c r="AI898">
        <v>1</v>
      </c>
    </row>
    <row r="899" spans="1:35" x14ac:dyDescent="0.3">
      <c r="A899" t="s">
        <v>52</v>
      </c>
      <c r="B899">
        <v>1</v>
      </c>
      <c r="AH899" t="s">
        <v>51</v>
      </c>
      <c r="AI899">
        <v>1</v>
      </c>
    </row>
    <row r="900" spans="1:35" x14ac:dyDescent="0.3">
      <c r="A900" t="s">
        <v>98</v>
      </c>
      <c r="B900">
        <v>1</v>
      </c>
      <c r="AH900" t="s">
        <v>10</v>
      </c>
      <c r="AI900">
        <v>1</v>
      </c>
    </row>
    <row r="901" spans="1:35" x14ac:dyDescent="0.3">
      <c r="A901" t="s">
        <v>141</v>
      </c>
      <c r="B901">
        <v>1</v>
      </c>
      <c r="AH901" t="s">
        <v>70</v>
      </c>
      <c r="AI901">
        <v>1</v>
      </c>
    </row>
    <row r="902" spans="1:35" x14ac:dyDescent="0.3">
      <c r="A902" t="s">
        <v>98</v>
      </c>
      <c r="B902">
        <v>1</v>
      </c>
      <c r="AH902" t="s">
        <v>10</v>
      </c>
      <c r="AI902">
        <v>1</v>
      </c>
    </row>
    <row r="903" spans="1:35" x14ac:dyDescent="0.3">
      <c r="A903" t="s">
        <v>687</v>
      </c>
      <c r="B903">
        <v>1</v>
      </c>
      <c r="AH903" t="s">
        <v>401</v>
      </c>
      <c r="AI903">
        <v>1</v>
      </c>
    </row>
    <row r="904" spans="1:35" x14ac:dyDescent="0.3">
      <c r="A904" t="s">
        <v>11</v>
      </c>
      <c r="B904">
        <v>1</v>
      </c>
      <c r="AH904" t="s">
        <v>2172</v>
      </c>
      <c r="AI904">
        <v>1</v>
      </c>
    </row>
    <row r="905" spans="1:35" x14ac:dyDescent="0.3">
      <c r="A905" t="s">
        <v>687</v>
      </c>
      <c r="B905">
        <v>1</v>
      </c>
      <c r="AH905" t="s">
        <v>51</v>
      </c>
      <c r="AI905">
        <v>1</v>
      </c>
    </row>
    <row r="906" spans="1:35" x14ac:dyDescent="0.3">
      <c r="A906" t="s">
        <v>743</v>
      </c>
      <c r="B906">
        <v>1</v>
      </c>
      <c r="AH906" t="s">
        <v>51</v>
      </c>
      <c r="AI906">
        <v>1</v>
      </c>
    </row>
    <row r="907" spans="1:35" x14ac:dyDescent="0.3">
      <c r="A907" t="s">
        <v>232</v>
      </c>
      <c r="B907">
        <v>1</v>
      </c>
      <c r="AH907" t="s">
        <v>10</v>
      </c>
      <c r="AI907">
        <v>1</v>
      </c>
    </row>
    <row r="908" spans="1:35" x14ac:dyDescent="0.3">
      <c r="A908" t="s">
        <v>345</v>
      </c>
      <c r="B908">
        <v>1</v>
      </c>
      <c r="AH908" t="s">
        <v>10</v>
      </c>
      <c r="AI908">
        <v>1</v>
      </c>
    </row>
    <row r="909" spans="1:35" x14ac:dyDescent="0.3">
      <c r="A909" t="s">
        <v>64</v>
      </c>
      <c r="B909">
        <v>1</v>
      </c>
      <c r="AH909" t="s">
        <v>10</v>
      </c>
      <c r="AI909">
        <v>1</v>
      </c>
    </row>
    <row r="910" spans="1:35" x14ac:dyDescent="0.3">
      <c r="A910" t="s">
        <v>706</v>
      </c>
      <c r="B910">
        <v>1</v>
      </c>
      <c r="AH910" t="s">
        <v>10</v>
      </c>
      <c r="AI910">
        <v>1</v>
      </c>
    </row>
    <row r="911" spans="1:35" x14ac:dyDescent="0.3">
      <c r="A911" t="s">
        <v>130</v>
      </c>
      <c r="B911">
        <v>1</v>
      </c>
      <c r="AH911" t="s">
        <v>124</v>
      </c>
      <c r="AI911">
        <v>1</v>
      </c>
    </row>
    <row r="912" spans="1:35" x14ac:dyDescent="0.3">
      <c r="A912" t="s">
        <v>174</v>
      </c>
      <c r="B912">
        <v>1</v>
      </c>
      <c r="AH912" t="s">
        <v>10</v>
      </c>
      <c r="AI912">
        <v>1</v>
      </c>
    </row>
    <row r="913" spans="1:35" x14ac:dyDescent="0.3">
      <c r="A913" t="s">
        <v>743</v>
      </c>
      <c r="B913">
        <v>1</v>
      </c>
      <c r="AH913" t="s">
        <v>10</v>
      </c>
      <c r="AI913">
        <v>1</v>
      </c>
    </row>
    <row r="914" spans="1:35" x14ac:dyDescent="0.3">
      <c r="A914" t="s">
        <v>58</v>
      </c>
      <c r="B914">
        <v>1</v>
      </c>
      <c r="AH914" t="s">
        <v>452</v>
      </c>
      <c r="AI914">
        <v>1</v>
      </c>
    </row>
    <row r="915" spans="1:35" x14ac:dyDescent="0.3">
      <c r="A915" t="s">
        <v>174</v>
      </c>
      <c r="B915">
        <v>1</v>
      </c>
      <c r="AH915" t="s">
        <v>10</v>
      </c>
      <c r="AI915">
        <v>1</v>
      </c>
    </row>
    <row r="916" spans="1:35" x14ac:dyDescent="0.3">
      <c r="A916" t="s">
        <v>634</v>
      </c>
      <c r="B916">
        <v>1</v>
      </c>
      <c r="AH916" t="s">
        <v>417</v>
      </c>
      <c r="AI916">
        <v>1</v>
      </c>
    </row>
    <row r="917" spans="1:35" x14ac:dyDescent="0.3">
      <c r="A917" t="s">
        <v>726</v>
      </c>
      <c r="B917">
        <v>1</v>
      </c>
      <c r="AH917" t="s">
        <v>51</v>
      </c>
      <c r="AI917">
        <v>1</v>
      </c>
    </row>
    <row r="918" spans="1:35" x14ac:dyDescent="0.3">
      <c r="A918" t="s">
        <v>634</v>
      </c>
      <c r="B918">
        <v>1</v>
      </c>
      <c r="AH918" t="s">
        <v>10</v>
      </c>
      <c r="AI918">
        <v>1</v>
      </c>
    </row>
    <row r="919" spans="1:35" x14ac:dyDescent="0.3">
      <c r="A919" t="s">
        <v>706</v>
      </c>
      <c r="B919">
        <v>1</v>
      </c>
      <c r="AH919" t="s">
        <v>51</v>
      </c>
      <c r="AI919">
        <v>1</v>
      </c>
    </row>
    <row r="920" spans="1:35" x14ac:dyDescent="0.3">
      <c r="A920" t="s">
        <v>726</v>
      </c>
      <c r="B920">
        <v>1</v>
      </c>
      <c r="AH920" t="s">
        <v>51</v>
      </c>
      <c r="AI920">
        <v>1</v>
      </c>
    </row>
    <row r="921" spans="1:35" x14ac:dyDescent="0.3">
      <c r="A921" t="s">
        <v>23</v>
      </c>
      <c r="B921">
        <v>1</v>
      </c>
      <c r="AH921" t="s">
        <v>249</v>
      </c>
      <c r="AI921">
        <v>1</v>
      </c>
    </row>
    <row r="922" spans="1:35" x14ac:dyDescent="0.3">
      <c r="A922" t="s">
        <v>510</v>
      </c>
      <c r="B922">
        <v>1</v>
      </c>
      <c r="AH922" t="s">
        <v>1441</v>
      </c>
      <c r="AI922">
        <v>1</v>
      </c>
    </row>
    <row r="923" spans="1:35" x14ac:dyDescent="0.3">
      <c r="A923" t="s">
        <v>365</v>
      </c>
      <c r="B923">
        <v>1</v>
      </c>
      <c r="AH923" t="s">
        <v>51</v>
      </c>
      <c r="AI923">
        <v>1</v>
      </c>
    </row>
    <row r="924" spans="1:35" x14ac:dyDescent="0.3">
      <c r="A924" t="s">
        <v>58</v>
      </c>
      <c r="B924">
        <v>1</v>
      </c>
      <c r="AH924" t="s">
        <v>51</v>
      </c>
      <c r="AI924">
        <v>1</v>
      </c>
    </row>
    <row r="925" spans="1:35" x14ac:dyDescent="0.3">
      <c r="A925" t="s">
        <v>58</v>
      </c>
      <c r="B925">
        <v>1</v>
      </c>
      <c r="AH925" t="s">
        <v>10</v>
      </c>
      <c r="AI925">
        <v>1</v>
      </c>
    </row>
    <row r="926" spans="1:35" x14ac:dyDescent="0.3">
      <c r="A926" t="s">
        <v>232</v>
      </c>
      <c r="B926">
        <v>1</v>
      </c>
      <c r="AH926" t="s">
        <v>51</v>
      </c>
      <c r="AI926">
        <v>1</v>
      </c>
    </row>
    <row r="927" spans="1:35" x14ac:dyDescent="0.3">
      <c r="A927" t="s">
        <v>11</v>
      </c>
      <c r="B927">
        <v>1</v>
      </c>
      <c r="AH927" t="s">
        <v>124</v>
      </c>
      <c r="AI927">
        <v>1</v>
      </c>
    </row>
    <row r="928" spans="1:35" x14ac:dyDescent="0.3">
      <c r="A928" t="s">
        <v>365</v>
      </c>
      <c r="B928">
        <v>1</v>
      </c>
      <c r="AH928" t="s">
        <v>10</v>
      </c>
      <c r="AI928">
        <v>1</v>
      </c>
    </row>
    <row r="929" spans="1:35" x14ac:dyDescent="0.3">
      <c r="A929" t="s">
        <v>706</v>
      </c>
      <c r="B929">
        <v>1</v>
      </c>
      <c r="AH929" t="s">
        <v>35</v>
      </c>
      <c r="AI929">
        <v>1</v>
      </c>
    </row>
    <row r="930" spans="1:35" x14ac:dyDescent="0.3">
      <c r="A930" t="s">
        <v>11</v>
      </c>
      <c r="B930">
        <v>1</v>
      </c>
      <c r="AH930" t="s">
        <v>249</v>
      </c>
      <c r="AI930">
        <v>1</v>
      </c>
    </row>
    <row r="931" spans="1:35" x14ac:dyDescent="0.3">
      <c r="A931" t="s">
        <v>232</v>
      </c>
      <c r="B931">
        <v>1</v>
      </c>
      <c r="AH931" t="s">
        <v>10</v>
      </c>
      <c r="AI931">
        <v>1</v>
      </c>
    </row>
    <row r="932" spans="1:35" x14ac:dyDescent="0.3">
      <c r="A932" t="s">
        <v>243</v>
      </c>
      <c r="B932">
        <v>1</v>
      </c>
      <c r="AH932" t="s">
        <v>10</v>
      </c>
      <c r="AI932">
        <v>1</v>
      </c>
    </row>
    <row r="933" spans="1:35" x14ac:dyDescent="0.3">
      <c r="A933" t="s">
        <v>58</v>
      </c>
      <c r="B933">
        <v>1</v>
      </c>
      <c r="AH933" t="s">
        <v>452</v>
      </c>
      <c r="AI933">
        <v>1</v>
      </c>
    </row>
    <row r="934" spans="1:35" x14ac:dyDescent="0.3">
      <c r="A934" t="s">
        <v>243</v>
      </c>
      <c r="B934">
        <v>1</v>
      </c>
      <c r="AH934" t="s">
        <v>70</v>
      </c>
      <c r="AI934">
        <v>1</v>
      </c>
    </row>
    <row r="935" spans="1:35" x14ac:dyDescent="0.3">
      <c r="A935" t="s">
        <v>243</v>
      </c>
      <c r="B935">
        <v>1</v>
      </c>
      <c r="AH935" t="s">
        <v>51</v>
      </c>
      <c r="AI935">
        <v>1</v>
      </c>
    </row>
    <row r="936" spans="1:35" x14ac:dyDescent="0.3">
      <c r="A936" t="s">
        <v>792</v>
      </c>
      <c r="B936">
        <v>1</v>
      </c>
      <c r="AH936" t="s">
        <v>51</v>
      </c>
      <c r="AI936">
        <v>1</v>
      </c>
    </row>
    <row r="937" spans="1:35" x14ac:dyDescent="0.3">
      <c r="A937" t="s">
        <v>634</v>
      </c>
      <c r="B937">
        <v>1</v>
      </c>
      <c r="AH937" t="s">
        <v>51</v>
      </c>
      <c r="AI937">
        <v>1</v>
      </c>
    </row>
    <row r="938" spans="1:35" x14ac:dyDescent="0.3">
      <c r="A938" t="s">
        <v>17</v>
      </c>
      <c r="B938">
        <v>1</v>
      </c>
      <c r="AH938" t="s">
        <v>1679</v>
      </c>
      <c r="AI938">
        <v>1</v>
      </c>
    </row>
    <row r="939" spans="1:35" x14ac:dyDescent="0.3">
      <c r="A939" t="s">
        <v>365</v>
      </c>
      <c r="B939">
        <v>1</v>
      </c>
      <c r="AH939" t="s">
        <v>417</v>
      </c>
      <c r="AI939">
        <v>1</v>
      </c>
    </row>
    <row r="940" spans="1:35" x14ac:dyDescent="0.3">
      <c r="A940" t="s">
        <v>52</v>
      </c>
      <c r="B940">
        <v>1</v>
      </c>
      <c r="AH940" t="s">
        <v>10</v>
      </c>
      <c r="AI940">
        <v>1</v>
      </c>
    </row>
    <row r="941" spans="1:35" x14ac:dyDescent="0.3">
      <c r="A941" t="s">
        <v>715</v>
      </c>
      <c r="B941">
        <v>1</v>
      </c>
      <c r="AH941" t="s">
        <v>10</v>
      </c>
      <c r="AI941">
        <v>1</v>
      </c>
    </row>
    <row r="942" spans="1:35" x14ac:dyDescent="0.3">
      <c r="A942" t="s">
        <v>11</v>
      </c>
      <c r="B942">
        <v>1</v>
      </c>
      <c r="AH942" t="s">
        <v>297</v>
      </c>
      <c r="AI942">
        <v>1</v>
      </c>
    </row>
    <row r="943" spans="1:35" x14ac:dyDescent="0.3">
      <c r="A943" t="s">
        <v>23</v>
      </c>
      <c r="B943">
        <v>1</v>
      </c>
      <c r="AH943" t="s">
        <v>51</v>
      </c>
      <c r="AI943">
        <v>1</v>
      </c>
    </row>
    <row r="944" spans="1:35" x14ac:dyDescent="0.3">
      <c r="A944" t="s">
        <v>726</v>
      </c>
      <c r="B944">
        <v>1</v>
      </c>
      <c r="AH944" t="s">
        <v>51</v>
      </c>
      <c r="AI944">
        <v>1</v>
      </c>
    </row>
    <row r="945" spans="1:35" x14ac:dyDescent="0.3">
      <c r="A945" t="s">
        <v>58</v>
      </c>
      <c r="B945">
        <v>1</v>
      </c>
      <c r="AH945" t="s">
        <v>10</v>
      </c>
      <c r="AI945">
        <v>1</v>
      </c>
    </row>
    <row r="946" spans="1:35" x14ac:dyDescent="0.3">
      <c r="A946" t="s">
        <v>58</v>
      </c>
      <c r="B946">
        <v>1</v>
      </c>
      <c r="AH946" t="s">
        <v>35</v>
      </c>
      <c r="AI946">
        <v>1</v>
      </c>
    </row>
    <row r="947" spans="1:35" x14ac:dyDescent="0.3">
      <c r="A947" t="s">
        <v>52</v>
      </c>
      <c r="B947">
        <v>1</v>
      </c>
      <c r="AH947" t="s">
        <v>51</v>
      </c>
      <c r="AI947">
        <v>1</v>
      </c>
    </row>
    <row r="948" spans="1:35" x14ac:dyDescent="0.3">
      <c r="A948" t="s">
        <v>58</v>
      </c>
      <c r="B948">
        <v>1</v>
      </c>
      <c r="AH948" t="s">
        <v>35</v>
      </c>
      <c r="AI948">
        <v>1</v>
      </c>
    </row>
    <row r="949" spans="1:35" x14ac:dyDescent="0.3">
      <c r="A949" t="s">
        <v>64</v>
      </c>
      <c r="B949">
        <v>1</v>
      </c>
      <c r="AH949" t="s">
        <v>10</v>
      </c>
      <c r="AI949">
        <v>1</v>
      </c>
    </row>
    <row r="950" spans="1:35" x14ac:dyDescent="0.3">
      <c r="A950" t="s">
        <v>58</v>
      </c>
      <c r="B950">
        <v>1</v>
      </c>
      <c r="AH950" t="s">
        <v>10</v>
      </c>
      <c r="AI950">
        <v>1</v>
      </c>
    </row>
    <row r="951" spans="1:35" x14ac:dyDescent="0.3">
      <c r="A951" t="s">
        <v>23</v>
      </c>
      <c r="B951">
        <v>1</v>
      </c>
      <c r="AH951" t="s">
        <v>3273</v>
      </c>
      <c r="AI951">
        <v>1</v>
      </c>
    </row>
    <row r="952" spans="1:35" x14ac:dyDescent="0.3">
      <c r="A952" t="s">
        <v>58</v>
      </c>
      <c r="B952">
        <v>1</v>
      </c>
      <c r="AH952" t="s">
        <v>3276</v>
      </c>
      <c r="AI952">
        <v>1</v>
      </c>
    </row>
    <row r="953" spans="1:35" x14ac:dyDescent="0.3">
      <c r="A953" t="s">
        <v>23</v>
      </c>
      <c r="B953">
        <v>1</v>
      </c>
      <c r="AH953" t="s">
        <v>216</v>
      </c>
      <c r="AI953">
        <v>1</v>
      </c>
    </row>
    <row r="954" spans="1:35" x14ac:dyDescent="0.3">
      <c r="A954" t="s">
        <v>64</v>
      </c>
      <c r="B954">
        <v>1</v>
      </c>
      <c r="AH954" t="s">
        <v>35</v>
      </c>
      <c r="AI954">
        <v>1</v>
      </c>
    </row>
    <row r="955" spans="1:35" x14ac:dyDescent="0.3">
      <c r="A955" t="s">
        <v>141</v>
      </c>
      <c r="B955">
        <v>1</v>
      </c>
      <c r="AH955" t="s">
        <v>51</v>
      </c>
      <c r="AI955">
        <v>1</v>
      </c>
    </row>
    <row r="956" spans="1:35" x14ac:dyDescent="0.3">
      <c r="A956" t="s">
        <v>11</v>
      </c>
      <c r="B956">
        <v>1</v>
      </c>
      <c r="AH956" t="s">
        <v>104</v>
      </c>
      <c r="AI956">
        <v>1</v>
      </c>
    </row>
    <row r="957" spans="1:35" x14ac:dyDescent="0.3">
      <c r="A957" t="s">
        <v>58</v>
      </c>
      <c r="B957">
        <v>1</v>
      </c>
      <c r="AH957" t="s">
        <v>10</v>
      </c>
      <c r="AI957">
        <v>1</v>
      </c>
    </row>
    <row r="958" spans="1:35" x14ac:dyDescent="0.3">
      <c r="A958" t="s">
        <v>174</v>
      </c>
      <c r="B958">
        <v>1</v>
      </c>
      <c r="AH958" t="s">
        <v>10</v>
      </c>
      <c r="AI958">
        <v>1</v>
      </c>
    </row>
    <row r="959" spans="1:35" x14ac:dyDescent="0.3">
      <c r="A959" t="s">
        <v>243</v>
      </c>
      <c r="B959">
        <v>1</v>
      </c>
      <c r="AH959" t="s">
        <v>10</v>
      </c>
      <c r="AI959">
        <v>1</v>
      </c>
    </row>
    <row r="960" spans="1:35" x14ac:dyDescent="0.3">
      <c r="A960" t="s">
        <v>58</v>
      </c>
      <c r="B960">
        <v>1</v>
      </c>
      <c r="AH960" t="s">
        <v>205</v>
      </c>
      <c r="AI960">
        <v>1</v>
      </c>
    </row>
    <row r="961" spans="1:35" x14ac:dyDescent="0.3">
      <c r="A961" t="s">
        <v>52</v>
      </c>
      <c r="B961">
        <v>1</v>
      </c>
      <c r="AH961" t="s">
        <v>10</v>
      </c>
      <c r="AI961">
        <v>1</v>
      </c>
    </row>
    <row r="962" spans="1:35" x14ac:dyDescent="0.3">
      <c r="A962" t="s">
        <v>98</v>
      </c>
      <c r="B962">
        <v>1</v>
      </c>
      <c r="AH962" t="s">
        <v>1441</v>
      </c>
      <c r="AI962">
        <v>1</v>
      </c>
    </row>
    <row r="963" spans="1:35" x14ac:dyDescent="0.3">
      <c r="A963" t="s">
        <v>11</v>
      </c>
      <c r="B963">
        <v>1</v>
      </c>
      <c r="AH963" t="s">
        <v>3296</v>
      </c>
      <c r="AI963">
        <v>1</v>
      </c>
    </row>
    <row r="964" spans="1:35" x14ac:dyDescent="0.3">
      <c r="A964" t="s">
        <v>64</v>
      </c>
      <c r="B964">
        <v>1</v>
      </c>
      <c r="AH964" t="s">
        <v>51</v>
      </c>
      <c r="AI964">
        <v>1</v>
      </c>
    </row>
    <row r="965" spans="1:35" x14ac:dyDescent="0.3">
      <c r="A965" t="s">
        <v>23</v>
      </c>
      <c r="B965">
        <v>1</v>
      </c>
      <c r="AH965" t="s">
        <v>1463</v>
      </c>
      <c r="AI965">
        <v>1</v>
      </c>
    </row>
    <row r="966" spans="1:35" x14ac:dyDescent="0.3">
      <c r="A966" t="s">
        <v>11</v>
      </c>
      <c r="B966">
        <v>1</v>
      </c>
      <c r="AH966" t="s">
        <v>51</v>
      </c>
      <c r="AI966">
        <v>1</v>
      </c>
    </row>
    <row r="967" spans="1:35" x14ac:dyDescent="0.3">
      <c r="A967" t="s">
        <v>634</v>
      </c>
      <c r="B967">
        <v>1</v>
      </c>
      <c r="AH967" t="s">
        <v>417</v>
      </c>
      <c r="AI967">
        <v>1</v>
      </c>
    </row>
    <row r="968" spans="1:35" x14ac:dyDescent="0.3">
      <c r="A968" t="s">
        <v>715</v>
      </c>
      <c r="B968">
        <v>1</v>
      </c>
      <c r="AH968" t="s">
        <v>35</v>
      </c>
      <c r="AI968">
        <v>1</v>
      </c>
    </row>
    <row r="969" spans="1:35" x14ac:dyDescent="0.3">
      <c r="A969" t="s">
        <v>98</v>
      </c>
      <c r="B969">
        <v>1</v>
      </c>
      <c r="AH969" t="s">
        <v>10</v>
      </c>
      <c r="AI969">
        <v>1</v>
      </c>
    </row>
    <row r="970" spans="1:35" x14ac:dyDescent="0.3">
      <c r="A970" t="s">
        <v>174</v>
      </c>
      <c r="B970">
        <v>1</v>
      </c>
      <c r="AH970" t="s">
        <v>10</v>
      </c>
      <c r="AI970">
        <v>1</v>
      </c>
    </row>
    <row r="971" spans="1:35" x14ac:dyDescent="0.3">
      <c r="A971" t="s">
        <v>726</v>
      </c>
      <c r="B971">
        <v>1</v>
      </c>
      <c r="AH971" t="s">
        <v>696</v>
      </c>
      <c r="AI971">
        <v>1</v>
      </c>
    </row>
    <row r="972" spans="1:35" x14ac:dyDescent="0.3">
      <c r="A972" t="s">
        <v>687</v>
      </c>
      <c r="B972">
        <v>1</v>
      </c>
      <c r="AH972" t="s">
        <v>51</v>
      </c>
      <c r="AI972">
        <v>1</v>
      </c>
    </row>
    <row r="973" spans="1:35" x14ac:dyDescent="0.3">
      <c r="A973" t="s">
        <v>687</v>
      </c>
      <c r="B973">
        <v>1</v>
      </c>
      <c r="AH973" t="s">
        <v>51</v>
      </c>
      <c r="AI973">
        <v>1</v>
      </c>
    </row>
    <row r="974" spans="1:35" x14ac:dyDescent="0.3">
      <c r="A974" t="s">
        <v>365</v>
      </c>
      <c r="B974">
        <v>1</v>
      </c>
      <c r="AH974" t="s">
        <v>35</v>
      </c>
      <c r="AI974">
        <v>1</v>
      </c>
    </row>
    <row r="975" spans="1:35" x14ac:dyDescent="0.3">
      <c r="A975" t="s">
        <v>23</v>
      </c>
      <c r="B975">
        <v>1</v>
      </c>
      <c r="AH975" t="s">
        <v>10</v>
      </c>
      <c r="AI975">
        <v>1</v>
      </c>
    </row>
    <row r="976" spans="1:35" x14ac:dyDescent="0.3">
      <c r="A976" t="s">
        <v>151</v>
      </c>
      <c r="B976">
        <v>1</v>
      </c>
      <c r="AH976" t="s">
        <v>10</v>
      </c>
      <c r="AI976">
        <v>1</v>
      </c>
    </row>
    <row r="977" spans="1:35" x14ac:dyDescent="0.3">
      <c r="A977" t="s">
        <v>11</v>
      </c>
      <c r="B977">
        <v>1</v>
      </c>
      <c r="AH977" t="s">
        <v>10</v>
      </c>
      <c r="AI977">
        <v>1</v>
      </c>
    </row>
    <row r="978" spans="1:35" x14ac:dyDescent="0.3">
      <c r="A978" t="s">
        <v>726</v>
      </c>
      <c r="B978">
        <v>1</v>
      </c>
      <c r="AH978" t="s">
        <v>35</v>
      </c>
      <c r="AI978">
        <v>1</v>
      </c>
    </row>
    <row r="979" spans="1:35" x14ac:dyDescent="0.3">
      <c r="A979" t="s">
        <v>23</v>
      </c>
      <c r="B979">
        <v>1</v>
      </c>
      <c r="AH979" t="s">
        <v>452</v>
      </c>
      <c r="AI979">
        <v>1</v>
      </c>
    </row>
    <row r="980" spans="1:35" x14ac:dyDescent="0.3">
      <c r="A980" t="s">
        <v>11</v>
      </c>
      <c r="B980">
        <v>1</v>
      </c>
      <c r="AH980" t="s">
        <v>205</v>
      </c>
      <c r="AI980">
        <v>1</v>
      </c>
    </row>
    <row r="981" spans="1:35" x14ac:dyDescent="0.3">
      <c r="A981" t="s">
        <v>510</v>
      </c>
      <c r="B981">
        <v>1</v>
      </c>
      <c r="AH981" t="s">
        <v>1441</v>
      </c>
      <c r="AI981">
        <v>1</v>
      </c>
    </row>
    <row r="982" spans="1:35" x14ac:dyDescent="0.3">
      <c r="A982" t="s">
        <v>98</v>
      </c>
      <c r="B982">
        <v>1</v>
      </c>
      <c r="AH982" t="s">
        <v>10</v>
      </c>
      <c r="AI982">
        <v>1</v>
      </c>
    </row>
    <row r="983" spans="1:35" x14ac:dyDescent="0.3">
      <c r="A983" t="s">
        <v>706</v>
      </c>
      <c r="B983">
        <v>1</v>
      </c>
      <c r="AH983" t="s">
        <v>10</v>
      </c>
      <c r="AI983">
        <v>1</v>
      </c>
    </row>
    <row r="984" spans="1:35" x14ac:dyDescent="0.3">
      <c r="A984" t="s">
        <v>634</v>
      </c>
      <c r="B984">
        <v>1</v>
      </c>
      <c r="AH984" t="s">
        <v>35</v>
      </c>
      <c r="AI984">
        <v>1</v>
      </c>
    </row>
    <row r="985" spans="1:35" x14ac:dyDescent="0.3">
      <c r="A985" t="s">
        <v>151</v>
      </c>
      <c r="B985">
        <v>1</v>
      </c>
      <c r="AH985" t="s">
        <v>417</v>
      </c>
      <c r="AI985">
        <v>1</v>
      </c>
    </row>
    <row r="986" spans="1:35" x14ac:dyDescent="0.3">
      <c r="A986" t="s">
        <v>510</v>
      </c>
      <c r="B986">
        <v>1</v>
      </c>
      <c r="AH986" t="s">
        <v>10</v>
      </c>
      <c r="AI986">
        <v>1</v>
      </c>
    </row>
    <row r="987" spans="1:35" x14ac:dyDescent="0.3">
      <c r="A987" t="s">
        <v>23</v>
      </c>
      <c r="B987">
        <v>1</v>
      </c>
      <c r="AH987" t="s">
        <v>70</v>
      </c>
      <c r="AI987">
        <v>1</v>
      </c>
    </row>
    <row r="988" spans="1:35" x14ac:dyDescent="0.3">
      <c r="A988" t="s">
        <v>510</v>
      </c>
      <c r="B988">
        <v>1</v>
      </c>
      <c r="AH988" t="s">
        <v>10</v>
      </c>
      <c r="AI988">
        <v>1</v>
      </c>
    </row>
    <row r="989" spans="1:35" x14ac:dyDescent="0.3">
      <c r="A989" t="s">
        <v>64</v>
      </c>
      <c r="B989">
        <v>1</v>
      </c>
      <c r="AH989" t="s">
        <v>10</v>
      </c>
      <c r="AI989">
        <v>1</v>
      </c>
    </row>
    <row r="990" spans="1:35" x14ac:dyDescent="0.3">
      <c r="A990" t="s">
        <v>232</v>
      </c>
      <c r="B990">
        <v>1</v>
      </c>
      <c r="AH990" t="s">
        <v>10</v>
      </c>
      <c r="AI990">
        <v>1</v>
      </c>
    </row>
    <row r="991" spans="1:35" x14ac:dyDescent="0.3">
      <c r="A991" t="s">
        <v>345</v>
      </c>
      <c r="B991">
        <v>1</v>
      </c>
      <c r="AH991" t="s">
        <v>35</v>
      </c>
      <c r="AI991">
        <v>1</v>
      </c>
    </row>
    <row r="992" spans="1:35" x14ac:dyDescent="0.3">
      <c r="A992" t="s">
        <v>58</v>
      </c>
      <c r="B992">
        <v>1</v>
      </c>
      <c r="AH992" t="s">
        <v>10</v>
      </c>
      <c r="AI992">
        <v>1</v>
      </c>
    </row>
    <row r="993" spans="1:35" x14ac:dyDescent="0.3">
      <c r="A993" t="s">
        <v>11</v>
      </c>
      <c r="B993">
        <v>1</v>
      </c>
      <c r="AH993" t="s">
        <v>51</v>
      </c>
      <c r="AI993">
        <v>1</v>
      </c>
    </row>
    <row r="994" spans="1:35" x14ac:dyDescent="0.3">
      <c r="A994" t="s">
        <v>743</v>
      </c>
      <c r="B994">
        <v>1</v>
      </c>
      <c r="AH994" t="s">
        <v>10</v>
      </c>
      <c r="AI994">
        <v>1</v>
      </c>
    </row>
    <row r="995" spans="1:35" x14ac:dyDescent="0.3">
      <c r="A995" t="s">
        <v>11</v>
      </c>
      <c r="B995">
        <v>1</v>
      </c>
      <c r="AH995" t="s">
        <v>3354</v>
      </c>
      <c r="AI995">
        <v>1</v>
      </c>
    </row>
    <row r="996" spans="1:35" x14ac:dyDescent="0.3">
      <c r="A996" t="s">
        <v>634</v>
      </c>
      <c r="B996">
        <v>1</v>
      </c>
      <c r="AH996" t="s">
        <v>10</v>
      </c>
      <c r="AI996">
        <v>1</v>
      </c>
    </row>
    <row r="997" spans="1:35" x14ac:dyDescent="0.3">
      <c r="A997" t="s">
        <v>52</v>
      </c>
      <c r="B997">
        <v>1</v>
      </c>
      <c r="AH997" t="s">
        <v>35</v>
      </c>
      <c r="AI997">
        <v>1</v>
      </c>
    </row>
    <row r="998" spans="1:35" x14ac:dyDescent="0.3">
      <c r="A998" t="s">
        <v>243</v>
      </c>
      <c r="B998">
        <v>1</v>
      </c>
      <c r="AH998" t="s">
        <v>51</v>
      </c>
      <c r="AI998">
        <v>1</v>
      </c>
    </row>
    <row r="999" spans="1:35" x14ac:dyDescent="0.3">
      <c r="A999" t="s">
        <v>29</v>
      </c>
      <c r="B999">
        <v>1</v>
      </c>
      <c r="AH999" t="s">
        <v>3359</v>
      </c>
      <c r="AI999">
        <v>1</v>
      </c>
    </row>
    <row r="1000" spans="1:35" x14ac:dyDescent="0.3">
      <c r="A1000" t="s">
        <v>58</v>
      </c>
      <c r="B1000">
        <v>1</v>
      </c>
      <c r="AH1000" t="s">
        <v>10</v>
      </c>
      <c r="AI1000">
        <v>1</v>
      </c>
    </row>
    <row r="1001" spans="1:35" x14ac:dyDescent="0.3">
      <c r="A1001" t="s">
        <v>345</v>
      </c>
      <c r="B1001">
        <v>1</v>
      </c>
      <c r="AH1001" t="s">
        <v>10</v>
      </c>
      <c r="AI1001">
        <v>1</v>
      </c>
    </row>
    <row r="1002" spans="1:35" x14ac:dyDescent="0.3">
      <c r="A1002" t="s">
        <v>345</v>
      </c>
      <c r="B1002">
        <v>1</v>
      </c>
      <c r="AH1002" t="s">
        <v>249</v>
      </c>
      <c r="AI1002">
        <v>1</v>
      </c>
    </row>
    <row r="1003" spans="1:35" x14ac:dyDescent="0.3">
      <c r="A1003" t="s">
        <v>29</v>
      </c>
      <c r="B1003">
        <v>1</v>
      </c>
      <c r="AH1003" t="s">
        <v>3354</v>
      </c>
      <c r="AI1003">
        <v>1</v>
      </c>
    </row>
    <row r="1004" spans="1:35" x14ac:dyDescent="0.3">
      <c r="A1004" t="s">
        <v>23</v>
      </c>
      <c r="B1004">
        <v>1</v>
      </c>
      <c r="AH1004" t="s">
        <v>10</v>
      </c>
      <c r="AI1004">
        <v>1</v>
      </c>
    </row>
    <row r="1005" spans="1:35" x14ac:dyDescent="0.3">
      <c r="A1005" t="s">
        <v>58</v>
      </c>
      <c r="B1005">
        <v>1</v>
      </c>
      <c r="AH1005" t="s">
        <v>51</v>
      </c>
      <c r="AI1005">
        <v>1</v>
      </c>
    </row>
    <row r="1006" spans="1:35" x14ac:dyDescent="0.3">
      <c r="A1006" t="s">
        <v>11</v>
      </c>
      <c r="B1006">
        <v>1</v>
      </c>
      <c r="AH1006" t="s">
        <v>10</v>
      </c>
      <c r="AI1006">
        <v>1</v>
      </c>
    </row>
    <row r="1007" spans="1:35" x14ac:dyDescent="0.3">
      <c r="A1007" t="s">
        <v>64</v>
      </c>
      <c r="B1007">
        <v>1</v>
      </c>
      <c r="AH1007" t="s">
        <v>104</v>
      </c>
      <c r="AI1007">
        <v>1</v>
      </c>
    </row>
    <row r="1008" spans="1:35" x14ac:dyDescent="0.3">
      <c r="A1008" t="s">
        <v>365</v>
      </c>
      <c r="B1008">
        <v>1</v>
      </c>
      <c r="AH1008" t="s">
        <v>51</v>
      </c>
      <c r="AI1008">
        <v>1</v>
      </c>
    </row>
    <row r="1009" spans="1:35" x14ac:dyDescent="0.3">
      <c r="A1009" t="s">
        <v>174</v>
      </c>
      <c r="B1009">
        <v>1</v>
      </c>
      <c r="AH1009" t="s">
        <v>10</v>
      </c>
      <c r="AI1009">
        <v>1</v>
      </c>
    </row>
    <row r="1010" spans="1:35" x14ac:dyDescent="0.3">
      <c r="A1010" t="s">
        <v>232</v>
      </c>
      <c r="B1010">
        <v>1</v>
      </c>
      <c r="AH1010" t="s">
        <v>10</v>
      </c>
      <c r="AI1010">
        <v>1</v>
      </c>
    </row>
    <row r="1011" spans="1:35" x14ac:dyDescent="0.3">
      <c r="A1011" t="s">
        <v>634</v>
      </c>
      <c r="B1011">
        <v>1</v>
      </c>
      <c r="AH1011" t="s">
        <v>436</v>
      </c>
      <c r="AI1011">
        <v>1</v>
      </c>
    </row>
    <row r="1012" spans="1:35" x14ac:dyDescent="0.3">
      <c r="A1012" t="s">
        <v>243</v>
      </c>
      <c r="B1012">
        <v>1</v>
      </c>
      <c r="AH1012" t="s">
        <v>521</v>
      </c>
      <c r="AI1012">
        <v>1</v>
      </c>
    </row>
    <row r="1013" spans="1:35" x14ac:dyDescent="0.3">
      <c r="A1013" t="s">
        <v>17</v>
      </c>
      <c r="B1013">
        <v>1</v>
      </c>
      <c r="AH1013" t="s">
        <v>35</v>
      </c>
      <c r="AI1013">
        <v>1</v>
      </c>
    </row>
    <row r="1014" spans="1:35" x14ac:dyDescent="0.3">
      <c r="A1014" t="s">
        <v>726</v>
      </c>
      <c r="B1014">
        <v>1</v>
      </c>
      <c r="AH1014" t="s">
        <v>10</v>
      </c>
      <c r="AI1014">
        <v>1</v>
      </c>
    </row>
    <row r="1015" spans="1:35" x14ac:dyDescent="0.3">
      <c r="A1015" t="s">
        <v>141</v>
      </c>
      <c r="B1015">
        <v>1</v>
      </c>
      <c r="AH1015" t="s">
        <v>124</v>
      </c>
      <c r="AI1015">
        <v>1</v>
      </c>
    </row>
    <row r="1016" spans="1:35" x14ac:dyDescent="0.3">
      <c r="A1016" t="s">
        <v>743</v>
      </c>
      <c r="B1016">
        <v>1</v>
      </c>
      <c r="AH1016" t="s">
        <v>35</v>
      </c>
      <c r="AI1016">
        <v>1</v>
      </c>
    </row>
    <row r="1017" spans="1:35" x14ac:dyDescent="0.3">
      <c r="A1017" t="s">
        <v>11</v>
      </c>
      <c r="B1017">
        <v>1</v>
      </c>
      <c r="AH1017" t="s">
        <v>249</v>
      </c>
      <c r="AI1017">
        <v>1</v>
      </c>
    </row>
    <row r="1018" spans="1:35" x14ac:dyDescent="0.3">
      <c r="A1018" t="s">
        <v>634</v>
      </c>
      <c r="B1018">
        <v>1</v>
      </c>
      <c r="AH1018" t="s">
        <v>1617</v>
      </c>
      <c r="AI1018">
        <v>1</v>
      </c>
    </row>
    <row r="1019" spans="1:35" x14ac:dyDescent="0.3">
      <c r="A1019" t="s">
        <v>58</v>
      </c>
      <c r="B1019">
        <v>1</v>
      </c>
      <c r="AH1019" t="s">
        <v>696</v>
      </c>
      <c r="AI1019">
        <v>1</v>
      </c>
    </row>
    <row r="1020" spans="1:35" x14ac:dyDescent="0.3">
      <c r="A1020" t="s">
        <v>232</v>
      </c>
      <c r="B1020">
        <v>1</v>
      </c>
      <c r="AH1020" t="s">
        <v>35</v>
      </c>
      <c r="AI1020">
        <v>1</v>
      </c>
    </row>
    <row r="1021" spans="1:35" x14ac:dyDescent="0.3">
      <c r="A1021" t="s">
        <v>715</v>
      </c>
      <c r="B1021">
        <v>1</v>
      </c>
      <c r="AH1021" t="s">
        <v>10</v>
      </c>
      <c r="AI1021">
        <v>1</v>
      </c>
    </row>
    <row r="1022" spans="1:35" x14ac:dyDescent="0.3">
      <c r="A1022" t="s">
        <v>634</v>
      </c>
      <c r="B1022">
        <v>1</v>
      </c>
      <c r="AH1022" t="s">
        <v>10</v>
      </c>
      <c r="AI1022">
        <v>1</v>
      </c>
    </row>
    <row r="1023" spans="1:35" x14ac:dyDescent="0.3">
      <c r="A1023" t="s">
        <v>232</v>
      </c>
      <c r="B1023">
        <v>1</v>
      </c>
      <c r="AH1023" t="s">
        <v>10</v>
      </c>
      <c r="AI1023">
        <v>1</v>
      </c>
    </row>
    <row r="1024" spans="1:35" x14ac:dyDescent="0.3">
      <c r="A1024" t="s">
        <v>58</v>
      </c>
      <c r="B1024">
        <v>1</v>
      </c>
      <c r="AH1024" t="s">
        <v>51</v>
      </c>
      <c r="AI1024">
        <v>1</v>
      </c>
    </row>
    <row r="1025" spans="1:35" x14ac:dyDescent="0.3">
      <c r="A1025" t="s">
        <v>174</v>
      </c>
      <c r="B1025">
        <v>1</v>
      </c>
      <c r="AH1025" t="s">
        <v>51</v>
      </c>
      <c r="AI1025">
        <v>1</v>
      </c>
    </row>
    <row r="1026" spans="1:35" x14ac:dyDescent="0.3">
      <c r="A1026" t="s">
        <v>365</v>
      </c>
      <c r="B1026">
        <v>1</v>
      </c>
      <c r="AH1026" t="s">
        <v>10</v>
      </c>
      <c r="AI1026">
        <v>1</v>
      </c>
    </row>
    <row r="1027" spans="1:35" x14ac:dyDescent="0.3">
      <c r="A1027" t="s">
        <v>232</v>
      </c>
      <c r="B1027">
        <v>1</v>
      </c>
      <c r="AH1027" t="s">
        <v>51</v>
      </c>
      <c r="AI1027">
        <v>1</v>
      </c>
    </row>
    <row r="1028" spans="1:35" x14ac:dyDescent="0.3">
      <c r="A1028" t="s">
        <v>52</v>
      </c>
      <c r="B1028">
        <v>1</v>
      </c>
      <c r="AH1028" t="s">
        <v>10</v>
      </c>
      <c r="AI1028">
        <v>1</v>
      </c>
    </row>
    <row r="1029" spans="1:35" x14ac:dyDescent="0.3">
      <c r="A1029" t="s">
        <v>141</v>
      </c>
      <c r="B1029">
        <v>1</v>
      </c>
      <c r="AH1029" t="s">
        <v>51</v>
      </c>
      <c r="AI1029">
        <v>1</v>
      </c>
    </row>
    <row r="1030" spans="1:35" x14ac:dyDescent="0.3">
      <c r="A1030" t="s">
        <v>58</v>
      </c>
      <c r="B1030">
        <v>1</v>
      </c>
      <c r="AH1030" t="s">
        <v>124</v>
      </c>
      <c r="AI1030">
        <v>1</v>
      </c>
    </row>
    <row r="1031" spans="1:35" x14ac:dyDescent="0.3">
      <c r="A1031" t="s">
        <v>634</v>
      </c>
      <c r="B1031">
        <v>1</v>
      </c>
      <c r="AH1031" t="s">
        <v>10</v>
      </c>
      <c r="AI1031">
        <v>1</v>
      </c>
    </row>
    <row r="1032" spans="1:35" x14ac:dyDescent="0.3">
      <c r="A1032" t="s">
        <v>11</v>
      </c>
      <c r="B1032">
        <v>1</v>
      </c>
      <c r="AH1032" t="s">
        <v>2925</v>
      </c>
      <c r="AI1032">
        <v>1</v>
      </c>
    </row>
    <row r="1033" spans="1:35" x14ac:dyDescent="0.3">
      <c r="A1033" t="s">
        <v>743</v>
      </c>
      <c r="B1033">
        <v>1</v>
      </c>
      <c r="AH1033" t="s">
        <v>10</v>
      </c>
      <c r="AI1033">
        <v>1</v>
      </c>
    </row>
    <row r="1034" spans="1:35" x14ac:dyDescent="0.3">
      <c r="A1034" t="s">
        <v>11</v>
      </c>
      <c r="B1034">
        <v>1</v>
      </c>
      <c r="AH1034" t="s">
        <v>205</v>
      </c>
      <c r="AI1034">
        <v>1</v>
      </c>
    </row>
    <row r="1035" spans="1:35" x14ac:dyDescent="0.3">
      <c r="A1035" t="s">
        <v>58</v>
      </c>
      <c r="B1035">
        <v>1</v>
      </c>
      <c r="AH1035" t="s">
        <v>124</v>
      </c>
      <c r="AI1035">
        <v>1</v>
      </c>
    </row>
    <row r="1036" spans="1:35" x14ac:dyDescent="0.3">
      <c r="A1036" t="s">
        <v>29</v>
      </c>
      <c r="B1036">
        <v>1</v>
      </c>
      <c r="AH1036" t="s">
        <v>51</v>
      </c>
      <c r="AI1036">
        <v>1</v>
      </c>
    </row>
    <row r="1037" spans="1:35" x14ac:dyDescent="0.3">
      <c r="A1037" t="s">
        <v>726</v>
      </c>
      <c r="B1037">
        <v>1</v>
      </c>
      <c r="AH1037" t="s">
        <v>216</v>
      </c>
      <c r="AI1037">
        <v>1</v>
      </c>
    </row>
    <row r="1038" spans="1:35" x14ac:dyDescent="0.3">
      <c r="A1038" t="s">
        <v>58</v>
      </c>
      <c r="B1038">
        <v>1</v>
      </c>
      <c r="AH1038" t="s">
        <v>205</v>
      </c>
      <c r="AI1038">
        <v>1</v>
      </c>
    </row>
    <row r="1039" spans="1:35" x14ac:dyDescent="0.3">
      <c r="A1039" t="s">
        <v>11</v>
      </c>
      <c r="B1039">
        <v>1</v>
      </c>
      <c r="AH1039" t="s">
        <v>10</v>
      </c>
      <c r="AI1039">
        <v>1</v>
      </c>
    </row>
    <row r="1040" spans="1:35" x14ac:dyDescent="0.3">
      <c r="A1040" t="s">
        <v>365</v>
      </c>
      <c r="B1040">
        <v>1</v>
      </c>
      <c r="AH1040" t="s">
        <v>10</v>
      </c>
      <c r="AI1040">
        <v>1</v>
      </c>
    </row>
    <row r="1041" spans="1:35" x14ac:dyDescent="0.3">
      <c r="A1041" t="s">
        <v>345</v>
      </c>
      <c r="B1041">
        <v>1</v>
      </c>
      <c r="AH1041" t="s">
        <v>10</v>
      </c>
      <c r="AI1041">
        <v>1</v>
      </c>
    </row>
    <row r="1042" spans="1:35" x14ac:dyDescent="0.3">
      <c r="A1042" t="s">
        <v>11</v>
      </c>
      <c r="B1042">
        <v>1</v>
      </c>
      <c r="AH1042" t="s">
        <v>3276</v>
      </c>
      <c r="AI1042">
        <v>1</v>
      </c>
    </row>
    <row r="1043" spans="1:35" x14ac:dyDescent="0.3">
      <c r="A1043" t="s">
        <v>130</v>
      </c>
      <c r="B1043">
        <v>1</v>
      </c>
      <c r="AH1043" t="s">
        <v>10</v>
      </c>
      <c r="AI1043">
        <v>1</v>
      </c>
    </row>
    <row r="1044" spans="1:35" x14ac:dyDescent="0.3">
      <c r="A1044" t="s">
        <v>11</v>
      </c>
      <c r="B1044">
        <v>1</v>
      </c>
      <c r="AH1044" t="s">
        <v>1992</v>
      </c>
      <c r="AI1044">
        <v>1</v>
      </c>
    </row>
    <row r="1045" spans="1:35" x14ac:dyDescent="0.3">
      <c r="A1045" t="s">
        <v>130</v>
      </c>
      <c r="B1045">
        <v>1</v>
      </c>
      <c r="AH1045" t="s">
        <v>10</v>
      </c>
      <c r="AI1045">
        <v>1</v>
      </c>
    </row>
    <row r="1046" spans="1:35" x14ac:dyDescent="0.3">
      <c r="A1046" t="s">
        <v>58</v>
      </c>
      <c r="B1046">
        <v>1</v>
      </c>
      <c r="AH1046" t="s">
        <v>417</v>
      </c>
      <c r="AI1046">
        <v>1</v>
      </c>
    </row>
    <row r="1047" spans="1:35" x14ac:dyDescent="0.3">
      <c r="A1047" t="s">
        <v>715</v>
      </c>
      <c r="B1047">
        <v>1</v>
      </c>
      <c r="AH1047" t="s">
        <v>35</v>
      </c>
      <c r="AI1047">
        <v>1</v>
      </c>
    </row>
    <row r="1048" spans="1:35" x14ac:dyDescent="0.3">
      <c r="A1048" t="s">
        <v>11</v>
      </c>
      <c r="B1048">
        <v>1</v>
      </c>
      <c r="AH1048" t="s">
        <v>1992</v>
      </c>
      <c r="AI1048">
        <v>1</v>
      </c>
    </row>
    <row r="1049" spans="1:35" x14ac:dyDescent="0.3">
      <c r="A1049" t="s">
        <v>345</v>
      </c>
      <c r="B1049">
        <v>1</v>
      </c>
      <c r="AH1049" t="s">
        <v>10</v>
      </c>
      <c r="AI1049">
        <v>1</v>
      </c>
    </row>
    <row r="1050" spans="1:35" x14ac:dyDescent="0.3">
      <c r="A1050" t="s">
        <v>58</v>
      </c>
      <c r="B1050">
        <v>1</v>
      </c>
      <c r="AH1050" t="s">
        <v>1463</v>
      </c>
      <c r="AI1050">
        <v>1</v>
      </c>
    </row>
    <row r="1051" spans="1:35" x14ac:dyDescent="0.3">
      <c r="A1051" t="s">
        <v>11</v>
      </c>
      <c r="B1051">
        <v>1</v>
      </c>
      <c r="AH1051" t="s">
        <v>10</v>
      </c>
      <c r="AI1051">
        <v>1</v>
      </c>
    </row>
    <row r="1052" spans="1:35" x14ac:dyDescent="0.3">
      <c r="A1052" t="s">
        <v>17</v>
      </c>
      <c r="B1052">
        <v>1</v>
      </c>
      <c r="AH1052" t="s">
        <v>1617</v>
      </c>
      <c r="AI1052">
        <v>1</v>
      </c>
    </row>
    <row r="1053" spans="1:35" x14ac:dyDescent="0.3">
      <c r="A1053" t="s">
        <v>232</v>
      </c>
      <c r="B1053">
        <v>1</v>
      </c>
      <c r="AH1053" t="s">
        <v>10</v>
      </c>
      <c r="AI1053">
        <v>1</v>
      </c>
    </row>
    <row r="1054" spans="1:35" x14ac:dyDescent="0.3">
      <c r="A1054" t="s">
        <v>250</v>
      </c>
      <c r="B1054">
        <v>1</v>
      </c>
      <c r="AH1054" t="s">
        <v>10</v>
      </c>
      <c r="AI1054">
        <v>1</v>
      </c>
    </row>
    <row r="1055" spans="1:35" x14ac:dyDescent="0.3">
      <c r="A1055" t="s">
        <v>634</v>
      </c>
      <c r="B1055">
        <v>1</v>
      </c>
      <c r="AH1055" t="s">
        <v>10</v>
      </c>
      <c r="AI1055">
        <v>1</v>
      </c>
    </row>
    <row r="1056" spans="1:35" x14ac:dyDescent="0.3">
      <c r="A1056" t="s">
        <v>174</v>
      </c>
      <c r="B1056">
        <v>1</v>
      </c>
      <c r="AH1056" t="s">
        <v>104</v>
      </c>
      <c r="AI1056">
        <v>1</v>
      </c>
    </row>
    <row r="1057" spans="1:35" x14ac:dyDescent="0.3">
      <c r="A1057" t="s">
        <v>58</v>
      </c>
      <c r="B1057">
        <v>1</v>
      </c>
      <c r="AH1057" t="s">
        <v>10</v>
      </c>
      <c r="AI1057">
        <v>1</v>
      </c>
    </row>
    <row r="1058" spans="1:35" x14ac:dyDescent="0.3">
      <c r="A1058" t="s">
        <v>743</v>
      </c>
      <c r="B1058">
        <v>1</v>
      </c>
      <c r="AH1058" t="s">
        <v>10</v>
      </c>
      <c r="AI1058">
        <v>1</v>
      </c>
    </row>
    <row r="1059" spans="1:35" x14ac:dyDescent="0.3">
      <c r="A1059" t="s">
        <v>726</v>
      </c>
      <c r="B1059">
        <v>1</v>
      </c>
      <c r="AH1059" t="s">
        <v>452</v>
      </c>
      <c r="AI1059">
        <v>1</v>
      </c>
    </row>
    <row r="1060" spans="1:35" x14ac:dyDescent="0.3">
      <c r="A1060" t="s">
        <v>11</v>
      </c>
      <c r="B1060">
        <v>1</v>
      </c>
      <c r="AH1060" t="s">
        <v>216</v>
      </c>
      <c r="AI1060">
        <v>1</v>
      </c>
    </row>
    <row r="1061" spans="1:35" x14ac:dyDescent="0.3">
      <c r="A1061" t="s">
        <v>365</v>
      </c>
      <c r="B1061">
        <v>1</v>
      </c>
      <c r="AH1061" t="s">
        <v>216</v>
      </c>
      <c r="AI1061">
        <v>1</v>
      </c>
    </row>
    <row r="1062" spans="1:35" x14ac:dyDescent="0.3">
      <c r="A1062" t="s">
        <v>130</v>
      </c>
      <c r="B1062">
        <v>1</v>
      </c>
      <c r="AH1062" t="s">
        <v>657</v>
      </c>
      <c r="AI1062">
        <v>1</v>
      </c>
    </row>
    <row r="1063" spans="1:35" x14ac:dyDescent="0.3">
      <c r="A1063" t="s">
        <v>634</v>
      </c>
      <c r="B1063">
        <v>1</v>
      </c>
      <c r="AH1063" t="s">
        <v>10</v>
      </c>
      <c r="AI1063">
        <v>1</v>
      </c>
    </row>
    <row r="1064" spans="1:35" x14ac:dyDescent="0.3">
      <c r="A1064" t="s">
        <v>98</v>
      </c>
      <c r="B1064">
        <v>1</v>
      </c>
      <c r="AH1064" t="s">
        <v>1441</v>
      </c>
      <c r="AI1064">
        <v>1</v>
      </c>
    </row>
    <row r="1065" spans="1:35" x14ac:dyDescent="0.3">
      <c r="A1065" t="s">
        <v>743</v>
      </c>
      <c r="B1065">
        <v>1</v>
      </c>
      <c r="AH1065" t="s">
        <v>10</v>
      </c>
      <c r="AI1065">
        <v>1</v>
      </c>
    </row>
    <row r="1066" spans="1:35" x14ac:dyDescent="0.3">
      <c r="A1066" t="s">
        <v>634</v>
      </c>
      <c r="B1066">
        <v>1</v>
      </c>
      <c r="AH1066" t="s">
        <v>35</v>
      </c>
      <c r="AI1066">
        <v>1</v>
      </c>
    </row>
    <row r="1067" spans="1:35" x14ac:dyDescent="0.3">
      <c r="A1067" t="s">
        <v>726</v>
      </c>
      <c r="B1067">
        <v>1</v>
      </c>
      <c r="AH1067" t="s">
        <v>436</v>
      </c>
      <c r="AI1067">
        <v>1</v>
      </c>
    </row>
    <row r="1068" spans="1:35" x14ac:dyDescent="0.3">
      <c r="A1068" t="s">
        <v>706</v>
      </c>
      <c r="B1068">
        <v>1</v>
      </c>
      <c r="AH1068" t="s">
        <v>10</v>
      </c>
      <c r="AI1068">
        <v>1</v>
      </c>
    </row>
    <row r="1069" spans="1:35" x14ac:dyDescent="0.3">
      <c r="A1069" t="s">
        <v>250</v>
      </c>
      <c r="B1069">
        <v>1</v>
      </c>
      <c r="AH1069" t="s">
        <v>10</v>
      </c>
      <c r="AI1069">
        <v>1</v>
      </c>
    </row>
    <row r="1070" spans="1:35" x14ac:dyDescent="0.3">
      <c r="A1070" t="s">
        <v>687</v>
      </c>
      <c r="B1070">
        <v>1</v>
      </c>
      <c r="AH1070" t="s">
        <v>51</v>
      </c>
      <c r="AI1070">
        <v>1</v>
      </c>
    </row>
    <row r="1071" spans="1:35" x14ac:dyDescent="0.3">
      <c r="A1071" t="s">
        <v>687</v>
      </c>
      <c r="B1071">
        <v>1</v>
      </c>
      <c r="AH1071" t="s">
        <v>10</v>
      </c>
      <c r="AI1071">
        <v>1</v>
      </c>
    </row>
    <row r="1072" spans="1:35" x14ac:dyDescent="0.3">
      <c r="A1072" t="s">
        <v>634</v>
      </c>
      <c r="B1072">
        <v>1</v>
      </c>
      <c r="AH1072" t="s">
        <v>657</v>
      </c>
      <c r="AI1072">
        <v>1</v>
      </c>
    </row>
    <row r="1073" spans="1:35" x14ac:dyDescent="0.3">
      <c r="A1073" t="s">
        <v>11</v>
      </c>
      <c r="B1073">
        <v>1</v>
      </c>
      <c r="AH1073" t="s">
        <v>124</v>
      </c>
      <c r="AI1073">
        <v>1</v>
      </c>
    </row>
    <row r="1074" spans="1:35" x14ac:dyDescent="0.3">
      <c r="A1074" t="s">
        <v>29</v>
      </c>
      <c r="B1074">
        <v>1</v>
      </c>
      <c r="AH1074" t="s">
        <v>3504</v>
      </c>
      <c r="AI1074">
        <v>1</v>
      </c>
    </row>
    <row r="1075" spans="1:35" x14ac:dyDescent="0.3">
      <c r="A1075" t="s">
        <v>23</v>
      </c>
      <c r="B1075">
        <v>1</v>
      </c>
      <c r="AH1075" t="s">
        <v>401</v>
      </c>
      <c r="AI1075">
        <v>1</v>
      </c>
    </row>
    <row r="1076" spans="1:35" x14ac:dyDescent="0.3">
      <c r="A1076" t="s">
        <v>365</v>
      </c>
      <c r="B1076">
        <v>1</v>
      </c>
      <c r="AH1076" t="s">
        <v>216</v>
      </c>
      <c r="AI1076">
        <v>1</v>
      </c>
    </row>
    <row r="1077" spans="1:35" x14ac:dyDescent="0.3">
      <c r="A1077" t="s">
        <v>11</v>
      </c>
      <c r="B1077">
        <v>1</v>
      </c>
      <c r="AH1077" t="s">
        <v>10</v>
      </c>
      <c r="AI1077">
        <v>1</v>
      </c>
    </row>
    <row r="1078" spans="1:35" x14ac:dyDescent="0.3">
      <c r="A1078" t="s">
        <v>23</v>
      </c>
      <c r="B1078">
        <v>1</v>
      </c>
      <c r="AH1078" t="s">
        <v>10</v>
      </c>
      <c r="AI1078">
        <v>1</v>
      </c>
    </row>
    <row r="1079" spans="1:35" x14ac:dyDescent="0.3">
      <c r="A1079" t="s">
        <v>64</v>
      </c>
      <c r="B1079">
        <v>1</v>
      </c>
      <c r="AH1079" t="s">
        <v>10</v>
      </c>
      <c r="AI1079">
        <v>1</v>
      </c>
    </row>
    <row r="1080" spans="1:35" x14ac:dyDescent="0.3">
      <c r="A1080" t="s">
        <v>365</v>
      </c>
      <c r="B1080">
        <v>1</v>
      </c>
      <c r="AH1080" t="s">
        <v>51</v>
      </c>
      <c r="AI1080">
        <v>1</v>
      </c>
    </row>
    <row r="1081" spans="1:35" x14ac:dyDescent="0.3">
      <c r="A1081" t="s">
        <v>743</v>
      </c>
      <c r="B1081">
        <v>1</v>
      </c>
      <c r="AH1081" t="s">
        <v>10</v>
      </c>
      <c r="AI1081">
        <v>1</v>
      </c>
    </row>
    <row r="1082" spans="1:35" x14ac:dyDescent="0.3">
      <c r="A1082" t="s">
        <v>58</v>
      </c>
      <c r="B1082">
        <v>1</v>
      </c>
      <c r="AH1082" t="s">
        <v>10</v>
      </c>
      <c r="AI1082">
        <v>1</v>
      </c>
    </row>
    <row r="1083" spans="1:35" x14ac:dyDescent="0.3">
      <c r="A1083" t="s">
        <v>58</v>
      </c>
      <c r="B1083">
        <v>1</v>
      </c>
      <c r="AH1083" t="s">
        <v>104</v>
      </c>
      <c r="AI1083">
        <v>1</v>
      </c>
    </row>
    <row r="1084" spans="1:35" x14ac:dyDescent="0.3">
      <c r="A1084" t="s">
        <v>634</v>
      </c>
      <c r="B1084">
        <v>1</v>
      </c>
      <c r="AH1084" t="s">
        <v>10</v>
      </c>
      <c r="AI1084">
        <v>1</v>
      </c>
    </row>
    <row r="1085" spans="1:35" x14ac:dyDescent="0.3">
      <c r="A1085" t="s">
        <v>58</v>
      </c>
      <c r="B1085">
        <v>1</v>
      </c>
      <c r="AH1085" t="s">
        <v>10</v>
      </c>
      <c r="AI1085">
        <v>1</v>
      </c>
    </row>
    <row r="1086" spans="1:35" x14ac:dyDescent="0.3">
      <c r="A1086" t="s">
        <v>23</v>
      </c>
      <c r="B1086">
        <v>1</v>
      </c>
      <c r="AH1086" t="s">
        <v>35</v>
      </c>
      <c r="AI1086">
        <v>1</v>
      </c>
    </row>
    <row r="1087" spans="1:35" x14ac:dyDescent="0.3">
      <c r="A1087" t="s">
        <v>634</v>
      </c>
      <c r="B1087">
        <v>1</v>
      </c>
      <c r="AH1087" t="s">
        <v>436</v>
      </c>
      <c r="AI1087">
        <v>1</v>
      </c>
    </row>
    <row r="1088" spans="1:35" x14ac:dyDescent="0.3">
      <c r="A1088" t="s">
        <v>130</v>
      </c>
      <c r="B1088">
        <v>1</v>
      </c>
      <c r="AH1088" t="s">
        <v>681</v>
      </c>
      <c r="AI1088">
        <v>1</v>
      </c>
    </row>
    <row r="1089" spans="1:35" x14ac:dyDescent="0.3">
      <c r="A1089" t="s">
        <v>29</v>
      </c>
      <c r="B1089">
        <v>1</v>
      </c>
      <c r="AH1089" t="s">
        <v>10</v>
      </c>
      <c r="AI1089">
        <v>1</v>
      </c>
    </row>
    <row r="1090" spans="1:35" x14ac:dyDescent="0.3">
      <c r="A1090" t="s">
        <v>634</v>
      </c>
      <c r="B1090">
        <v>1</v>
      </c>
      <c r="AH1090" t="s">
        <v>417</v>
      </c>
      <c r="AI1090">
        <v>1</v>
      </c>
    </row>
    <row r="1091" spans="1:35" x14ac:dyDescent="0.3">
      <c r="A1091" t="s">
        <v>11</v>
      </c>
      <c r="B1091">
        <v>1</v>
      </c>
      <c r="AH1091" t="s">
        <v>297</v>
      </c>
      <c r="AI1091">
        <v>1</v>
      </c>
    </row>
    <row r="1092" spans="1:35" x14ac:dyDescent="0.3">
      <c r="A1092" t="s">
        <v>151</v>
      </c>
      <c r="B1092">
        <v>1</v>
      </c>
      <c r="AH1092" t="s">
        <v>10</v>
      </c>
      <c r="AI1092">
        <v>1</v>
      </c>
    </row>
    <row r="1093" spans="1:35" x14ac:dyDescent="0.3">
      <c r="A1093" t="s">
        <v>52</v>
      </c>
      <c r="B1093">
        <v>1</v>
      </c>
      <c r="AH1093" t="s">
        <v>249</v>
      </c>
      <c r="AI1093">
        <v>1</v>
      </c>
    </row>
    <row r="1094" spans="1:35" x14ac:dyDescent="0.3">
      <c r="A1094" t="s">
        <v>58</v>
      </c>
      <c r="B1094">
        <v>1</v>
      </c>
      <c r="AH1094" t="s">
        <v>10</v>
      </c>
      <c r="AI1094">
        <v>1</v>
      </c>
    </row>
    <row r="1095" spans="1:35" x14ac:dyDescent="0.3">
      <c r="A1095" t="s">
        <v>52</v>
      </c>
      <c r="B1095">
        <v>1</v>
      </c>
      <c r="AH1095" t="s">
        <v>10</v>
      </c>
      <c r="AI1095">
        <v>1</v>
      </c>
    </row>
    <row r="1096" spans="1:35" x14ac:dyDescent="0.3">
      <c r="A1096" t="s">
        <v>243</v>
      </c>
      <c r="B1096">
        <v>1</v>
      </c>
      <c r="AH1096" t="s">
        <v>10</v>
      </c>
      <c r="AI1096">
        <v>1</v>
      </c>
    </row>
    <row r="1097" spans="1:35" x14ac:dyDescent="0.3">
      <c r="A1097" t="s">
        <v>726</v>
      </c>
      <c r="B1097">
        <v>1</v>
      </c>
      <c r="AH1097" t="s">
        <v>10</v>
      </c>
      <c r="AI1097">
        <v>1</v>
      </c>
    </row>
    <row r="1098" spans="1:35" x14ac:dyDescent="0.3">
      <c r="A1098" t="s">
        <v>151</v>
      </c>
      <c r="B1098">
        <v>1</v>
      </c>
      <c r="AH1098" t="s">
        <v>1617</v>
      </c>
      <c r="AI1098">
        <v>1</v>
      </c>
    </row>
    <row r="1099" spans="1:35" x14ac:dyDescent="0.3">
      <c r="A1099" t="s">
        <v>29</v>
      </c>
      <c r="B1099">
        <v>1</v>
      </c>
      <c r="AH1099" t="s">
        <v>10</v>
      </c>
      <c r="AI1099">
        <v>1</v>
      </c>
    </row>
    <row r="1100" spans="1:35" x14ac:dyDescent="0.3">
      <c r="A1100" t="s">
        <v>29</v>
      </c>
      <c r="B1100">
        <v>1</v>
      </c>
      <c r="AH1100" t="s">
        <v>10</v>
      </c>
      <c r="AI1100">
        <v>1</v>
      </c>
    </row>
    <row r="1101" spans="1:35" x14ac:dyDescent="0.3">
      <c r="A1101" t="s">
        <v>743</v>
      </c>
      <c r="B1101">
        <v>1</v>
      </c>
      <c r="AH1101" t="s">
        <v>10</v>
      </c>
      <c r="AI1101">
        <v>1</v>
      </c>
    </row>
    <row r="1102" spans="1:35" x14ac:dyDescent="0.3">
      <c r="A1102" t="s">
        <v>29</v>
      </c>
      <c r="B1102">
        <v>1</v>
      </c>
      <c r="AH1102" t="s">
        <v>3550</v>
      </c>
      <c r="AI1102">
        <v>1</v>
      </c>
    </row>
    <row r="1103" spans="1:35" x14ac:dyDescent="0.3">
      <c r="A1103" t="s">
        <v>715</v>
      </c>
      <c r="B1103">
        <v>1</v>
      </c>
      <c r="AH1103" t="s">
        <v>2364</v>
      </c>
      <c r="AI1103">
        <v>1</v>
      </c>
    </row>
    <row r="1104" spans="1:35" x14ac:dyDescent="0.3">
      <c r="A1104" t="s">
        <v>634</v>
      </c>
      <c r="B1104">
        <v>1</v>
      </c>
      <c r="AH1104" t="s">
        <v>10</v>
      </c>
      <c r="AI1104">
        <v>1</v>
      </c>
    </row>
    <row r="1105" spans="1:35" x14ac:dyDescent="0.3">
      <c r="A1105" t="s">
        <v>11</v>
      </c>
      <c r="B1105">
        <v>1</v>
      </c>
      <c r="AH1105" t="s">
        <v>10</v>
      </c>
      <c r="AI1105">
        <v>1</v>
      </c>
    </row>
    <row r="1106" spans="1:35" x14ac:dyDescent="0.3">
      <c r="A1106" t="s">
        <v>151</v>
      </c>
      <c r="B1106">
        <v>1</v>
      </c>
      <c r="AH1106" t="s">
        <v>1632</v>
      </c>
      <c r="AI1106">
        <v>1</v>
      </c>
    </row>
    <row r="1107" spans="1:35" x14ac:dyDescent="0.3">
      <c r="A1107" t="s">
        <v>64</v>
      </c>
      <c r="B1107">
        <v>1</v>
      </c>
      <c r="AH1107" t="s">
        <v>249</v>
      </c>
      <c r="AI1107">
        <v>1</v>
      </c>
    </row>
    <row r="1108" spans="1:35" x14ac:dyDescent="0.3">
      <c r="A1108" t="s">
        <v>11</v>
      </c>
      <c r="B1108">
        <v>1</v>
      </c>
      <c r="AH1108" t="s">
        <v>10</v>
      </c>
      <c r="AI1108">
        <v>1</v>
      </c>
    </row>
    <row r="1109" spans="1:35" x14ac:dyDescent="0.3">
      <c r="A1109" t="s">
        <v>11</v>
      </c>
      <c r="B1109">
        <v>1</v>
      </c>
      <c r="AH1109" t="s">
        <v>10</v>
      </c>
      <c r="AI1109">
        <v>1</v>
      </c>
    </row>
    <row r="1110" spans="1:35" x14ac:dyDescent="0.3">
      <c r="A1110" t="s">
        <v>58</v>
      </c>
      <c r="B1110">
        <v>1</v>
      </c>
      <c r="AH1110" t="s">
        <v>1925</v>
      </c>
      <c r="AI1110">
        <v>1</v>
      </c>
    </row>
    <row r="1111" spans="1:35" x14ac:dyDescent="0.3">
      <c r="A1111" t="s">
        <v>232</v>
      </c>
      <c r="B1111">
        <v>1</v>
      </c>
      <c r="AH1111" t="s">
        <v>35</v>
      </c>
      <c r="AI1111">
        <v>1</v>
      </c>
    </row>
    <row r="1112" spans="1:35" x14ac:dyDescent="0.3">
      <c r="A1112" t="s">
        <v>23</v>
      </c>
      <c r="B1112">
        <v>1</v>
      </c>
      <c r="AH1112" t="s">
        <v>297</v>
      </c>
      <c r="AI1112">
        <v>1</v>
      </c>
    </row>
    <row r="1113" spans="1:35" x14ac:dyDescent="0.3">
      <c r="A1113" t="s">
        <v>58</v>
      </c>
      <c r="B1113">
        <v>1</v>
      </c>
      <c r="AH1113" t="s">
        <v>10</v>
      </c>
      <c r="AI1113">
        <v>1</v>
      </c>
    </row>
    <row r="1114" spans="1:35" x14ac:dyDescent="0.3">
      <c r="A1114" t="s">
        <v>743</v>
      </c>
      <c r="B1114">
        <v>1</v>
      </c>
      <c r="AH1114" t="s">
        <v>51</v>
      </c>
      <c r="AI1114">
        <v>1</v>
      </c>
    </row>
    <row r="1115" spans="1:35" x14ac:dyDescent="0.3">
      <c r="A1115" t="s">
        <v>58</v>
      </c>
      <c r="B1115">
        <v>1</v>
      </c>
      <c r="AH1115" t="s">
        <v>205</v>
      </c>
      <c r="AI1115">
        <v>1</v>
      </c>
    </row>
    <row r="1116" spans="1:35" x14ac:dyDescent="0.3">
      <c r="A1116" t="s">
        <v>792</v>
      </c>
      <c r="B1116">
        <v>1</v>
      </c>
      <c r="AH1116" t="s">
        <v>249</v>
      </c>
      <c r="AI1116">
        <v>1</v>
      </c>
    </row>
    <row r="1117" spans="1:35" x14ac:dyDescent="0.3">
      <c r="A1117" t="s">
        <v>23</v>
      </c>
      <c r="B1117">
        <v>1</v>
      </c>
      <c r="AH1117" t="s">
        <v>10</v>
      </c>
      <c r="AI1117">
        <v>1</v>
      </c>
    </row>
    <row r="1118" spans="1:35" x14ac:dyDescent="0.3">
      <c r="A1118" t="s">
        <v>715</v>
      </c>
      <c r="B1118">
        <v>1</v>
      </c>
      <c r="AH1118" t="s">
        <v>10</v>
      </c>
      <c r="AI1118">
        <v>1</v>
      </c>
    </row>
    <row r="1119" spans="1:35" x14ac:dyDescent="0.3">
      <c r="A1119" t="s">
        <v>792</v>
      </c>
      <c r="B1119">
        <v>1</v>
      </c>
      <c r="AH1119" t="s">
        <v>3359</v>
      </c>
      <c r="AI1119">
        <v>1</v>
      </c>
    </row>
    <row r="1120" spans="1:35" x14ac:dyDescent="0.3">
      <c r="A1120" t="s">
        <v>560</v>
      </c>
      <c r="B1120">
        <v>1</v>
      </c>
      <c r="AH1120" t="s">
        <v>10</v>
      </c>
      <c r="AI1120">
        <v>1</v>
      </c>
    </row>
    <row r="1121" spans="1:35" x14ac:dyDescent="0.3">
      <c r="A1121" t="s">
        <v>64</v>
      </c>
      <c r="B1121">
        <v>1</v>
      </c>
      <c r="AH1121" t="s">
        <v>10</v>
      </c>
      <c r="AI1121">
        <v>1</v>
      </c>
    </row>
    <row r="1122" spans="1:35" x14ac:dyDescent="0.3">
      <c r="A1122" t="s">
        <v>58</v>
      </c>
      <c r="B1122">
        <v>1</v>
      </c>
      <c r="AH1122" t="s">
        <v>452</v>
      </c>
      <c r="AI1122">
        <v>1</v>
      </c>
    </row>
    <row r="1123" spans="1:35" x14ac:dyDescent="0.3">
      <c r="A1123" t="s">
        <v>743</v>
      </c>
      <c r="B1123">
        <v>1</v>
      </c>
      <c r="AH1123" t="s">
        <v>10</v>
      </c>
      <c r="AI1123">
        <v>1</v>
      </c>
    </row>
    <row r="1124" spans="1:35" x14ac:dyDescent="0.3">
      <c r="A1124" t="s">
        <v>141</v>
      </c>
      <c r="B1124">
        <v>1</v>
      </c>
      <c r="AH1124" t="s">
        <v>10</v>
      </c>
      <c r="AI1124">
        <v>1</v>
      </c>
    </row>
    <row r="1125" spans="1:35" x14ac:dyDescent="0.3">
      <c r="A1125" t="s">
        <v>52</v>
      </c>
      <c r="B1125">
        <v>1</v>
      </c>
      <c r="AH1125" t="s">
        <v>10</v>
      </c>
      <c r="AI1125">
        <v>1</v>
      </c>
    </row>
    <row r="1126" spans="1:35" x14ac:dyDescent="0.3">
      <c r="A1126" t="s">
        <v>345</v>
      </c>
      <c r="B1126">
        <v>1</v>
      </c>
      <c r="AH1126" t="s">
        <v>3592</v>
      </c>
      <c r="AI1126">
        <v>1</v>
      </c>
    </row>
    <row r="1127" spans="1:35" x14ac:dyDescent="0.3">
      <c r="A1127" t="s">
        <v>11</v>
      </c>
      <c r="B1127">
        <v>1</v>
      </c>
      <c r="AH1127" t="s">
        <v>2672</v>
      </c>
      <c r="AI1127">
        <v>1</v>
      </c>
    </row>
    <row r="1128" spans="1:35" x14ac:dyDescent="0.3">
      <c r="A1128" t="s">
        <v>345</v>
      </c>
      <c r="B1128">
        <v>1</v>
      </c>
      <c r="AH1128" t="s">
        <v>737</v>
      </c>
      <c r="AI1128">
        <v>1</v>
      </c>
    </row>
    <row r="1129" spans="1:35" x14ac:dyDescent="0.3">
      <c r="A1129" t="s">
        <v>510</v>
      </c>
      <c r="B1129">
        <v>1</v>
      </c>
      <c r="AH1129" t="s">
        <v>51</v>
      </c>
      <c r="AI1129">
        <v>1</v>
      </c>
    </row>
    <row r="1130" spans="1:35" x14ac:dyDescent="0.3">
      <c r="A1130" t="s">
        <v>64</v>
      </c>
      <c r="B1130">
        <v>1</v>
      </c>
      <c r="AH1130" t="s">
        <v>10</v>
      </c>
      <c r="AI1130">
        <v>1</v>
      </c>
    </row>
    <row r="1131" spans="1:35" x14ac:dyDescent="0.3">
      <c r="A1131" t="s">
        <v>98</v>
      </c>
      <c r="B1131">
        <v>1</v>
      </c>
      <c r="AH1131" t="s">
        <v>10</v>
      </c>
      <c r="AI1131">
        <v>1</v>
      </c>
    </row>
    <row r="1132" spans="1:35" x14ac:dyDescent="0.3">
      <c r="A1132" t="s">
        <v>11</v>
      </c>
      <c r="B1132">
        <v>1</v>
      </c>
      <c r="AH1132" t="s">
        <v>1992</v>
      </c>
      <c r="AI1132">
        <v>1</v>
      </c>
    </row>
    <row r="1133" spans="1:35" x14ac:dyDescent="0.3">
      <c r="A1133" t="s">
        <v>365</v>
      </c>
      <c r="B1133">
        <v>1</v>
      </c>
      <c r="AH1133" t="s">
        <v>51</v>
      </c>
      <c r="AI1133">
        <v>1</v>
      </c>
    </row>
    <row r="1134" spans="1:35" x14ac:dyDescent="0.3">
      <c r="A1134" t="s">
        <v>11</v>
      </c>
      <c r="B1134">
        <v>1</v>
      </c>
      <c r="AH1134" t="s">
        <v>2329</v>
      </c>
      <c r="AI1134">
        <v>1</v>
      </c>
    </row>
    <row r="1135" spans="1:35" x14ac:dyDescent="0.3">
      <c r="A1135" t="s">
        <v>706</v>
      </c>
      <c r="B1135">
        <v>1</v>
      </c>
      <c r="AH1135" t="s">
        <v>10</v>
      </c>
      <c r="AI1135">
        <v>1</v>
      </c>
    </row>
    <row r="1136" spans="1:35" x14ac:dyDescent="0.3">
      <c r="A1136" t="s">
        <v>151</v>
      </c>
      <c r="B1136">
        <v>1</v>
      </c>
      <c r="AH1136" t="s">
        <v>417</v>
      </c>
      <c r="AI1136">
        <v>1</v>
      </c>
    </row>
    <row r="1137" spans="1:35" x14ac:dyDescent="0.3">
      <c r="A1137" t="s">
        <v>706</v>
      </c>
      <c r="B1137">
        <v>1</v>
      </c>
      <c r="AH1137" t="s">
        <v>417</v>
      </c>
      <c r="AI1137">
        <v>1</v>
      </c>
    </row>
    <row r="1138" spans="1:35" x14ac:dyDescent="0.3">
      <c r="A1138" t="s">
        <v>792</v>
      </c>
      <c r="B1138">
        <v>1</v>
      </c>
      <c r="AH1138" t="s">
        <v>737</v>
      </c>
      <c r="AI1138">
        <v>1</v>
      </c>
    </row>
    <row r="1139" spans="1:35" x14ac:dyDescent="0.3">
      <c r="A1139" t="s">
        <v>706</v>
      </c>
      <c r="B1139">
        <v>1</v>
      </c>
      <c r="AH1139" t="s">
        <v>10</v>
      </c>
      <c r="AI1139">
        <v>1</v>
      </c>
    </row>
    <row r="1140" spans="1:35" x14ac:dyDescent="0.3">
      <c r="A1140" t="s">
        <v>52</v>
      </c>
      <c r="B1140">
        <v>1</v>
      </c>
      <c r="AH1140" t="s">
        <v>10</v>
      </c>
      <c r="AI1140">
        <v>1</v>
      </c>
    </row>
    <row r="1141" spans="1:35" x14ac:dyDescent="0.3">
      <c r="A1141" t="s">
        <v>130</v>
      </c>
      <c r="B1141">
        <v>1</v>
      </c>
      <c r="AH1141" t="s">
        <v>76</v>
      </c>
      <c r="AI1141">
        <v>1</v>
      </c>
    </row>
    <row r="1142" spans="1:35" x14ac:dyDescent="0.3">
      <c r="A1142" t="s">
        <v>232</v>
      </c>
      <c r="B1142">
        <v>1</v>
      </c>
      <c r="AH1142" t="s">
        <v>417</v>
      </c>
      <c r="AI1142">
        <v>1</v>
      </c>
    </row>
    <row r="1143" spans="1:35" x14ac:dyDescent="0.3">
      <c r="A1143" t="s">
        <v>706</v>
      </c>
      <c r="B1143">
        <v>1</v>
      </c>
      <c r="AH1143" t="s">
        <v>10</v>
      </c>
      <c r="AI1143">
        <v>1</v>
      </c>
    </row>
    <row r="1144" spans="1:35" x14ac:dyDescent="0.3">
      <c r="A1144" t="s">
        <v>151</v>
      </c>
      <c r="B1144">
        <v>1</v>
      </c>
      <c r="AH1144" t="s">
        <v>2329</v>
      </c>
      <c r="AI1144">
        <v>1</v>
      </c>
    </row>
    <row r="1145" spans="1:35" x14ac:dyDescent="0.3">
      <c r="A1145" t="s">
        <v>58</v>
      </c>
      <c r="B1145">
        <v>1</v>
      </c>
      <c r="AH1145" t="s">
        <v>10</v>
      </c>
      <c r="AI1145">
        <v>1</v>
      </c>
    </row>
    <row r="1146" spans="1:35" x14ac:dyDescent="0.3">
      <c r="A1146" t="s">
        <v>174</v>
      </c>
      <c r="B1146">
        <v>1</v>
      </c>
      <c r="AH1146" t="s">
        <v>10</v>
      </c>
      <c r="AI1146">
        <v>1</v>
      </c>
    </row>
    <row r="1147" spans="1:35" x14ac:dyDescent="0.3">
      <c r="A1147" t="s">
        <v>250</v>
      </c>
      <c r="B1147">
        <v>1</v>
      </c>
      <c r="AH1147" t="s">
        <v>10</v>
      </c>
      <c r="AI1147">
        <v>1</v>
      </c>
    </row>
    <row r="1148" spans="1:35" x14ac:dyDescent="0.3">
      <c r="A1148" t="s">
        <v>726</v>
      </c>
      <c r="B1148">
        <v>1</v>
      </c>
      <c r="AH1148" t="s">
        <v>10</v>
      </c>
      <c r="AI1148">
        <v>1</v>
      </c>
    </row>
    <row r="1149" spans="1:35" x14ac:dyDescent="0.3">
      <c r="A1149" t="s">
        <v>11</v>
      </c>
      <c r="B1149">
        <v>1</v>
      </c>
      <c r="AH1149" t="s">
        <v>205</v>
      </c>
      <c r="AI1149">
        <v>1</v>
      </c>
    </row>
    <row r="1150" spans="1:35" x14ac:dyDescent="0.3">
      <c r="A1150" t="s">
        <v>743</v>
      </c>
      <c r="B1150">
        <v>1</v>
      </c>
      <c r="AH1150" t="s">
        <v>10</v>
      </c>
      <c r="AI1150">
        <v>1</v>
      </c>
    </row>
    <row r="1151" spans="1:35" x14ac:dyDescent="0.3">
      <c r="A1151" t="s">
        <v>11</v>
      </c>
      <c r="B1151">
        <v>1</v>
      </c>
      <c r="AH1151" t="s">
        <v>2172</v>
      </c>
      <c r="AI1151">
        <v>1</v>
      </c>
    </row>
    <row r="1152" spans="1:35" x14ac:dyDescent="0.3">
      <c r="A1152" t="s">
        <v>64</v>
      </c>
      <c r="B1152">
        <v>1</v>
      </c>
      <c r="AH1152" t="s">
        <v>10</v>
      </c>
      <c r="AI1152">
        <v>1</v>
      </c>
    </row>
    <row r="1153" spans="1:35" x14ac:dyDescent="0.3">
      <c r="A1153" t="s">
        <v>11</v>
      </c>
      <c r="B1153">
        <v>1</v>
      </c>
      <c r="AH1153" t="s">
        <v>1679</v>
      </c>
      <c r="AI1153">
        <v>1</v>
      </c>
    </row>
    <row r="1154" spans="1:35" x14ac:dyDescent="0.3">
      <c r="A1154" t="s">
        <v>29</v>
      </c>
      <c r="B1154">
        <v>1</v>
      </c>
      <c r="AH1154" t="s">
        <v>401</v>
      </c>
      <c r="AI1154">
        <v>1</v>
      </c>
    </row>
    <row r="1155" spans="1:35" x14ac:dyDescent="0.3">
      <c r="A1155" t="s">
        <v>64</v>
      </c>
      <c r="B1155">
        <v>1</v>
      </c>
      <c r="AH1155" t="s">
        <v>10</v>
      </c>
      <c r="AI1155">
        <v>1</v>
      </c>
    </row>
    <row r="1156" spans="1:35" x14ac:dyDescent="0.3">
      <c r="A1156" t="s">
        <v>232</v>
      </c>
      <c r="B1156">
        <v>1</v>
      </c>
      <c r="AH1156" t="s">
        <v>452</v>
      </c>
      <c r="AI1156">
        <v>1</v>
      </c>
    </row>
    <row r="1157" spans="1:35" x14ac:dyDescent="0.3">
      <c r="A1157" t="s">
        <v>250</v>
      </c>
      <c r="B1157">
        <v>1</v>
      </c>
      <c r="AH1157" t="s">
        <v>51</v>
      </c>
      <c r="AI1157">
        <v>1</v>
      </c>
    </row>
    <row r="1158" spans="1:35" x14ac:dyDescent="0.3">
      <c r="A1158" t="s">
        <v>726</v>
      </c>
      <c r="B1158">
        <v>1</v>
      </c>
      <c r="AH1158" t="s">
        <v>452</v>
      </c>
      <c r="AI1158">
        <v>1</v>
      </c>
    </row>
    <row r="1159" spans="1:35" x14ac:dyDescent="0.3">
      <c r="A1159" t="s">
        <v>743</v>
      </c>
      <c r="B1159">
        <v>1</v>
      </c>
      <c r="AH1159" t="s">
        <v>10</v>
      </c>
      <c r="AI1159">
        <v>1</v>
      </c>
    </row>
    <row r="1160" spans="1:35" x14ac:dyDescent="0.3">
      <c r="A1160" t="s">
        <v>11</v>
      </c>
      <c r="B1160">
        <v>1</v>
      </c>
      <c r="AH1160" t="s">
        <v>1441</v>
      </c>
      <c r="AI1160">
        <v>1</v>
      </c>
    </row>
    <row r="1161" spans="1:35" x14ac:dyDescent="0.3">
      <c r="A1161" t="s">
        <v>345</v>
      </c>
      <c r="B1161">
        <v>1</v>
      </c>
      <c r="AH1161" t="s">
        <v>10</v>
      </c>
      <c r="AI1161">
        <v>1</v>
      </c>
    </row>
    <row r="1162" spans="1:35" x14ac:dyDescent="0.3">
      <c r="A1162" t="s">
        <v>23</v>
      </c>
      <c r="B1162">
        <v>1</v>
      </c>
      <c r="AH1162" t="s">
        <v>401</v>
      </c>
      <c r="AI1162">
        <v>1</v>
      </c>
    </row>
    <row r="1163" spans="1:35" x14ac:dyDescent="0.3">
      <c r="A1163" t="s">
        <v>743</v>
      </c>
      <c r="B1163">
        <v>1</v>
      </c>
      <c r="AH1163" t="s">
        <v>35</v>
      </c>
      <c r="AI1163">
        <v>1</v>
      </c>
    </row>
    <row r="1164" spans="1:35" x14ac:dyDescent="0.3">
      <c r="A1164" t="s">
        <v>560</v>
      </c>
      <c r="B1164">
        <v>1</v>
      </c>
      <c r="AH1164" t="s">
        <v>10</v>
      </c>
      <c r="AI1164">
        <v>1</v>
      </c>
    </row>
    <row r="1165" spans="1:35" x14ac:dyDescent="0.3">
      <c r="A1165" t="s">
        <v>726</v>
      </c>
      <c r="B1165">
        <v>1</v>
      </c>
      <c r="AH1165" t="s">
        <v>35</v>
      </c>
      <c r="AI1165">
        <v>1</v>
      </c>
    </row>
    <row r="1166" spans="1:35" x14ac:dyDescent="0.3">
      <c r="A1166" t="s">
        <v>743</v>
      </c>
      <c r="B1166">
        <v>1</v>
      </c>
      <c r="AH1166" t="s">
        <v>70</v>
      </c>
      <c r="AI1166">
        <v>1</v>
      </c>
    </row>
    <row r="1167" spans="1:35" x14ac:dyDescent="0.3">
      <c r="A1167" t="s">
        <v>29</v>
      </c>
      <c r="B1167">
        <v>1</v>
      </c>
      <c r="AH1167" t="s">
        <v>51</v>
      </c>
      <c r="AI1167">
        <v>1</v>
      </c>
    </row>
    <row r="1168" spans="1:35" x14ac:dyDescent="0.3">
      <c r="A1168" t="s">
        <v>64</v>
      </c>
      <c r="B1168">
        <v>1</v>
      </c>
      <c r="AH1168" t="s">
        <v>51</v>
      </c>
      <c r="AI1168">
        <v>1</v>
      </c>
    </row>
    <row r="1169" spans="1:35" x14ac:dyDescent="0.3">
      <c r="A1169" t="s">
        <v>243</v>
      </c>
      <c r="B1169">
        <v>1</v>
      </c>
      <c r="AH1169" t="s">
        <v>51</v>
      </c>
      <c r="AI1169">
        <v>1</v>
      </c>
    </row>
    <row r="1170" spans="1:35" x14ac:dyDescent="0.3">
      <c r="A1170" t="s">
        <v>151</v>
      </c>
      <c r="B1170">
        <v>1</v>
      </c>
      <c r="AH1170" t="s">
        <v>1441</v>
      </c>
      <c r="AI1170">
        <v>1</v>
      </c>
    </row>
    <row r="1171" spans="1:35" x14ac:dyDescent="0.3">
      <c r="A1171" t="s">
        <v>58</v>
      </c>
      <c r="B1171">
        <v>1</v>
      </c>
      <c r="AH1171" t="s">
        <v>10</v>
      </c>
      <c r="AI1171">
        <v>1</v>
      </c>
    </row>
    <row r="1172" spans="1:35" x14ac:dyDescent="0.3">
      <c r="A1172" t="s">
        <v>634</v>
      </c>
      <c r="B1172">
        <v>1</v>
      </c>
      <c r="AH1172" t="s">
        <v>35</v>
      </c>
      <c r="AI1172">
        <v>1</v>
      </c>
    </row>
    <row r="1173" spans="1:35" x14ac:dyDescent="0.3">
      <c r="A1173" t="s">
        <v>634</v>
      </c>
      <c r="B1173">
        <v>1</v>
      </c>
      <c r="AH1173" t="s">
        <v>35</v>
      </c>
      <c r="AI1173">
        <v>1</v>
      </c>
    </row>
    <row r="1174" spans="1:35" x14ac:dyDescent="0.3">
      <c r="A1174" t="s">
        <v>634</v>
      </c>
      <c r="B1174">
        <v>1</v>
      </c>
      <c r="AH1174" t="s">
        <v>452</v>
      </c>
      <c r="AI1174">
        <v>1</v>
      </c>
    </row>
    <row r="1175" spans="1:35" x14ac:dyDescent="0.3">
      <c r="A1175" t="s">
        <v>23</v>
      </c>
      <c r="B1175">
        <v>1</v>
      </c>
      <c r="AH1175" t="s">
        <v>10</v>
      </c>
      <c r="AI1175">
        <v>1</v>
      </c>
    </row>
    <row r="1176" spans="1:35" x14ac:dyDescent="0.3">
      <c r="A1176" t="s">
        <v>64</v>
      </c>
      <c r="B1176">
        <v>1</v>
      </c>
      <c r="AH1176" t="s">
        <v>10</v>
      </c>
      <c r="AI1176">
        <v>1</v>
      </c>
    </row>
    <row r="1177" spans="1:35" x14ac:dyDescent="0.3">
      <c r="A1177" t="s">
        <v>250</v>
      </c>
      <c r="B1177">
        <v>1</v>
      </c>
      <c r="AH1177" t="s">
        <v>10</v>
      </c>
      <c r="AI1177">
        <v>1</v>
      </c>
    </row>
    <row r="1178" spans="1:35" x14ac:dyDescent="0.3">
      <c r="A1178" t="s">
        <v>743</v>
      </c>
      <c r="B1178">
        <v>1</v>
      </c>
      <c r="AH1178" t="s">
        <v>10</v>
      </c>
      <c r="AI1178">
        <v>1</v>
      </c>
    </row>
    <row r="1179" spans="1:35" x14ac:dyDescent="0.3">
      <c r="A1179" t="s">
        <v>58</v>
      </c>
      <c r="B1179">
        <v>1</v>
      </c>
      <c r="AH1179" t="s">
        <v>124</v>
      </c>
      <c r="AI1179">
        <v>1</v>
      </c>
    </row>
    <row r="1180" spans="1:35" x14ac:dyDescent="0.3">
      <c r="A1180" t="s">
        <v>510</v>
      </c>
      <c r="B1180">
        <v>1</v>
      </c>
      <c r="AH1180" t="s">
        <v>51</v>
      </c>
      <c r="AI1180">
        <v>1</v>
      </c>
    </row>
    <row r="1181" spans="1:35" x14ac:dyDescent="0.3">
      <c r="A1181" t="s">
        <v>365</v>
      </c>
      <c r="B1181">
        <v>1</v>
      </c>
      <c r="AH1181" t="s">
        <v>2172</v>
      </c>
      <c r="AI1181">
        <v>1</v>
      </c>
    </row>
    <row r="1182" spans="1:35" x14ac:dyDescent="0.3">
      <c r="A1182" t="s">
        <v>726</v>
      </c>
      <c r="B1182">
        <v>1</v>
      </c>
      <c r="AH1182" t="s">
        <v>51</v>
      </c>
      <c r="AI1182">
        <v>1</v>
      </c>
    </row>
    <row r="1183" spans="1:35" x14ac:dyDescent="0.3">
      <c r="A1183" t="s">
        <v>52</v>
      </c>
      <c r="B1183">
        <v>1</v>
      </c>
      <c r="AH1183" t="s">
        <v>10</v>
      </c>
      <c r="AI1183">
        <v>1</v>
      </c>
    </row>
    <row r="1184" spans="1:35" x14ac:dyDescent="0.3">
      <c r="A1184" t="s">
        <v>706</v>
      </c>
      <c r="B1184">
        <v>1</v>
      </c>
      <c r="AH1184" t="s">
        <v>10</v>
      </c>
      <c r="AI1184">
        <v>1</v>
      </c>
    </row>
    <row r="1185" spans="1:35" x14ac:dyDescent="0.3">
      <c r="A1185" t="s">
        <v>345</v>
      </c>
      <c r="B1185">
        <v>1</v>
      </c>
      <c r="AH1185" t="s">
        <v>1632</v>
      </c>
      <c r="AI1185">
        <v>1</v>
      </c>
    </row>
    <row r="1186" spans="1:35" x14ac:dyDescent="0.3">
      <c r="A1186" t="s">
        <v>726</v>
      </c>
      <c r="B1186">
        <v>1</v>
      </c>
      <c r="AH1186" t="s">
        <v>35</v>
      </c>
      <c r="AI1186">
        <v>1</v>
      </c>
    </row>
    <row r="1187" spans="1:35" x14ac:dyDescent="0.3">
      <c r="A1187" t="s">
        <v>726</v>
      </c>
      <c r="B1187">
        <v>1</v>
      </c>
      <c r="AH1187" t="s">
        <v>10</v>
      </c>
      <c r="AI1187">
        <v>1</v>
      </c>
    </row>
    <row r="1188" spans="1:35" x14ac:dyDescent="0.3">
      <c r="A1188" t="s">
        <v>510</v>
      </c>
      <c r="B1188">
        <v>1</v>
      </c>
      <c r="AH1188" t="s">
        <v>124</v>
      </c>
      <c r="AI1188">
        <v>1</v>
      </c>
    </row>
    <row r="1189" spans="1:35" x14ac:dyDescent="0.3">
      <c r="A1189" t="s">
        <v>726</v>
      </c>
      <c r="B1189">
        <v>1</v>
      </c>
      <c r="AH1189" t="s">
        <v>104</v>
      </c>
      <c r="AI1189">
        <v>1</v>
      </c>
    </row>
    <row r="1190" spans="1:35" x14ac:dyDescent="0.3">
      <c r="A1190" t="s">
        <v>98</v>
      </c>
      <c r="B1190">
        <v>1</v>
      </c>
      <c r="AH1190" t="s">
        <v>104</v>
      </c>
      <c r="AI1190">
        <v>1</v>
      </c>
    </row>
    <row r="1191" spans="1:35" x14ac:dyDescent="0.3">
      <c r="A1191" t="s">
        <v>130</v>
      </c>
      <c r="B1191">
        <v>1</v>
      </c>
      <c r="AH1191" t="s">
        <v>10</v>
      </c>
      <c r="AI1191">
        <v>1</v>
      </c>
    </row>
    <row r="1192" spans="1:35" x14ac:dyDescent="0.3">
      <c r="A1192" t="s">
        <v>743</v>
      </c>
      <c r="B1192">
        <v>1</v>
      </c>
      <c r="AH1192" t="s">
        <v>10</v>
      </c>
      <c r="AI1192">
        <v>1</v>
      </c>
    </row>
    <row r="1193" spans="1:35" x14ac:dyDescent="0.3">
      <c r="A1193" t="s">
        <v>243</v>
      </c>
      <c r="B1193">
        <v>1</v>
      </c>
      <c r="AH1193" t="s">
        <v>737</v>
      </c>
      <c r="AI1193">
        <v>1</v>
      </c>
    </row>
    <row r="1194" spans="1:35" x14ac:dyDescent="0.3">
      <c r="A1194" t="s">
        <v>151</v>
      </c>
      <c r="B1194">
        <v>1</v>
      </c>
      <c r="AH1194" t="s">
        <v>696</v>
      </c>
      <c r="AI1194">
        <v>1</v>
      </c>
    </row>
    <row r="1195" spans="1:35" x14ac:dyDescent="0.3">
      <c r="A1195" t="s">
        <v>17</v>
      </c>
      <c r="B1195">
        <v>1</v>
      </c>
      <c r="AH1195" t="s">
        <v>2172</v>
      </c>
      <c r="AI1195">
        <v>1</v>
      </c>
    </row>
    <row r="1196" spans="1:35" x14ac:dyDescent="0.3">
      <c r="A1196" t="s">
        <v>706</v>
      </c>
      <c r="B1196">
        <v>1</v>
      </c>
      <c r="AH1196" t="s">
        <v>10</v>
      </c>
      <c r="AI1196">
        <v>1</v>
      </c>
    </row>
    <row r="1197" spans="1:35" x14ac:dyDescent="0.3">
      <c r="A1197" t="s">
        <v>715</v>
      </c>
      <c r="B1197">
        <v>1</v>
      </c>
      <c r="AH1197" t="s">
        <v>10</v>
      </c>
      <c r="AI1197">
        <v>1</v>
      </c>
    </row>
    <row r="1198" spans="1:35" x14ac:dyDescent="0.3">
      <c r="A1198" t="s">
        <v>510</v>
      </c>
      <c r="B1198">
        <v>1</v>
      </c>
      <c r="AH1198" t="s">
        <v>51</v>
      </c>
      <c r="AI1198">
        <v>1</v>
      </c>
    </row>
    <row r="1199" spans="1:35" x14ac:dyDescent="0.3">
      <c r="A1199" t="s">
        <v>130</v>
      </c>
      <c r="B1199">
        <v>1</v>
      </c>
      <c r="AH1199" t="s">
        <v>10</v>
      </c>
      <c r="AI1199">
        <v>1</v>
      </c>
    </row>
    <row r="1200" spans="1:35" x14ac:dyDescent="0.3">
      <c r="A1200" t="s">
        <v>98</v>
      </c>
      <c r="B1200">
        <v>1</v>
      </c>
      <c r="AH1200" t="s">
        <v>1441</v>
      </c>
      <c r="AI1200">
        <v>1</v>
      </c>
    </row>
    <row r="1201" spans="1:35" x14ac:dyDescent="0.3">
      <c r="A1201" t="s">
        <v>250</v>
      </c>
      <c r="B1201">
        <v>1</v>
      </c>
      <c r="AH1201" t="s">
        <v>1441</v>
      </c>
      <c r="AI1201">
        <v>1</v>
      </c>
    </row>
    <row r="1202" spans="1:35" x14ac:dyDescent="0.3">
      <c r="A1202" t="s">
        <v>232</v>
      </c>
      <c r="B1202">
        <v>1</v>
      </c>
      <c r="AH1202" t="s">
        <v>76</v>
      </c>
      <c r="AI1202">
        <v>1</v>
      </c>
    </row>
    <row r="1203" spans="1:35" x14ac:dyDescent="0.3">
      <c r="A1203" t="s">
        <v>510</v>
      </c>
      <c r="B1203">
        <v>1</v>
      </c>
      <c r="AH1203" t="s">
        <v>10</v>
      </c>
      <c r="AI1203">
        <v>1</v>
      </c>
    </row>
    <row r="1204" spans="1:35" x14ac:dyDescent="0.3">
      <c r="A1204" t="s">
        <v>634</v>
      </c>
      <c r="B1204">
        <v>1</v>
      </c>
      <c r="AH1204" t="s">
        <v>35</v>
      </c>
      <c r="AI1204">
        <v>1</v>
      </c>
    </row>
    <row r="1205" spans="1:35" x14ac:dyDescent="0.3">
      <c r="A1205" t="s">
        <v>17</v>
      </c>
      <c r="B1205">
        <v>1</v>
      </c>
      <c r="AH1205" t="s">
        <v>1679</v>
      </c>
      <c r="AI1205">
        <v>1</v>
      </c>
    </row>
    <row r="1206" spans="1:35" x14ac:dyDescent="0.3">
      <c r="A1206" t="s">
        <v>130</v>
      </c>
      <c r="B1206">
        <v>1</v>
      </c>
      <c r="AH1206" t="s">
        <v>10</v>
      </c>
      <c r="AI1206">
        <v>1</v>
      </c>
    </row>
    <row r="1207" spans="1:35" x14ac:dyDescent="0.3">
      <c r="A1207" t="s">
        <v>365</v>
      </c>
      <c r="B1207">
        <v>1</v>
      </c>
      <c r="AH1207" t="s">
        <v>51</v>
      </c>
      <c r="AI1207">
        <v>1</v>
      </c>
    </row>
    <row r="1208" spans="1:35" x14ac:dyDescent="0.3">
      <c r="A1208" t="s">
        <v>174</v>
      </c>
      <c r="B1208">
        <v>1</v>
      </c>
      <c r="AH1208" t="s">
        <v>10</v>
      </c>
      <c r="AI1208">
        <v>1</v>
      </c>
    </row>
    <row r="1209" spans="1:35" x14ac:dyDescent="0.3">
      <c r="A1209" t="s">
        <v>11</v>
      </c>
      <c r="B1209">
        <v>1</v>
      </c>
      <c r="AH1209" t="s">
        <v>10</v>
      </c>
      <c r="AI1209">
        <v>1</v>
      </c>
    </row>
    <row r="1210" spans="1:35" x14ac:dyDescent="0.3">
      <c r="A1210" t="s">
        <v>11</v>
      </c>
      <c r="B1210">
        <v>1</v>
      </c>
      <c r="AH1210" t="s">
        <v>1441</v>
      </c>
      <c r="AI1210">
        <v>1</v>
      </c>
    </row>
    <row r="1211" spans="1:35" x14ac:dyDescent="0.3">
      <c r="A1211" t="s">
        <v>58</v>
      </c>
      <c r="B1211">
        <v>1</v>
      </c>
      <c r="AH1211" t="s">
        <v>1441</v>
      </c>
      <c r="AI1211">
        <v>1</v>
      </c>
    </row>
    <row r="1212" spans="1:35" x14ac:dyDescent="0.3">
      <c r="A1212" t="s">
        <v>634</v>
      </c>
      <c r="B1212">
        <v>1</v>
      </c>
      <c r="AH1212" t="s">
        <v>1617</v>
      </c>
      <c r="AI1212">
        <v>1</v>
      </c>
    </row>
    <row r="1213" spans="1:35" x14ac:dyDescent="0.3">
      <c r="A1213" t="s">
        <v>98</v>
      </c>
      <c r="B1213">
        <v>1</v>
      </c>
      <c r="AH1213" t="s">
        <v>10</v>
      </c>
      <c r="AI1213">
        <v>1</v>
      </c>
    </row>
    <row r="1214" spans="1:35" x14ac:dyDescent="0.3">
      <c r="A1214" t="s">
        <v>64</v>
      </c>
      <c r="B1214">
        <v>1</v>
      </c>
      <c r="AH1214" t="s">
        <v>417</v>
      </c>
      <c r="AI1214">
        <v>1</v>
      </c>
    </row>
    <row r="1215" spans="1:35" x14ac:dyDescent="0.3">
      <c r="A1215" t="s">
        <v>634</v>
      </c>
      <c r="B1215">
        <v>1</v>
      </c>
      <c r="AH1215" t="s">
        <v>1617</v>
      </c>
      <c r="AI1215">
        <v>1</v>
      </c>
    </row>
    <row r="1216" spans="1:35" x14ac:dyDescent="0.3">
      <c r="A1216" t="s">
        <v>634</v>
      </c>
      <c r="B1216">
        <v>1</v>
      </c>
      <c r="AH1216" t="s">
        <v>608</v>
      </c>
      <c r="AI1216">
        <v>1</v>
      </c>
    </row>
    <row r="1217" spans="1:35" x14ac:dyDescent="0.3">
      <c r="A1217" t="s">
        <v>23</v>
      </c>
      <c r="B1217">
        <v>1</v>
      </c>
      <c r="AH1217" t="s">
        <v>70</v>
      </c>
      <c r="AI1217">
        <v>1</v>
      </c>
    </row>
    <row r="1218" spans="1:35" x14ac:dyDescent="0.3">
      <c r="A1218" t="s">
        <v>29</v>
      </c>
      <c r="B1218">
        <v>1</v>
      </c>
      <c r="AH1218" t="s">
        <v>401</v>
      </c>
      <c r="AI1218">
        <v>1</v>
      </c>
    </row>
    <row r="1219" spans="1:35" x14ac:dyDescent="0.3">
      <c r="A1219" t="s">
        <v>58</v>
      </c>
      <c r="B1219">
        <v>1</v>
      </c>
      <c r="AH1219" t="s">
        <v>10</v>
      </c>
      <c r="AI1219">
        <v>1</v>
      </c>
    </row>
    <row r="1220" spans="1:35" x14ac:dyDescent="0.3">
      <c r="A1220" t="s">
        <v>792</v>
      </c>
      <c r="B1220">
        <v>1</v>
      </c>
      <c r="AH1220" t="s">
        <v>51</v>
      </c>
      <c r="AI1220">
        <v>1</v>
      </c>
    </row>
    <row r="1221" spans="1:35" x14ac:dyDescent="0.3">
      <c r="A1221" t="s">
        <v>634</v>
      </c>
      <c r="B1221">
        <v>1</v>
      </c>
      <c r="AH1221" t="s">
        <v>10</v>
      </c>
      <c r="AI1221">
        <v>1</v>
      </c>
    </row>
    <row r="1222" spans="1:35" x14ac:dyDescent="0.3">
      <c r="A1222" t="s">
        <v>52</v>
      </c>
      <c r="B1222">
        <v>1</v>
      </c>
      <c r="AH1222" t="s">
        <v>10</v>
      </c>
      <c r="AI1222">
        <v>1</v>
      </c>
    </row>
    <row r="1223" spans="1:35" x14ac:dyDescent="0.3">
      <c r="A1223" t="s">
        <v>232</v>
      </c>
      <c r="B1223">
        <v>1</v>
      </c>
      <c r="AH1223" t="s">
        <v>51</v>
      </c>
      <c r="AI1223">
        <v>1</v>
      </c>
    </row>
    <row r="1224" spans="1:35" x14ac:dyDescent="0.3">
      <c r="A1224" t="s">
        <v>365</v>
      </c>
      <c r="B1224">
        <v>1</v>
      </c>
      <c r="AH1224" t="s">
        <v>51</v>
      </c>
      <c r="AI1224">
        <v>1</v>
      </c>
    </row>
    <row r="1225" spans="1:35" x14ac:dyDescent="0.3">
      <c r="A1225" t="s">
        <v>634</v>
      </c>
      <c r="B1225">
        <v>1</v>
      </c>
      <c r="AH1225" t="s">
        <v>51</v>
      </c>
      <c r="AI1225">
        <v>1</v>
      </c>
    </row>
    <row r="1226" spans="1:35" x14ac:dyDescent="0.3">
      <c r="A1226" t="s">
        <v>345</v>
      </c>
      <c r="B1226">
        <v>1</v>
      </c>
      <c r="AH1226" t="s">
        <v>10</v>
      </c>
      <c r="AI1226">
        <v>1</v>
      </c>
    </row>
    <row r="1227" spans="1:35" x14ac:dyDescent="0.3">
      <c r="A1227" t="s">
        <v>58</v>
      </c>
      <c r="B1227">
        <v>1</v>
      </c>
      <c r="AH1227" t="s">
        <v>1441</v>
      </c>
      <c r="AI1227">
        <v>1</v>
      </c>
    </row>
    <row r="1228" spans="1:35" x14ac:dyDescent="0.3">
      <c r="A1228" t="s">
        <v>64</v>
      </c>
      <c r="B1228">
        <v>1</v>
      </c>
      <c r="AH1228" t="s">
        <v>51</v>
      </c>
      <c r="AI1228">
        <v>1</v>
      </c>
    </row>
    <row r="1229" spans="1:35" x14ac:dyDescent="0.3">
      <c r="A1229" t="s">
        <v>17</v>
      </c>
      <c r="B1229">
        <v>1</v>
      </c>
      <c r="AH1229" t="s">
        <v>124</v>
      </c>
      <c r="AI1229">
        <v>1</v>
      </c>
    </row>
    <row r="1230" spans="1:35" x14ac:dyDescent="0.3">
      <c r="A1230" t="s">
        <v>64</v>
      </c>
      <c r="B1230">
        <v>1</v>
      </c>
      <c r="AH1230" t="s">
        <v>51</v>
      </c>
      <c r="AI1230">
        <v>1</v>
      </c>
    </row>
    <row r="1231" spans="1:35" x14ac:dyDescent="0.3">
      <c r="A1231" t="s">
        <v>64</v>
      </c>
      <c r="B1231">
        <v>1</v>
      </c>
      <c r="AH1231" t="s">
        <v>104</v>
      </c>
      <c r="AI1231">
        <v>1</v>
      </c>
    </row>
    <row r="1232" spans="1:35" x14ac:dyDescent="0.3">
      <c r="A1232" t="s">
        <v>726</v>
      </c>
      <c r="B1232">
        <v>1</v>
      </c>
      <c r="AH1232" t="s">
        <v>205</v>
      </c>
      <c r="AI1232">
        <v>1</v>
      </c>
    </row>
    <row r="1233" spans="1:35" x14ac:dyDescent="0.3">
      <c r="A1233" t="s">
        <v>560</v>
      </c>
      <c r="B1233">
        <v>1</v>
      </c>
      <c r="AH1233" t="s">
        <v>657</v>
      </c>
      <c r="AI1233">
        <v>1</v>
      </c>
    </row>
    <row r="1234" spans="1:35" x14ac:dyDescent="0.3">
      <c r="A1234" t="s">
        <v>345</v>
      </c>
      <c r="B1234">
        <v>1</v>
      </c>
      <c r="AH1234" t="s">
        <v>452</v>
      </c>
      <c r="AI1234">
        <v>1</v>
      </c>
    </row>
    <row r="1235" spans="1:35" x14ac:dyDescent="0.3">
      <c r="A1235" t="s">
        <v>151</v>
      </c>
      <c r="B1235">
        <v>1</v>
      </c>
      <c r="AH1235" t="s">
        <v>657</v>
      </c>
      <c r="AI1235">
        <v>1</v>
      </c>
    </row>
    <row r="1236" spans="1:35" x14ac:dyDescent="0.3">
      <c r="A1236" t="s">
        <v>29</v>
      </c>
      <c r="B1236">
        <v>1</v>
      </c>
      <c r="AH1236" t="s">
        <v>10</v>
      </c>
      <c r="AI1236">
        <v>1</v>
      </c>
    </row>
    <row r="1237" spans="1:35" x14ac:dyDescent="0.3">
      <c r="A1237" t="s">
        <v>464</v>
      </c>
      <c r="B1237">
        <v>1</v>
      </c>
      <c r="AH1237" t="s">
        <v>436</v>
      </c>
      <c r="AI1237">
        <v>1</v>
      </c>
    </row>
    <row r="1238" spans="1:35" x14ac:dyDescent="0.3">
      <c r="A1238" t="s">
        <v>634</v>
      </c>
      <c r="B1238">
        <v>1</v>
      </c>
      <c r="AH1238" t="s">
        <v>417</v>
      </c>
      <c r="AI1238">
        <v>1</v>
      </c>
    </row>
    <row r="1239" spans="1:35" x14ac:dyDescent="0.3">
      <c r="A1239" t="s">
        <v>345</v>
      </c>
      <c r="B1239">
        <v>1</v>
      </c>
      <c r="AH1239" t="s">
        <v>1172</v>
      </c>
      <c r="AI1239">
        <v>1</v>
      </c>
    </row>
    <row r="1240" spans="1:35" x14ac:dyDescent="0.3">
      <c r="A1240" t="s">
        <v>29</v>
      </c>
      <c r="B1240">
        <v>1</v>
      </c>
      <c r="AH1240" t="s">
        <v>3550</v>
      </c>
      <c r="AI1240">
        <v>1</v>
      </c>
    </row>
    <row r="1241" spans="1:35" x14ac:dyDescent="0.3">
      <c r="A1241" t="s">
        <v>23</v>
      </c>
      <c r="B1241">
        <v>1</v>
      </c>
      <c r="AH1241" t="s">
        <v>10</v>
      </c>
      <c r="AI1241">
        <v>1</v>
      </c>
    </row>
    <row r="1242" spans="1:35" x14ac:dyDescent="0.3">
      <c r="A1242" t="s">
        <v>634</v>
      </c>
      <c r="B1242">
        <v>1</v>
      </c>
      <c r="AH1242" t="s">
        <v>297</v>
      </c>
      <c r="AI1242">
        <v>1</v>
      </c>
    </row>
    <row r="1243" spans="1:35" x14ac:dyDescent="0.3">
      <c r="A1243" t="s">
        <v>250</v>
      </c>
      <c r="B1243">
        <v>1</v>
      </c>
      <c r="AH1243" t="s">
        <v>10</v>
      </c>
      <c r="AI1243">
        <v>1</v>
      </c>
    </row>
    <row r="1244" spans="1:35" x14ac:dyDescent="0.3">
      <c r="A1244" t="s">
        <v>634</v>
      </c>
      <c r="B1244">
        <v>1</v>
      </c>
      <c r="AH1244" t="s">
        <v>51</v>
      </c>
      <c r="AI1244">
        <v>1</v>
      </c>
    </row>
    <row r="1245" spans="1:35" x14ac:dyDescent="0.3">
      <c r="A1245" t="s">
        <v>345</v>
      </c>
      <c r="B1245">
        <v>1</v>
      </c>
      <c r="AH1245" t="s">
        <v>10</v>
      </c>
      <c r="AI1245">
        <v>1</v>
      </c>
    </row>
    <row r="1246" spans="1:35" x14ac:dyDescent="0.3">
      <c r="A1246" t="s">
        <v>687</v>
      </c>
      <c r="B1246">
        <v>1</v>
      </c>
      <c r="AH1246" t="s">
        <v>249</v>
      </c>
      <c r="AI1246">
        <v>1</v>
      </c>
    </row>
    <row r="1247" spans="1:35" x14ac:dyDescent="0.3">
      <c r="A1247" t="s">
        <v>58</v>
      </c>
      <c r="B1247">
        <v>1</v>
      </c>
      <c r="AH1247" t="s">
        <v>35</v>
      </c>
      <c r="AI1247">
        <v>1</v>
      </c>
    </row>
    <row r="1248" spans="1:35" x14ac:dyDescent="0.3">
      <c r="A1248" t="s">
        <v>232</v>
      </c>
      <c r="B1248">
        <v>1</v>
      </c>
      <c r="AH1248" t="s">
        <v>10</v>
      </c>
      <c r="AI1248">
        <v>1</v>
      </c>
    </row>
    <row r="1249" spans="1:35" x14ac:dyDescent="0.3">
      <c r="A1249" t="s">
        <v>687</v>
      </c>
      <c r="B1249">
        <v>1</v>
      </c>
      <c r="AH1249" t="s">
        <v>51</v>
      </c>
      <c r="AI1249">
        <v>1</v>
      </c>
    </row>
    <row r="1250" spans="1:35" x14ac:dyDescent="0.3">
      <c r="A1250" t="s">
        <v>141</v>
      </c>
      <c r="B1250">
        <v>1</v>
      </c>
      <c r="AH1250" t="s">
        <v>10</v>
      </c>
      <c r="AI1250">
        <v>1</v>
      </c>
    </row>
    <row r="1251" spans="1:35" x14ac:dyDescent="0.3">
      <c r="A1251" t="s">
        <v>130</v>
      </c>
      <c r="B1251">
        <v>1</v>
      </c>
      <c r="AH1251" t="s">
        <v>2364</v>
      </c>
      <c r="AI1251">
        <v>1</v>
      </c>
    </row>
    <row r="1252" spans="1:35" x14ac:dyDescent="0.3">
      <c r="A1252" t="s">
        <v>687</v>
      </c>
      <c r="B1252">
        <v>1</v>
      </c>
      <c r="AH1252" t="s">
        <v>51</v>
      </c>
      <c r="AI1252">
        <v>1</v>
      </c>
    </row>
    <row r="1253" spans="1:35" x14ac:dyDescent="0.3">
      <c r="A1253" t="s">
        <v>687</v>
      </c>
      <c r="B1253">
        <v>1</v>
      </c>
      <c r="AH1253" t="s">
        <v>696</v>
      </c>
      <c r="AI1253">
        <v>1</v>
      </c>
    </row>
    <row r="1254" spans="1:35" x14ac:dyDescent="0.3">
      <c r="A1254" t="s">
        <v>98</v>
      </c>
      <c r="B1254">
        <v>1</v>
      </c>
      <c r="AH1254" t="s">
        <v>10</v>
      </c>
      <c r="AI1254">
        <v>1</v>
      </c>
    </row>
    <row r="1255" spans="1:35" x14ac:dyDescent="0.3">
      <c r="A1255" t="s">
        <v>130</v>
      </c>
      <c r="B1255">
        <v>1</v>
      </c>
      <c r="AH1255" t="s">
        <v>35</v>
      </c>
      <c r="AI1255">
        <v>1</v>
      </c>
    </row>
    <row r="1256" spans="1:35" x14ac:dyDescent="0.3">
      <c r="A1256" t="s">
        <v>726</v>
      </c>
      <c r="B1256">
        <v>1</v>
      </c>
      <c r="AH1256" t="s">
        <v>51</v>
      </c>
      <c r="AI1256">
        <v>1</v>
      </c>
    </row>
    <row r="1257" spans="1:35" x14ac:dyDescent="0.3">
      <c r="A1257" t="s">
        <v>98</v>
      </c>
      <c r="B1257">
        <v>1</v>
      </c>
      <c r="AH1257" t="s">
        <v>51</v>
      </c>
      <c r="AI1257">
        <v>1</v>
      </c>
    </row>
    <row r="1258" spans="1:35" x14ac:dyDescent="0.3">
      <c r="A1258" t="s">
        <v>365</v>
      </c>
      <c r="B1258">
        <v>1</v>
      </c>
      <c r="AH1258" t="s">
        <v>10</v>
      </c>
      <c r="AI1258">
        <v>1</v>
      </c>
    </row>
    <row r="1259" spans="1:35" x14ac:dyDescent="0.3">
      <c r="A1259" t="s">
        <v>52</v>
      </c>
      <c r="B1259">
        <v>1</v>
      </c>
      <c r="AH1259" t="s">
        <v>51</v>
      </c>
      <c r="AI1259">
        <v>1</v>
      </c>
    </row>
    <row r="1260" spans="1:35" x14ac:dyDescent="0.3">
      <c r="A1260" t="s">
        <v>151</v>
      </c>
      <c r="B1260">
        <v>1</v>
      </c>
      <c r="AH1260" t="s">
        <v>10</v>
      </c>
      <c r="AI1260">
        <v>1</v>
      </c>
    </row>
    <row r="1261" spans="1:35" x14ac:dyDescent="0.3">
      <c r="A1261" t="s">
        <v>687</v>
      </c>
      <c r="B1261">
        <v>1</v>
      </c>
      <c r="AH1261" t="s">
        <v>35</v>
      </c>
      <c r="AI1261">
        <v>1</v>
      </c>
    </row>
    <row r="1262" spans="1:35" x14ac:dyDescent="0.3">
      <c r="A1262" t="s">
        <v>11</v>
      </c>
      <c r="B1262">
        <v>1</v>
      </c>
      <c r="AH1262" t="s">
        <v>2672</v>
      </c>
      <c r="AI1262">
        <v>1</v>
      </c>
    </row>
    <row r="1263" spans="1:35" x14ac:dyDescent="0.3">
      <c r="A1263" t="s">
        <v>232</v>
      </c>
      <c r="B1263">
        <v>1</v>
      </c>
      <c r="AH1263" t="s">
        <v>10</v>
      </c>
      <c r="AI1263">
        <v>1</v>
      </c>
    </row>
    <row r="1264" spans="1:35" x14ac:dyDescent="0.3">
      <c r="A1264" t="s">
        <v>510</v>
      </c>
      <c r="B1264">
        <v>1</v>
      </c>
      <c r="AH1264" t="s">
        <v>10</v>
      </c>
      <c r="AI1264">
        <v>1</v>
      </c>
    </row>
    <row r="1265" spans="1:35" x14ac:dyDescent="0.3">
      <c r="A1265" t="s">
        <v>29</v>
      </c>
      <c r="B1265">
        <v>1</v>
      </c>
      <c r="AH1265" t="s">
        <v>417</v>
      </c>
      <c r="AI1265">
        <v>1</v>
      </c>
    </row>
    <row r="1266" spans="1:35" x14ac:dyDescent="0.3">
      <c r="A1266" t="s">
        <v>11</v>
      </c>
      <c r="B1266">
        <v>1</v>
      </c>
      <c r="AH1266" t="s">
        <v>51</v>
      </c>
      <c r="AI1266">
        <v>1</v>
      </c>
    </row>
    <row r="1267" spans="1:35" x14ac:dyDescent="0.3">
      <c r="A1267" t="s">
        <v>706</v>
      </c>
      <c r="B1267">
        <v>1</v>
      </c>
      <c r="AH1267" t="s">
        <v>10</v>
      </c>
      <c r="AI1267">
        <v>1</v>
      </c>
    </row>
    <row r="1268" spans="1:35" x14ac:dyDescent="0.3">
      <c r="A1268" t="s">
        <v>141</v>
      </c>
      <c r="B1268">
        <v>1</v>
      </c>
      <c r="AH1268" t="s">
        <v>10</v>
      </c>
      <c r="AI1268">
        <v>1</v>
      </c>
    </row>
    <row r="1269" spans="1:35" x14ac:dyDescent="0.3">
      <c r="A1269" t="s">
        <v>345</v>
      </c>
      <c r="B1269">
        <v>1</v>
      </c>
      <c r="AH1269" t="s">
        <v>10</v>
      </c>
      <c r="AI1269">
        <v>1</v>
      </c>
    </row>
    <row r="1270" spans="1:35" x14ac:dyDescent="0.3">
      <c r="A1270" t="s">
        <v>98</v>
      </c>
      <c r="B1270">
        <v>1</v>
      </c>
      <c r="AH1270" t="s">
        <v>10</v>
      </c>
      <c r="AI1270">
        <v>1</v>
      </c>
    </row>
    <row r="1271" spans="1:35" x14ac:dyDescent="0.3">
      <c r="A1271" t="s">
        <v>52</v>
      </c>
      <c r="B1271">
        <v>1</v>
      </c>
      <c r="AH1271" t="s">
        <v>2672</v>
      </c>
      <c r="AI1271">
        <v>1</v>
      </c>
    </row>
    <row r="1272" spans="1:35" x14ac:dyDescent="0.3">
      <c r="A1272" t="s">
        <v>11</v>
      </c>
      <c r="B1272">
        <v>1</v>
      </c>
      <c r="AH1272" t="s">
        <v>1172</v>
      </c>
      <c r="AI1272">
        <v>1</v>
      </c>
    </row>
    <row r="1273" spans="1:35" x14ac:dyDescent="0.3">
      <c r="A1273" t="s">
        <v>29</v>
      </c>
      <c r="B1273">
        <v>1</v>
      </c>
      <c r="AH1273" t="s">
        <v>10</v>
      </c>
      <c r="AI1273">
        <v>1</v>
      </c>
    </row>
    <row r="1274" spans="1:35" x14ac:dyDescent="0.3">
      <c r="A1274" t="s">
        <v>23</v>
      </c>
      <c r="B1274">
        <v>1</v>
      </c>
      <c r="AH1274" t="s">
        <v>10</v>
      </c>
      <c r="AI1274">
        <v>1</v>
      </c>
    </row>
    <row r="1275" spans="1:35" x14ac:dyDescent="0.3">
      <c r="A1275" t="s">
        <v>365</v>
      </c>
      <c r="B1275">
        <v>1</v>
      </c>
      <c r="AH1275" t="s">
        <v>51</v>
      </c>
      <c r="AI1275">
        <v>1</v>
      </c>
    </row>
    <row r="1276" spans="1:35" x14ac:dyDescent="0.3">
      <c r="A1276" t="s">
        <v>98</v>
      </c>
      <c r="B1276">
        <v>1</v>
      </c>
      <c r="AH1276" t="s">
        <v>51</v>
      </c>
      <c r="AI1276">
        <v>1</v>
      </c>
    </row>
    <row r="1277" spans="1:35" x14ac:dyDescent="0.3">
      <c r="A1277" t="s">
        <v>58</v>
      </c>
      <c r="B1277">
        <v>1</v>
      </c>
      <c r="AH1277" t="s">
        <v>70</v>
      </c>
      <c r="AI1277">
        <v>1</v>
      </c>
    </row>
    <row r="1278" spans="1:35" x14ac:dyDescent="0.3">
      <c r="A1278" t="s">
        <v>11</v>
      </c>
      <c r="B1278">
        <v>1</v>
      </c>
      <c r="AH1278" t="s">
        <v>297</v>
      </c>
      <c r="AI1278">
        <v>1</v>
      </c>
    </row>
    <row r="1279" spans="1:35" x14ac:dyDescent="0.3">
      <c r="A1279" t="s">
        <v>58</v>
      </c>
      <c r="B1279">
        <v>1</v>
      </c>
      <c r="AH1279" t="s">
        <v>10</v>
      </c>
      <c r="AI1279">
        <v>1</v>
      </c>
    </row>
    <row r="1280" spans="1:35" x14ac:dyDescent="0.3">
      <c r="A1280" t="s">
        <v>174</v>
      </c>
      <c r="B1280">
        <v>1</v>
      </c>
      <c r="AH1280" t="s">
        <v>10</v>
      </c>
      <c r="AI1280">
        <v>1</v>
      </c>
    </row>
    <row r="1281" spans="1:35" x14ac:dyDescent="0.3">
      <c r="A1281" t="s">
        <v>250</v>
      </c>
      <c r="B1281">
        <v>1</v>
      </c>
      <c r="AH1281" t="s">
        <v>249</v>
      </c>
      <c r="AI1281">
        <v>1</v>
      </c>
    </row>
    <row r="1282" spans="1:35" x14ac:dyDescent="0.3">
      <c r="A1282" t="s">
        <v>726</v>
      </c>
      <c r="B1282">
        <v>1</v>
      </c>
      <c r="AH1282" t="s">
        <v>124</v>
      </c>
      <c r="AI1282">
        <v>1</v>
      </c>
    </row>
    <row r="1283" spans="1:35" x14ac:dyDescent="0.3">
      <c r="A1283" t="s">
        <v>634</v>
      </c>
      <c r="B1283">
        <v>1</v>
      </c>
      <c r="AH1283" t="s">
        <v>10</v>
      </c>
      <c r="AI1283">
        <v>1</v>
      </c>
    </row>
    <row r="1284" spans="1:35" x14ac:dyDescent="0.3">
      <c r="A1284" t="s">
        <v>11</v>
      </c>
      <c r="B1284">
        <v>1</v>
      </c>
      <c r="AH1284" t="s">
        <v>2364</v>
      </c>
      <c r="AI1284">
        <v>1</v>
      </c>
    </row>
    <row r="1285" spans="1:35" x14ac:dyDescent="0.3">
      <c r="A1285" t="s">
        <v>23</v>
      </c>
      <c r="B1285">
        <v>1</v>
      </c>
      <c r="AH1285" t="s">
        <v>205</v>
      </c>
      <c r="AI1285">
        <v>1</v>
      </c>
    </row>
    <row r="1286" spans="1:35" x14ac:dyDescent="0.3">
      <c r="A1286" t="s">
        <v>232</v>
      </c>
      <c r="B1286">
        <v>1</v>
      </c>
      <c r="AH1286" t="s">
        <v>51</v>
      </c>
      <c r="AI1286">
        <v>1</v>
      </c>
    </row>
    <row r="1287" spans="1:35" x14ac:dyDescent="0.3">
      <c r="A1287" t="s">
        <v>11</v>
      </c>
      <c r="B1287">
        <v>1</v>
      </c>
      <c r="AH1287" t="s">
        <v>1172</v>
      </c>
      <c r="AI1287">
        <v>1</v>
      </c>
    </row>
    <row r="1288" spans="1:35" x14ac:dyDescent="0.3">
      <c r="A1288" t="s">
        <v>151</v>
      </c>
      <c r="B1288">
        <v>1</v>
      </c>
      <c r="AH1288" t="s">
        <v>1992</v>
      </c>
      <c r="AI1288">
        <v>1</v>
      </c>
    </row>
    <row r="1289" spans="1:35" x14ac:dyDescent="0.3">
      <c r="A1289" t="s">
        <v>726</v>
      </c>
      <c r="B1289">
        <v>1</v>
      </c>
      <c r="AH1289" t="s">
        <v>51</v>
      </c>
      <c r="AI1289">
        <v>1</v>
      </c>
    </row>
    <row r="1290" spans="1:35" x14ac:dyDescent="0.3">
      <c r="A1290" t="s">
        <v>365</v>
      </c>
      <c r="B1290">
        <v>1</v>
      </c>
      <c r="AH1290" t="s">
        <v>249</v>
      </c>
      <c r="AI1290">
        <v>1</v>
      </c>
    </row>
    <row r="1291" spans="1:35" x14ac:dyDescent="0.3">
      <c r="A1291" t="s">
        <v>29</v>
      </c>
      <c r="B1291">
        <v>1</v>
      </c>
      <c r="AH1291" t="s">
        <v>10</v>
      </c>
      <c r="AI1291">
        <v>1</v>
      </c>
    </row>
    <row r="1292" spans="1:35" x14ac:dyDescent="0.3">
      <c r="A1292" t="s">
        <v>634</v>
      </c>
      <c r="B1292">
        <v>1</v>
      </c>
      <c r="AH1292" t="s">
        <v>10</v>
      </c>
      <c r="AI1292">
        <v>1</v>
      </c>
    </row>
    <row r="1293" spans="1:35" x14ac:dyDescent="0.3">
      <c r="A1293" t="s">
        <v>58</v>
      </c>
      <c r="B1293">
        <v>1</v>
      </c>
      <c r="AH1293" t="s">
        <v>10</v>
      </c>
      <c r="AI1293">
        <v>1</v>
      </c>
    </row>
    <row r="1294" spans="1:35" x14ac:dyDescent="0.3">
      <c r="A1294" t="s">
        <v>58</v>
      </c>
      <c r="B1294">
        <v>1</v>
      </c>
      <c r="AH1294" t="s">
        <v>104</v>
      </c>
      <c r="AI1294">
        <v>1</v>
      </c>
    </row>
    <row r="1295" spans="1:35" x14ac:dyDescent="0.3">
      <c r="A1295" t="s">
        <v>23</v>
      </c>
      <c r="B1295">
        <v>1</v>
      </c>
      <c r="AH1295" t="s">
        <v>10</v>
      </c>
      <c r="AI1295">
        <v>1</v>
      </c>
    </row>
    <row r="1296" spans="1:35" x14ac:dyDescent="0.3">
      <c r="A1296" t="s">
        <v>726</v>
      </c>
      <c r="B1296">
        <v>1</v>
      </c>
      <c r="AH1296" t="s">
        <v>10</v>
      </c>
      <c r="AI1296">
        <v>1</v>
      </c>
    </row>
    <row r="1297" spans="1:35" x14ac:dyDescent="0.3">
      <c r="A1297" t="s">
        <v>17</v>
      </c>
      <c r="B1297">
        <v>1</v>
      </c>
      <c r="AH1297" t="s">
        <v>1617</v>
      </c>
      <c r="AI1297">
        <v>1</v>
      </c>
    </row>
    <row r="1298" spans="1:35" x14ac:dyDescent="0.3">
      <c r="A1298" t="s">
        <v>64</v>
      </c>
      <c r="B1298">
        <v>1</v>
      </c>
      <c r="AH1298" t="s">
        <v>35</v>
      </c>
      <c r="AI1298">
        <v>1</v>
      </c>
    </row>
    <row r="1299" spans="1:35" x14ac:dyDescent="0.3">
      <c r="A1299" t="s">
        <v>29</v>
      </c>
      <c r="B1299">
        <v>1</v>
      </c>
      <c r="AH1299" t="s">
        <v>10</v>
      </c>
      <c r="AI1299">
        <v>1</v>
      </c>
    </row>
    <row r="1300" spans="1:35" x14ac:dyDescent="0.3">
      <c r="A1300" t="s">
        <v>29</v>
      </c>
      <c r="B1300">
        <v>1</v>
      </c>
      <c r="AH1300" t="s">
        <v>2329</v>
      </c>
      <c r="AI1300">
        <v>1</v>
      </c>
    </row>
    <row r="1301" spans="1:35" x14ac:dyDescent="0.3">
      <c r="A1301" t="s">
        <v>243</v>
      </c>
      <c r="B1301">
        <v>1</v>
      </c>
      <c r="AH1301" t="s">
        <v>104</v>
      </c>
      <c r="AI1301">
        <v>1</v>
      </c>
    </row>
    <row r="1302" spans="1:35" x14ac:dyDescent="0.3">
      <c r="A1302" t="s">
        <v>706</v>
      </c>
      <c r="B1302">
        <v>1</v>
      </c>
      <c r="AH1302" t="s">
        <v>51</v>
      </c>
      <c r="AI1302">
        <v>1</v>
      </c>
    </row>
    <row r="1303" spans="1:35" x14ac:dyDescent="0.3">
      <c r="A1303" t="s">
        <v>98</v>
      </c>
      <c r="B1303">
        <v>1</v>
      </c>
      <c r="AH1303" t="s">
        <v>10</v>
      </c>
      <c r="AI1303">
        <v>1</v>
      </c>
    </row>
    <row r="1304" spans="1:35" x14ac:dyDescent="0.3">
      <c r="A1304" t="s">
        <v>58</v>
      </c>
      <c r="B1304">
        <v>1</v>
      </c>
      <c r="AH1304" t="s">
        <v>452</v>
      </c>
      <c r="AI1304">
        <v>1</v>
      </c>
    </row>
    <row r="1305" spans="1:35" x14ac:dyDescent="0.3">
      <c r="A1305" t="s">
        <v>29</v>
      </c>
      <c r="B1305">
        <v>1</v>
      </c>
      <c r="AH1305" t="s">
        <v>2329</v>
      </c>
      <c r="AI1305">
        <v>1</v>
      </c>
    </row>
    <row r="1306" spans="1:35" x14ac:dyDescent="0.3">
      <c r="A1306" t="s">
        <v>510</v>
      </c>
      <c r="B1306">
        <v>1</v>
      </c>
      <c r="AH1306" t="s">
        <v>249</v>
      </c>
      <c r="AI1306">
        <v>1</v>
      </c>
    </row>
    <row r="1307" spans="1:35" x14ac:dyDescent="0.3">
      <c r="A1307" t="s">
        <v>743</v>
      </c>
      <c r="B1307">
        <v>1</v>
      </c>
      <c r="AH1307" t="s">
        <v>104</v>
      </c>
      <c r="AI1307">
        <v>1</v>
      </c>
    </row>
    <row r="1308" spans="1:35" x14ac:dyDescent="0.3">
      <c r="A1308" t="s">
        <v>58</v>
      </c>
      <c r="B1308">
        <v>1</v>
      </c>
      <c r="AH1308" t="s">
        <v>10</v>
      </c>
      <c r="AI1308">
        <v>1</v>
      </c>
    </row>
    <row r="1309" spans="1:35" x14ac:dyDescent="0.3">
      <c r="A1309" t="s">
        <v>98</v>
      </c>
      <c r="B1309">
        <v>1</v>
      </c>
      <c r="AH1309" t="s">
        <v>1441</v>
      </c>
      <c r="AI1309">
        <v>1</v>
      </c>
    </row>
    <row r="1310" spans="1:35" x14ac:dyDescent="0.3">
      <c r="A1310" t="s">
        <v>52</v>
      </c>
      <c r="B1310">
        <v>1</v>
      </c>
      <c r="AH1310" t="s">
        <v>10</v>
      </c>
      <c r="AI1310">
        <v>1</v>
      </c>
    </row>
    <row r="1311" spans="1:35" x14ac:dyDescent="0.3">
      <c r="A1311" t="s">
        <v>29</v>
      </c>
      <c r="B1311">
        <v>1</v>
      </c>
      <c r="AH1311" t="s">
        <v>10</v>
      </c>
      <c r="AI1311">
        <v>1</v>
      </c>
    </row>
    <row r="1312" spans="1:35" x14ac:dyDescent="0.3">
      <c r="A1312" t="s">
        <v>130</v>
      </c>
      <c r="B1312">
        <v>1</v>
      </c>
      <c r="AH1312" t="s">
        <v>1172</v>
      </c>
      <c r="AI1312">
        <v>1</v>
      </c>
    </row>
    <row r="1313" spans="1:35" x14ac:dyDescent="0.3">
      <c r="A1313" t="s">
        <v>687</v>
      </c>
      <c r="B1313">
        <v>1</v>
      </c>
      <c r="AH1313" t="s">
        <v>2329</v>
      </c>
      <c r="AI1313">
        <v>1</v>
      </c>
    </row>
    <row r="1314" spans="1:35" x14ac:dyDescent="0.3">
      <c r="A1314" t="s">
        <v>23</v>
      </c>
      <c r="B1314">
        <v>1</v>
      </c>
      <c r="AH1314" t="s">
        <v>104</v>
      </c>
      <c r="AI1314">
        <v>1</v>
      </c>
    </row>
    <row r="1315" spans="1:35" x14ac:dyDescent="0.3">
      <c r="A1315" t="s">
        <v>98</v>
      </c>
      <c r="B1315">
        <v>1</v>
      </c>
      <c r="AH1315" t="s">
        <v>1441</v>
      </c>
      <c r="AI1315">
        <v>1</v>
      </c>
    </row>
    <row r="1316" spans="1:35" x14ac:dyDescent="0.3">
      <c r="A1316" t="s">
        <v>151</v>
      </c>
      <c r="B1316">
        <v>1</v>
      </c>
      <c r="AH1316" t="s">
        <v>10</v>
      </c>
      <c r="AI1316">
        <v>1</v>
      </c>
    </row>
    <row r="1317" spans="1:35" x14ac:dyDescent="0.3">
      <c r="A1317" t="s">
        <v>726</v>
      </c>
      <c r="B1317">
        <v>1</v>
      </c>
      <c r="AH1317" t="s">
        <v>35</v>
      </c>
      <c r="AI1317">
        <v>1</v>
      </c>
    </row>
    <row r="1318" spans="1:35" x14ac:dyDescent="0.3">
      <c r="A1318" t="s">
        <v>743</v>
      </c>
      <c r="B1318">
        <v>1</v>
      </c>
      <c r="AH1318" t="s">
        <v>10</v>
      </c>
      <c r="AI1318">
        <v>1</v>
      </c>
    </row>
    <row r="1319" spans="1:35" x14ac:dyDescent="0.3">
      <c r="A1319" t="s">
        <v>365</v>
      </c>
      <c r="B1319">
        <v>1</v>
      </c>
      <c r="AH1319" t="s">
        <v>1925</v>
      </c>
      <c r="AI1319">
        <v>1</v>
      </c>
    </row>
    <row r="1320" spans="1:35" x14ac:dyDescent="0.3">
      <c r="A1320" t="s">
        <v>23</v>
      </c>
      <c r="B1320">
        <v>1</v>
      </c>
      <c r="AH1320" t="s">
        <v>70</v>
      </c>
      <c r="AI1320">
        <v>1</v>
      </c>
    </row>
    <row r="1321" spans="1:35" x14ac:dyDescent="0.3">
      <c r="A1321" t="s">
        <v>706</v>
      </c>
      <c r="B1321">
        <v>1</v>
      </c>
      <c r="AH1321" t="s">
        <v>1172</v>
      </c>
      <c r="AI1321">
        <v>1</v>
      </c>
    </row>
    <row r="1322" spans="1:35" x14ac:dyDescent="0.3">
      <c r="A1322" t="s">
        <v>634</v>
      </c>
      <c r="B1322">
        <v>1</v>
      </c>
      <c r="AH1322" t="s">
        <v>10</v>
      </c>
      <c r="AI1322">
        <v>1</v>
      </c>
    </row>
    <row r="1323" spans="1:35" x14ac:dyDescent="0.3">
      <c r="A1323" t="s">
        <v>510</v>
      </c>
      <c r="B1323">
        <v>1</v>
      </c>
      <c r="AH1323" t="s">
        <v>249</v>
      </c>
      <c r="AI1323">
        <v>1</v>
      </c>
    </row>
    <row r="1324" spans="1:35" x14ac:dyDescent="0.3">
      <c r="A1324" t="s">
        <v>715</v>
      </c>
      <c r="B1324">
        <v>1</v>
      </c>
      <c r="AH1324" t="s">
        <v>10</v>
      </c>
      <c r="AI1324">
        <v>1</v>
      </c>
    </row>
    <row r="1325" spans="1:35" x14ac:dyDescent="0.3">
      <c r="A1325" t="s">
        <v>365</v>
      </c>
      <c r="B1325">
        <v>1</v>
      </c>
      <c r="AH1325" t="s">
        <v>1992</v>
      </c>
      <c r="AI1325">
        <v>1</v>
      </c>
    </row>
    <row r="1326" spans="1:35" x14ac:dyDescent="0.3">
      <c r="A1326" t="s">
        <v>11</v>
      </c>
      <c r="B1326">
        <v>1</v>
      </c>
      <c r="AH1326" t="s">
        <v>205</v>
      </c>
      <c r="AI1326">
        <v>1</v>
      </c>
    </row>
    <row r="1327" spans="1:35" x14ac:dyDescent="0.3">
      <c r="A1327" t="s">
        <v>345</v>
      </c>
      <c r="B1327">
        <v>1</v>
      </c>
      <c r="AH1327" t="s">
        <v>35</v>
      </c>
      <c r="AI1327">
        <v>1</v>
      </c>
    </row>
    <row r="1328" spans="1:35" x14ac:dyDescent="0.3">
      <c r="A1328" t="s">
        <v>58</v>
      </c>
      <c r="B1328">
        <v>1</v>
      </c>
      <c r="AH1328" t="s">
        <v>10</v>
      </c>
      <c r="AI1328">
        <v>1</v>
      </c>
    </row>
    <row r="1329" spans="1:35" x14ac:dyDescent="0.3">
      <c r="A1329" t="s">
        <v>11</v>
      </c>
      <c r="B1329">
        <v>1</v>
      </c>
      <c r="AH1329" t="s">
        <v>10</v>
      </c>
      <c r="AI1329">
        <v>1</v>
      </c>
    </row>
    <row r="1330" spans="1:35" x14ac:dyDescent="0.3">
      <c r="A1330" t="s">
        <v>23</v>
      </c>
      <c r="B1330">
        <v>1</v>
      </c>
      <c r="AH1330" t="s">
        <v>10</v>
      </c>
      <c r="AI1330">
        <v>1</v>
      </c>
    </row>
    <row r="1331" spans="1:35" x14ac:dyDescent="0.3">
      <c r="A1331" t="s">
        <v>510</v>
      </c>
      <c r="B1331">
        <v>1</v>
      </c>
      <c r="AH1331" t="s">
        <v>51</v>
      </c>
      <c r="AI1331">
        <v>1</v>
      </c>
    </row>
    <row r="1332" spans="1:35" x14ac:dyDescent="0.3">
      <c r="A1332" t="s">
        <v>17</v>
      </c>
      <c r="B1332">
        <v>1</v>
      </c>
      <c r="AH1332" t="s">
        <v>737</v>
      </c>
      <c r="AI1332">
        <v>1</v>
      </c>
    </row>
    <row r="1333" spans="1:35" x14ac:dyDescent="0.3">
      <c r="A1333" t="s">
        <v>706</v>
      </c>
      <c r="B1333">
        <v>1</v>
      </c>
      <c r="AH1333" t="s">
        <v>10</v>
      </c>
      <c r="AI1333">
        <v>1</v>
      </c>
    </row>
    <row r="1334" spans="1:35" x14ac:dyDescent="0.3">
      <c r="A1334" t="s">
        <v>706</v>
      </c>
      <c r="B1334">
        <v>1</v>
      </c>
      <c r="AH1334" t="s">
        <v>51</v>
      </c>
      <c r="AI1334">
        <v>1</v>
      </c>
    </row>
    <row r="1335" spans="1:35" x14ac:dyDescent="0.3">
      <c r="A1335" t="s">
        <v>726</v>
      </c>
      <c r="B1335">
        <v>1</v>
      </c>
      <c r="AH1335" t="s">
        <v>104</v>
      </c>
      <c r="AI1335">
        <v>1</v>
      </c>
    </row>
    <row r="1336" spans="1:35" x14ac:dyDescent="0.3">
      <c r="A1336" t="s">
        <v>250</v>
      </c>
      <c r="B1336">
        <v>1</v>
      </c>
      <c r="AH1336" t="s">
        <v>51</v>
      </c>
      <c r="AI1336">
        <v>1</v>
      </c>
    </row>
    <row r="1337" spans="1:35" x14ac:dyDescent="0.3">
      <c r="A1337" t="s">
        <v>130</v>
      </c>
      <c r="B1337">
        <v>1</v>
      </c>
      <c r="AH1337" t="s">
        <v>10</v>
      </c>
      <c r="AI1337">
        <v>1</v>
      </c>
    </row>
    <row r="1338" spans="1:35" x14ac:dyDescent="0.3">
      <c r="A1338" t="s">
        <v>52</v>
      </c>
      <c r="B1338">
        <v>1</v>
      </c>
      <c r="AH1338" t="s">
        <v>51</v>
      </c>
      <c r="AI1338">
        <v>1</v>
      </c>
    </row>
    <row r="1339" spans="1:35" x14ac:dyDescent="0.3">
      <c r="A1339" t="s">
        <v>232</v>
      </c>
      <c r="B1339">
        <v>1</v>
      </c>
      <c r="AH1339" t="s">
        <v>10</v>
      </c>
      <c r="AI1339">
        <v>1</v>
      </c>
    </row>
    <row r="1340" spans="1:35" x14ac:dyDescent="0.3">
      <c r="A1340" t="s">
        <v>58</v>
      </c>
      <c r="B1340">
        <v>1</v>
      </c>
      <c r="AH1340" t="s">
        <v>10</v>
      </c>
      <c r="AI1340">
        <v>1</v>
      </c>
    </row>
    <row r="1341" spans="1:35" x14ac:dyDescent="0.3">
      <c r="A1341" t="s">
        <v>11</v>
      </c>
      <c r="B1341">
        <v>1</v>
      </c>
      <c r="AH1341" t="s">
        <v>10</v>
      </c>
      <c r="AI1341">
        <v>1</v>
      </c>
    </row>
    <row r="1342" spans="1:35" x14ac:dyDescent="0.3">
      <c r="A1342" t="s">
        <v>141</v>
      </c>
      <c r="B1342">
        <v>1</v>
      </c>
      <c r="AH1342" t="s">
        <v>51</v>
      </c>
      <c r="AI1342">
        <v>1</v>
      </c>
    </row>
    <row r="1343" spans="1:35" x14ac:dyDescent="0.3">
      <c r="A1343" t="s">
        <v>464</v>
      </c>
      <c r="B1343">
        <v>1</v>
      </c>
      <c r="AH1343" t="s">
        <v>521</v>
      </c>
      <c r="AI1343">
        <v>1</v>
      </c>
    </row>
    <row r="1344" spans="1:35" x14ac:dyDescent="0.3">
      <c r="A1344" t="s">
        <v>706</v>
      </c>
      <c r="B1344">
        <v>1</v>
      </c>
      <c r="AH1344" t="s">
        <v>1172</v>
      </c>
      <c r="AI1344">
        <v>1</v>
      </c>
    </row>
    <row r="1345" spans="1:35" x14ac:dyDescent="0.3">
      <c r="A1345" t="s">
        <v>11</v>
      </c>
      <c r="B1345">
        <v>1</v>
      </c>
      <c r="AH1345" t="s">
        <v>1172</v>
      </c>
      <c r="AI1345">
        <v>1</v>
      </c>
    </row>
    <row r="1346" spans="1:35" x14ac:dyDescent="0.3">
      <c r="A1346" t="s">
        <v>743</v>
      </c>
      <c r="B1346">
        <v>1</v>
      </c>
      <c r="AH1346" t="s">
        <v>10</v>
      </c>
      <c r="AI1346">
        <v>1</v>
      </c>
    </row>
    <row r="1347" spans="1:35" x14ac:dyDescent="0.3">
      <c r="A1347" t="s">
        <v>29</v>
      </c>
      <c r="B1347">
        <v>1</v>
      </c>
      <c r="AH1347" t="s">
        <v>10</v>
      </c>
      <c r="AI1347">
        <v>1</v>
      </c>
    </row>
    <row r="1348" spans="1:35" x14ac:dyDescent="0.3">
      <c r="A1348" t="s">
        <v>98</v>
      </c>
      <c r="B1348">
        <v>1</v>
      </c>
      <c r="AH1348" t="s">
        <v>10</v>
      </c>
      <c r="AI1348">
        <v>1</v>
      </c>
    </row>
    <row r="1349" spans="1:35" x14ac:dyDescent="0.3">
      <c r="A1349" t="s">
        <v>715</v>
      </c>
      <c r="B1349">
        <v>1</v>
      </c>
      <c r="AH1349" t="s">
        <v>35</v>
      </c>
      <c r="AI1349">
        <v>1</v>
      </c>
    </row>
    <row r="1350" spans="1:35" x14ac:dyDescent="0.3">
      <c r="A1350" t="s">
        <v>58</v>
      </c>
      <c r="B1350">
        <v>1</v>
      </c>
      <c r="AH1350" t="s">
        <v>124</v>
      </c>
      <c r="AI1350">
        <v>1</v>
      </c>
    </row>
    <row r="1351" spans="1:35" x14ac:dyDescent="0.3">
      <c r="A1351" t="s">
        <v>17</v>
      </c>
      <c r="B1351">
        <v>1</v>
      </c>
      <c r="AH1351" t="s">
        <v>1925</v>
      </c>
      <c r="AI1351">
        <v>1</v>
      </c>
    </row>
    <row r="1352" spans="1:35" x14ac:dyDescent="0.3">
      <c r="A1352" t="s">
        <v>58</v>
      </c>
      <c r="B1352">
        <v>1</v>
      </c>
      <c r="AH1352" t="s">
        <v>51</v>
      </c>
      <c r="AI1352">
        <v>1</v>
      </c>
    </row>
    <row r="1353" spans="1:35" x14ac:dyDescent="0.3">
      <c r="A1353" t="s">
        <v>715</v>
      </c>
      <c r="B1353">
        <v>1</v>
      </c>
      <c r="AH1353" t="s">
        <v>35</v>
      </c>
      <c r="AI1353">
        <v>1</v>
      </c>
    </row>
    <row r="1354" spans="1:35" x14ac:dyDescent="0.3">
      <c r="A1354" t="s">
        <v>130</v>
      </c>
      <c r="B1354">
        <v>1</v>
      </c>
      <c r="AH1354" t="s">
        <v>452</v>
      </c>
      <c r="AI1354">
        <v>1</v>
      </c>
    </row>
    <row r="1355" spans="1:35" x14ac:dyDescent="0.3">
      <c r="A1355" t="s">
        <v>243</v>
      </c>
      <c r="B1355">
        <v>1</v>
      </c>
      <c r="AH1355" t="s">
        <v>10</v>
      </c>
      <c r="AI1355">
        <v>1</v>
      </c>
    </row>
    <row r="1356" spans="1:35" x14ac:dyDescent="0.3">
      <c r="A1356" t="s">
        <v>174</v>
      </c>
      <c r="B1356">
        <v>1</v>
      </c>
      <c r="AH1356" t="s">
        <v>2925</v>
      </c>
      <c r="AI1356">
        <v>1</v>
      </c>
    </row>
    <row r="1357" spans="1:35" x14ac:dyDescent="0.3">
      <c r="A1357" t="s">
        <v>743</v>
      </c>
      <c r="B1357">
        <v>1</v>
      </c>
      <c r="AH1357" t="s">
        <v>10</v>
      </c>
      <c r="AI1357">
        <v>1</v>
      </c>
    </row>
    <row r="1358" spans="1:35" x14ac:dyDescent="0.3">
      <c r="A1358" t="s">
        <v>365</v>
      </c>
      <c r="B1358">
        <v>1</v>
      </c>
      <c r="AH1358" t="s">
        <v>76</v>
      </c>
      <c r="AI1358">
        <v>1</v>
      </c>
    </row>
    <row r="1359" spans="1:35" x14ac:dyDescent="0.3">
      <c r="A1359" t="s">
        <v>11</v>
      </c>
      <c r="B1359">
        <v>1</v>
      </c>
      <c r="AH1359" t="s">
        <v>1172</v>
      </c>
      <c r="AI1359">
        <v>1</v>
      </c>
    </row>
    <row r="1360" spans="1:35" x14ac:dyDescent="0.3">
      <c r="A1360" t="s">
        <v>11</v>
      </c>
      <c r="B1360">
        <v>1</v>
      </c>
      <c r="AH1360" t="s">
        <v>51</v>
      </c>
      <c r="AI1360">
        <v>1</v>
      </c>
    </row>
    <row r="1361" spans="1:35" x14ac:dyDescent="0.3">
      <c r="A1361" t="s">
        <v>726</v>
      </c>
      <c r="B1361">
        <v>1</v>
      </c>
      <c r="AH1361" t="s">
        <v>35</v>
      </c>
      <c r="AI1361">
        <v>1</v>
      </c>
    </row>
    <row r="1362" spans="1:35" x14ac:dyDescent="0.3">
      <c r="A1362" t="s">
        <v>11</v>
      </c>
      <c r="B1362">
        <v>1</v>
      </c>
      <c r="AH1362" t="s">
        <v>10</v>
      </c>
      <c r="AI1362">
        <v>1</v>
      </c>
    </row>
    <row r="1363" spans="1:35" x14ac:dyDescent="0.3">
      <c r="A1363" t="s">
        <v>130</v>
      </c>
      <c r="B1363">
        <v>1</v>
      </c>
      <c r="AH1363" t="s">
        <v>10</v>
      </c>
      <c r="AI1363">
        <v>1</v>
      </c>
    </row>
    <row r="1364" spans="1:35" x14ac:dyDescent="0.3">
      <c r="A1364" t="s">
        <v>243</v>
      </c>
      <c r="B1364">
        <v>1</v>
      </c>
      <c r="AH1364" t="s">
        <v>10</v>
      </c>
      <c r="AI1364">
        <v>1</v>
      </c>
    </row>
    <row r="1365" spans="1:35" x14ac:dyDescent="0.3">
      <c r="A1365" t="s">
        <v>29</v>
      </c>
      <c r="B1365">
        <v>1</v>
      </c>
      <c r="AH1365" t="s">
        <v>608</v>
      </c>
      <c r="AI1365">
        <v>1</v>
      </c>
    </row>
    <row r="1366" spans="1:35" x14ac:dyDescent="0.3">
      <c r="A1366" t="s">
        <v>510</v>
      </c>
      <c r="B1366">
        <v>1</v>
      </c>
      <c r="AH1366" t="s">
        <v>70</v>
      </c>
      <c r="AI1366">
        <v>1</v>
      </c>
    </row>
    <row r="1367" spans="1:35" x14ac:dyDescent="0.3">
      <c r="A1367" t="s">
        <v>64</v>
      </c>
      <c r="B1367">
        <v>1</v>
      </c>
      <c r="AH1367" t="s">
        <v>10</v>
      </c>
      <c r="AI1367">
        <v>1</v>
      </c>
    </row>
    <row r="1368" spans="1:35" x14ac:dyDescent="0.3">
      <c r="A1368" t="s">
        <v>11</v>
      </c>
      <c r="B1368">
        <v>1</v>
      </c>
      <c r="AH1368" t="s">
        <v>205</v>
      </c>
      <c r="AI1368">
        <v>1</v>
      </c>
    </row>
    <row r="1369" spans="1:35" x14ac:dyDescent="0.3">
      <c r="A1369" t="s">
        <v>11</v>
      </c>
      <c r="B1369">
        <v>1</v>
      </c>
      <c r="AH1369" t="s">
        <v>10</v>
      </c>
      <c r="AI1369">
        <v>1</v>
      </c>
    </row>
    <row r="1370" spans="1:35" x14ac:dyDescent="0.3">
      <c r="A1370" t="s">
        <v>58</v>
      </c>
      <c r="B1370">
        <v>1</v>
      </c>
      <c r="AH1370" t="s">
        <v>35</v>
      </c>
      <c r="AI1370">
        <v>1</v>
      </c>
    </row>
    <row r="1371" spans="1:35" x14ac:dyDescent="0.3">
      <c r="A1371" t="s">
        <v>726</v>
      </c>
      <c r="B1371">
        <v>1</v>
      </c>
      <c r="AH1371" t="s">
        <v>696</v>
      </c>
      <c r="AI1371">
        <v>1</v>
      </c>
    </row>
    <row r="1372" spans="1:35" x14ac:dyDescent="0.3">
      <c r="A1372" t="s">
        <v>510</v>
      </c>
      <c r="B1372">
        <v>1</v>
      </c>
      <c r="AH1372" t="s">
        <v>124</v>
      </c>
      <c r="AI1372">
        <v>1</v>
      </c>
    </row>
    <row r="1373" spans="1:35" x14ac:dyDescent="0.3">
      <c r="A1373" t="s">
        <v>792</v>
      </c>
      <c r="B1373">
        <v>1</v>
      </c>
      <c r="AH1373" t="s">
        <v>76</v>
      </c>
      <c r="AI1373">
        <v>1</v>
      </c>
    </row>
    <row r="1374" spans="1:35" x14ac:dyDescent="0.3">
      <c r="A1374" t="s">
        <v>11</v>
      </c>
      <c r="B1374">
        <v>1</v>
      </c>
      <c r="AH1374" t="s">
        <v>521</v>
      </c>
      <c r="AI1374">
        <v>1</v>
      </c>
    </row>
    <row r="1375" spans="1:35" x14ac:dyDescent="0.3">
      <c r="A1375" t="s">
        <v>58</v>
      </c>
      <c r="B1375">
        <v>1</v>
      </c>
      <c r="AH1375" t="s">
        <v>10</v>
      </c>
      <c r="AI1375">
        <v>1</v>
      </c>
    </row>
    <row r="1376" spans="1:35" x14ac:dyDescent="0.3">
      <c r="A1376" t="s">
        <v>250</v>
      </c>
      <c r="B1376">
        <v>1</v>
      </c>
      <c r="AH1376" t="s">
        <v>10</v>
      </c>
      <c r="AI1376">
        <v>1</v>
      </c>
    </row>
    <row r="1377" spans="1:35" x14ac:dyDescent="0.3">
      <c r="A1377" t="s">
        <v>345</v>
      </c>
      <c r="B1377">
        <v>1</v>
      </c>
      <c r="AH1377" t="s">
        <v>10</v>
      </c>
      <c r="AI1377">
        <v>1</v>
      </c>
    </row>
    <row r="1378" spans="1:35" x14ac:dyDescent="0.3">
      <c r="A1378" t="s">
        <v>11</v>
      </c>
      <c r="B1378">
        <v>1</v>
      </c>
      <c r="AH1378" t="s">
        <v>2415</v>
      </c>
      <c r="AI1378">
        <v>1</v>
      </c>
    </row>
    <row r="1379" spans="1:35" x14ac:dyDescent="0.3">
      <c r="A1379" t="s">
        <v>58</v>
      </c>
      <c r="B1379">
        <v>1</v>
      </c>
      <c r="AH1379" t="s">
        <v>521</v>
      </c>
      <c r="AI1379">
        <v>1</v>
      </c>
    </row>
    <row r="1380" spans="1:35" x14ac:dyDescent="0.3">
      <c r="A1380" t="s">
        <v>64</v>
      </c>
      <c r="B1380">
        <v>1</v>
      </c>
      <c r="AH1380" t="s">
        <v>76</v>
      </c>
      <c r="AI1380">
        <v>1</v>
      </c>
    </row>
    <row r="1381" spans="1:35" x14ac:dyDescent="0.3">
      <c r="A1381" t="s">
        <v>58</v>
      </c>
      <c r="B1381">
        <v>1</v>
      </c>
      <c r="AH1381" t="s">
        <v>1172</v>
      </c>
      <c r="AI1381">
        <v>1</v>
      </c>
    </row>
    <row r="1382" spans="1:35" x14ac:dyDescent="0.3">
      <c r="A1382" t="s">
        <v>151</v>
      </c>
      <c r="B1382">
        <v>1</v>
      </c>
      <c r="AH1382" t="s">
        <v>10</v>
      </c>
      <c r="AI1382">
        <v>1</v>
      </c>
    </row>
    <row r="1383" spans="1:35" x14ac:dyDescent="0.3">
      <c r="A1383" t="s">
        <v>510</v>
      </c>
      <c r="B1383">
        <v>1</v>
      </c>
      <c r="AH1383" t="s">
        <v>10</v>
      </c>
      <c r="AI1383">
        <v>1</v>
      </c>
    </row>
    <row r="1384" spans="1:35" x14ac:dyDescent="0.3">
      <c r="A1384" t="s">
        <v>130</v>
      </c>
      <c r="B1384">
        <v>1</v>
      </c>
      <c r="AH1384" t="s">
        <v>51</v>
      </c>
      <c r="AI1384">
        <v>1</v>
      </c>
    </row>
    <row r="1385" spans="1:35" x14ac:dyDescent="0.3">
      <c r="A1385" t="s">
        <v>250</v>
      </c>
      <c r="B1385">
        <v>1</v>
      </c>
      <c r="AH1385" t="s">
        <v>10</v>
      </c>
      <c r="AI1385">
        <v>1</v>
      </c>
    </row>
    <row r="1386" spans="1:35" x14ac:dyDescent="0.3">
      <c r="A1386" t="s">
        <v>64</v>
      </c>
      <c r="B1386">
        <v>1</v>
      </c>
      <c r="AH1386" t="s">
        <v>10</v>
      </c>
      <c r="AI1386">
        <v>1</v>
      </c>
    </row>
    <row r="1387" spans="1:35" x14ac:dyDescent="0.3">
      <c r="A1387" t="s">
        <v>365</v>
      </c>
      <c r="B1387">
        <v>1</v>
      </c>
      <c r="AH1387" t="s">
        <v>696</v>
      </c>
      <c r="AI1387">
        <v>1</v>
      </c>
    </row>
    <row r="1388" spans="1:35" x14ac:dyDescent="0.3">
      <c r="A1388" t="s">
        <v>11</v>
      </c>
      <c r="B1388">
        <v>1</v>
      </c>
      <c r="AH1388" t="s">
        <v>51</v>
      </c>
      <c r="AI1388">
        <v>1</v>
      </c>
    </row>
    <row r="1389" spans="1:35" x14ac:dyDescent="0.3">
      <c r="A1389" t="s">
        <v>11</v>
      </c>
      <c r="B1389">
        <v>1</v>
      </c>
      <c r="AH1389" t="s">
        <v>10</v>
      </c>
      <c r="AI1389">
        <v>1</v>
      </c>
    </row>
    <row r="1390" spans="1:35" x14ac:dyDescent="0.3">
      <c r="A1390" t="s">
        <v>510</v>
      </c>
      <c r="B1390">
        <v>1</v>
      </c>
      <c r="AH1390" t="s">
        <v>104</v>
      </c>
      <c r="AI1390">
        <v>1</v>
      </c>
    </row>
    <row r="1391" spans="1:35" x14ac:dyDescent="0.3">
      <c r="A1391" t="s">
        <v>130</v>
      </c>
      <c r="B1391">
        <v>1</v>
      </c>
      <c r="AH1391" t="s">
        <v>10</v>
      </c>
      <c r="AI1391">
        <v>1</v>
      </c>
    </row>
    <row r="1392" spans="1:35" x14ac:dyDescent="0.3">
      <c r="A1392" t="s">
        <v>58</v>
      </c>
      <c r="B1392">
        <v>1</v>
      </c>
      <c r="AH1392" t="s">
        <v>51</v>
      </c>
      <c r="AI1392">
        <v>1</v>
      </c>
    </row>
    <row r="1393" spans="1:35" x14ac:dyDescent="0.3">
      <c r="A1393" t="s">
        <v>151</v>
      </c>
      <c r="B1393">
        <v>1</v>
      </c>
      <c r="AH1393" t="s">
        <v>2172</v>
      </c>
      <c r="AI1393">
        <v>1</v>
      </c>
    </row>
    <row r="1394" spans="1:35" x14ac:dyDescent="0.3">
      <c r="A1394" t="s">
        <v>634</v>
      </c>
      <c r="B1394">
        <v>1</v>
      </c>
      <c r="AH1394" t="s">
        <v>1172</v>
      </c>
      <c r="AI1394">
        <v>1</v>
      </c>
    </row>
    <row r="1395" spans="1:35" x14ac:dyDescent="0.3">
      <c r="A1395" t="s">
        <v>11</v>
      </c>
      <c r="B1395">
        <v>1</v>
      </c>
      <c r="AH1395" t="s">
        <v>10</v>
      </c>
      <c r="AI1395">
        <v>1</v>
      </c>
    </row>
    <row r="1396" spans="1:35" x14ac:dyDescent="0.3">
      <c r="A1396" t="s">
        <v>687</v>
      </c>
      <c r="B1396">
        <v>1</v>
      </c>
      <c r="AH1396" t="s">
        <v>51</v>
      </c>
      <c r="AI1396">
        <v>1</v>
      </c>
    </row>
    <row r="1397" spans="1:35" x14ac:dyDescent="0.3">
      <c r="A1397" t="s">
        <v>743</v>
      </c>
      <c r="B1397">
        <v>1</v>
      </c>
      <c r="AH1397" t="s">
        <v>10</v>
      </c>
      <c r="AI1397">
        <v>1</v>
      </c>
    </row>
    <row r="1398" spans="1:35" x14ac:dyDescent="0.3">
      <c r="A1398" t="s">
        <v>634</v>
      </c>
      <c r="B1398">
        <v>1</v>
      </c>
      <c r="AH1398" t="s">
        <v>10</v>
      </c>
      <c r="AI1398">
        <v>1</v>
      </c>
    </row>
    <row r="1399" spans="1:35" x14ac:dyDescent="0.3">
      <c r="A1399" t="s">
        <v>715</v>
      </c>
      <c r="B1399">
        <v>1</v>
      </c>
      <c r="AH1399" t="s">
        <v>35</v>
      </c>
      <c r="AI1399">
        <v>1</v>
      </c>
    </row>
    <row r="1400" spans="1:35" x14ac:dyDescent="0.3">
      <c r="A1400" t="s">
        <v>464</v>
      </c>
      <c r="B1400">
        <v>1</v>
      </c>
      <c r="AH1400" t="s">
        <v>10</v>
      </c>
      <c r="AI1400">
        <v>1</v>
      </c>
    </row>
    <row r="1401" spans="1:35" x14ac:dyDescent="0.3">
      <c r="A1401" t="s">
        <v>174</v>
      </c>
      <c r="B1401">
        <v>1</v>
      </c>
      <c r="AH1401" t="s">
        <v>10</v>
      </c>
      <c r="AI1401">
        <v>1</v>
      </c>
    </row>
    <row r="1402" spans="1:35" x14ac:dyDescent="0.3">
      <c r="A1402" t="s">
        <v>11</v>
      </c>
      <c r="B1402">
        <v>1</v>
      </c>
      <c r="AH1402" t="s">
        <v>51</v>
      </c>
      <c r="AI1402">
        <v>1</v>
      </c>
    </row>
    <row r="1403" spans="1:35" x14ac:dyDescent="0.3">
      <c r="A1403" t="s">
        <v>510</v>
      </c>
      <c r="B1403">
        <v>1</v>
      </c>
      <c r="AH1403" t="s">
        <v>249</v>
      </c>
      <c r="AI1403">
        <v>1</v>
      </c>
    </row>
    <row r="1404" spans="1:35" x14ac:dyDescent="0.3">
      <c r="A1404" t="s">
        <v>11</v>
      </c>
      <c r="B1404">
        <v>1</v>
      </c>
      <c r="AH1404" t="s">
        <v>51</v>
      </c>
      <c r="AI1404">
        <v>1</v>
      </c>
    </row>
    <row r="1405" spans="1:35" x14ac:dyDescent="0.3">
      <c r="A1405" t="s">
        <v>29</v>
      </c>
      <c r="B1405">
        <v>1</v>
      </c>
      <c r="AH1405" t="s">
        <v>104</v>
      </c>
      <c r="AI1405">
        <v>1</v>
      </c>
    </row>
    <row r="1406" spans="1:35" x14ac:dyDescent="0.3">
      <c r="A1406" t="s">
        <v>64</v>
      </c>
      <c r="B1406">
        <v>1</v>
      </c>
      <c r="AH1406" t="s">
        <v>10</v>
      </c>
      <c r="AI1406">
        <v>1</v>
      </c>
    </row>
    <row r="1407" spans="1:35" x14ac:dyDescent="0.3">
      <c r="A1407" t="s">
        <v>243</v>
      </c>
      <c r="B1407">
        <v>1</v>
      </c>
      <c r="AH1407" t="s">
        <v>10</v>
      </c>
      <c r="AI1407">
        <v>1</v>
      </c>
    </row>
    <row r="1408" spans="1:35" x14ac:dyDescent="0.3">
      <c r="A1408" t="s">
        <v>64</v>
      </c>
      <c r="B1408">
        <v>1</v>
      </c>
      <c r="AH1408" t="s">
        <v>10</v>
      </c>
      <c r="AI1408">
        <v>1</v>
      </c>
    </row>
    <row r="1409" spans="1:35" x14ac:dyDescent="0.3">
      <c r="A1409" t="s">
        <v>23</v>
      </c>
      <c r="B1409">
        <v>1</v>
      </c>
      <c r="AH1409" t="s">
        <v>1632</v>
      </c>
      <c r="AI1409">
        <v>1</v>
      </c>
    </row>
    <row r="1410" spans="1:35" x14ac:dyDescent="0.3">
      <c r="A1410" t="s">
        <v>52</v>
      </c>
      <c r="B1410">
        <v>1</v>
      </c>
      <c r="AH1410" t="s">
        <v>249</v>
      </c>
      <c r="AI1410">
        <v>1</v>
      </c>
    </row>
    <row r="1411" spans="1:35" x14ac:dyDescent="0.3">
      <c r="A1411" t="s">
        <v>151</v>
      </c>
      <c r="B1411">
        <v>1</v>
      </c>
      <c r="AH1411" t="s">
        <v>3998</v>
      </c>
      <c r="AI1411">
        <v>1</v>
      </c>
    </row>
    <row r="1412" spans="1:35" x14ac:dyDescent="0.3">
      <c r="A1412" t="s">
        <v>98</v>
      </c>
      <c r="B1412">
        <v>1</v>
      </c>
      <c r="AH1412" t="s">
        <v>10</v>
      </c>
      <c r="AI1412">
        <v>1</v>
      </c>
    </row>
    <row r="1413" spans="1:35" x14ac:dyDescent="0.3">
      <c r="A1413" t="s">
        <v>58</v>
      </c>
      <c r="B1413">
        <v>1</v>
      </c>
      <c r="AH1413" t="s">
        <v>10</v>
      </c>
      <c r="AI1413">
        <v>1</v>
      </c>
    </row>
    <row r="1414" spans="1:35" x14ac:dyDescent="0.3">
      <c r="A1414" t="s">
        <v>365</v>
      </c>
      <c r="B1414">
        <v>1</v>
      </c>
      <c r="AH1414" t="s">
        <v>51</v>
      </c>
      <c r="AI1414">
        <v>1</v>
      </c>
    </row>
    <row r="1415" spans="1:35" x14ac:dyDescent="0.3">
      <c r="A1415" t="s">
        <v>130</v>
      </c>
      <c r="B1415">
        <v>1</v>
      </c>
      <c r="AH1415" t="s">
        <v>249</v>
      </c>
      <c r="AI1415">
        <v>1</v>
      </c>
    </row>
    <row r="1416" spans="1:35" x14ac:dyDescent="0.3">
      <c r="A1416" t="s">
        <v>365</v>
      </c>
      <c r="B1416">
        <v>1</v>
      </c>
      <c r="AH1416" t="s">
        <v>1079</v>
      </c>
      <c r="AI1416">
        <v>1</v>
      </c>
    </row>
    <row r="1417" spans="1:35" x14ac:dyDescent="0.3">
      <c r="A1417" t="s">
        <v>365</v>
      </c>
      <c r="B1417">
        <v>1</v>
      </c>
      <c r="AH1417" t="s">
        <v>205</v>
      </c>
      <c r="AI1417">
        <v>1</v>
      </c>
    </row>
    <row r="1418" spans="1:35" x14ac:dyDescent="0.3">
      <c r="A1418" t="s">
        <v>743</v>
      </c>
      <c r="B1418">
        <v>1</v>
      </c>
      <c r="AH1418" t="s">
        <v>51</v>
      </c>
      <c r="AI1418">
        <v>1</v>
      </c>
    </row>
    <row r="1419" spans="1:35" x14ac:dyDescent="0.3">
      <c r="A1419" t="s">
        <v>706</v>
      </c>
      <c r="B1419">
        <v>1</v>
      </c>
      <c r="AH1419" t="s">
        <v>51</v>
      </c>
      <c r="AI1419">
        <v>1</v>
      </c>
    </row>
    <row r="1420" spans="1:35" x14ac:dyDescent="0.3">
      <c r="A1420" t="s">
        <v>141</v>
      </c>
      <c r="B1420">
        <v>1</v>
      </c>
      <c r="AH1420" t="s">
        <v>10</v>
      </c>
      <c r="AI1420">
        <v>1</v>
      </c>
    </row>
    <row r="1421" spans="1:35" x14ac:dyDescent="0.3">
      <c r="A1421" t="s">
        <v>232</v>
      </c>
      <c r="B1421">
        <v>1</v>
      </c>
      <c r="AH1421" t="s">
        <v>35</v>
      </c>
      <c r="AI1421">
        <v>1</v>
      </c>
    </row>
    <row r="1422" spans="1:35" x14ac:dyDescent="0.3">
      <c r="A1422" t="s">
        <v>58</v>
      </c>
      <c r="B1422">
        <v>1</v>
      </c>
      <c r="AH1422" t="s">
        <v>10</v>
      </c>
      <c r="AI1422">
        <v>1</v>
      </c>
    </row>
    <row r="1423" spans="1:35" x14ac:dyDescent="0.3">
      <c r="A1423" t="s">
        <v>11</v>
      </c>
      <c r="B1423">
        <v>1</v>
      </c>
      <c r="AH1423" t="s">
        <v>1441</v>
      </c>
      <c r="AI1423">
        <v>1</v>
      </c>
    </row>
    <row r="1424" spans="1:35" x14ac:dyDescent="0.3">
      <c r="A1424" t="s">
        <v>706</v>
      </c>
      <c r="B1424">
        <v>1</v>
      </c>
      <c r="AH1424" t="s">
        <v>35</v>
      </c>
      <c r="AI1424">
        <v>1</v>
      </c>
    </row>
    <row r="1425" spans="1:35" x14ac:dyDescent="0.3">
      <c r="A1425" t="s">
        <v>58</v>
      </c>
      <c r="B1425">
        <v>1</v>
      </c>
      <c r="AH1425" t="s">
        <v>35</v>
      </c>
      <c r="AI1425">
        <v>1</v>
      </c>
    </row>
    <row r="1426" spans="1:35" x14ac:dyDescent="0.3">
      <c r="A1426" t="s">
        <v>365</v>
      </c>
      <c r="B1426">
        <v>1</v>
      </c>
      <c r="AH1426" t="s">
        <v>10</v>
      </c>
      <c r="AI1426">
        <v>1</v>
      </c>
    </row>
    <row r="1427" spans="1:35" x14ac:dyDescent="0.3">
      <c r="A1427" t="s">
        <v>58</v>
      </c>
      <c r="B1427">
        <v>1</v>
      </c>
      <c r="AH1427" t="s">
        <v>51</v>
      </c>
      <c r="AI1427">
        <v>1</v>
      </c>
    </row>
    <row r="1428" spans="1:35" x14ac:dyDescent="0.3">
      <c r="A1428" t="s">
        <v>706</v>
      </c>
      <c r="B1428">
        <v>1</v>
      </c>
      <c r="AH1428" t="s">
        <v>216</v>
      </c>
      <c r="AI1428">
        <v>1</v>
      </c>
    </row>
    <row r="1429" spans="1:35" x14ac:dyDescent="0.3">
      <c r="A1429" t="s">
        <v>687</v>
      </c>
      <c r="B1429">
        <v>1</v>
      </c>
      <c r="AH1429" t="s">
        <v>70</v>
      </c>
      <c r="AI1429">
        <v>1</v>
      </c>
    </row>
    <row r="1430" spans="1:35" x14ac:dyDescent="0.3">
      <c r="A1430" t="s">
        <v>634</v>
      </c>
      <c r="B1430">
        <v>1</v>
      </c>
      <c r="AH1430" t="s">
        <v>417</v>
      </c>
      <c r="AI1430">
        <v>1</v>
      </c>
    </row>
    <row r="1431" spans="1:35" x14ac:dyDescent="0.3">
      <c r="A1431" t="s">
        <v>58</v>
      </c>
      <c r="B1431">
        <v>1</v>
      </c>
      <c r="AH1431" t="s">
        <v>452</v>
      </c>
      <c r="AI1431">
        <v>1</v>
      </c>
    </row>
    <row r="1432" spans="1:35" x14ac:dyDescent="0.3">
      <c r="A1432" t="s">
        <v>141</v>
      </c>
      <c r="B1432">
        <v>1</v>
      </c>
      <c r="AH1432" t="s">
        <v>10</v>
      </c>
      <c r="AI1432">
        <v>1</v>
      </c>
    </row>
    <row r="1433" spans="1:35" x14ac:dyDescent="0.3">
      <c r="A1433" t="s">
        <v>64</v>
      </c>
      <c r="B1433">
        <v>1</v>
      </c>
      <c r="AH1433" t="s">
        <v>417</v>
      </c>
      <c r="AI1433">
        <v>1</v>
      </c>
    </row>
    <row r="1434" spans="1:35" x14ac:dyDescent="0.3">
      <c r="A1434" t="s">
        <v>345</v>
      </c>
      <c r="B1434">
        <v>1</v>
      </c>
      <c r="AH1434" t="s">
        <v>35</v>
      </c>
      <c r="AI1434">
        <v>1</v>
      </c>
    </row>
    <row r="1435" spans="1:35" x14ac:dyDescent="0.3">
      <c r="A1435" t="s">
        <v>64</v>
      </c>
      <c r="B1435">
        <v>1</v>
      </c>
      <c r="AH1435" t="s">
        <v>10</v>
      </c>
      <c r="AI1435">
        <v>1</v>
      </c>
    </row>
    <row r="1436" spans="1:35" x14ac:dyDescent="0.3">
      <c r="A1436" t="s">
        <v>64</v>
      </c>
      <c r="B1436">
        <v>1</v>
      </c>
      <c r="AH1436" t="s">
        <v>35</v>
      </c>
      <c r="AI1436">
        <v>1</v>
      </c>
    </row>
    <row r="1437" spans="1:35" x14ac:dyDescent="0.3">
      <c r="A1437" t="s">
        <v>58</v>
      </c>
      <c r="B1437">
        <v>1</v>
      </c>
      <c r="AH1437" t="s">
        <v>216</v>
      </c>
      <c r="AI1437">
        <v>1</v>
      </c>
    </row>
    <row r="1438" spans="1:35" x14ac:dyDescent="0.3">
      <c r="A1438" t="s">
        <v>23</v>
      </c>
      <c r="B1438">
        <v>1</v>
      </c>
      <c r="AH1438" t="s">
        <v>205</v>
      </c>
      <c r="AI1438">
        <v>1</v>
      </c>
    </row>
    <row r="1439" spans="1:35" x14ac:dyDescent="0.3">
      <c r="A1439" t="s">
        <v>232</v>
      </c>
      <c r="B1439">
        <v>1</v>
      </c>
      <c r="AH1439" t="s">
        <v>35</v>
      </c>
      <c r="AI1439">
        <v>1</v>
      </c>
    </row>
    <row r="1440" spans="1:35" x14ac:dyDescent="0.3">
      <c r="A1440" t="s">
        <v>687</v>
      </c>
      <c r="B1440">
        <v>1</v>
      </c>
      <c r="AH1440" t="s">
        <v>51</v>
      </c>
      <c r="AI1440">
        <v>1</v>
      </c>
    </row>
    <row r="1441" spans="1:35" x14ac:dyDescent="0.3">
      <c r="A1441" t="s">
        <v>130</v>
      </c>
      <c r="B1441">
        <v>1</v>
      </c>
      <c r="AH1441" t="s">
        <v>1679</v>
      </c>
      <c r="AI1441">
        <v>1</v>
      </c>
    </row>
    <row r="1442" spans="1:35" x14ac:dyDescent="0.3">
      <c r="A1442" t="s">
        <v>345</v>
      </c>
      <c r="B1442">
        <v>1</v>
      </c>
      <c r="AH1442" t="s">
        <v>10</v>
      </c>
      <c r="AI1442">
        <v>1</v>
      </c>
    </row>
    <row r="1443" spans="1:35" x14ac:dyDescent="0.3">
      <c r="A1443" t="s">
        <v>365</v>
      </c>
      <c r="B1443">
        <v>1</v>
      </c>
      <c r="AH1443" t="s">
        <v>35</v>
      </c>
      <c r="AI1443">
        <v>1</v>
      </c>
    </row>
    <row r="1444" spans="1:35" x14ac:dyDescent="0.3">
      <c r="A1444" t="s">
        <v>464</v>
      </c>
      <c r="B1444">
        <v>1</v>
      </c>
      <c r="AH1444" t="s">
        <v>51</v>
      </c>
      <c r="AI1444">
        <v>1</v>
      </c>
    </row>
    <row r="1445" spans="1:35" x14ac:dyDescent="0.3">
      <c r="A1445" t="s">
        <v>151</v>
      </c>
      <c r="B1445">
        <v>1</v>
      </c>
      <c r="AH1445" t="s">
        <v>3592</v>
      </c>
      <c r="AI1445">
        <v>1</v>
      </c>
    </row>
    <row r="1446" spans="1:35" x14ac:dyDescent="0.3">
      <c r="A1446" t="s">
        <v>365</v>
      </c>
      <c r="B1446">
        <v>1</v>
      </c>
      <c r="AH1446" t="s">
        <v>1617</v>
      </c>
      <c r="AI1446">
        <v>1</v>
      </c>
    </row>
    <row r="1447" spans="1:35" x14ac:dyDescent="0.3">
      <c r="A1447" t="s">
        <v>64</v>
      </c>
      <c r="B1447">
        <v>1</v>
      </c>
      <c r="AH1447" t="s">
        <v>10</v>
      </c>
      <c r="AI1447">
        <v>1</v>
      </c>
    </row>
    <row r="1448" spans="1:35" x14ac:dyDescent="0.3">
      <c r="A1448" t="s">
        <v>98</v>
      </c>
      <c r="B1448">
        <v>1</v>
      </c>
      <c r="AH1448" t="s">
        <v>1441</v>
      </c>
      <c r="AI1448">
        <v>1</v>
      </c>
    </row>
    <row r="1449" spans="1:35" x14ac:dyDescent="0.3">
      <c r="A1449" t="s">
        <v>141</v>
      </c>
      <c r="B1449">
        <v>1</v>
      </c>
      <c r="AH1449" t="s">
        <v>51</v>
      </c>
      <c r="AI1449">
        <v>1</v>
      </c>
    </row>
    <row r="1450" spans="1:35" x14ac:dyDescent="0.3">
      <c r="A1450" t="s">
        <v>365</v>
      </c>
      <c r="B1450">
        <v>1</v>
      </c>
      <c r="AH1450" t="s">
        <v>249</v>
      </c>
      <c r="AI1450">
        <v>1</v>
      </c>
    </row>
    <row r="1451" spans="1:35" x14ac:dyDescent="0.3">
      <c r="A1451" t="s">
        <v>52</v>
      </c>
      <c r="B1451">
        <v>1</v>
      </c>
      <c r="AH1451" t="s">
        <v>10</v>
      </c>
      <c r="AI1451">
        <v>1</v>
      </c>
    </row>
    <row r="1452" spans="1:35" x14ac:dyDescent="0.3">
      <c r="A1452" t="s">
        <v>634</v>
      </c>
      <c r="B1452">
        <v>1</v>
      </c>
      <c r="AH1452" t="s">
        <v>458</v>
      </c>
      <c r="AI1452">
        <v>1</v>
      </c>
    </row>
    <row r="1453" spans="1:35" x14ac:dyDescent="0.3">
      <c r="A1453" t="s">
        <v>130</v>
      </c>
      <c r="B1453">
        <v>1</v>
      </c>
      <c r="AH1453" t="s">
        <v>2672</v>
      </c>
      <c r="AI1453">
        <v>1</v>
      </c>
    </row>
    <row r="1454" spans="1:35" x14ac:dyDescent="0.3">
      <c r="A1454" t="s">
        <v>130</v>
      </c>
      <c r="B1454">
        <v>1</v>
      </c>
      <c r="AH1454" t="s">
        <v>10</v>
      </c>
      <c r="AI1454">
        <v>1</v>
      </c>
    </row>
    <row r="1455" spans="1:35" x14ac:dyDescent="0.3">
      <c r="A1455" t="s">
        <v>726</v>
      </c>
      <c r="B1455">
        <v>1</v>
      </c>
      <c r="AH1455" t="s">
        <v>10</v>
      </c>
      <c r="AI1455">
        <v>1</v>
      </c>
    </row>
    <row r="1456" spans="1:35" x14ac:dyDescent="0.3">
      <c r="A1456" t="s">
        <v>23</v>
      </c>
      <c r="B1456">
        <v>1</v>
      </c>
      <c r="AH1456" t="s">
        <v>10</v>
      </c>
      <c r="AI1456">
        <v>1</v>
      </c>
    </row>
    <row r="1457" spans="1:35" x14ac:dyDescent="0.3">
      <c r="A1457" t="s">
        <v>726</v>
      </c>
      <c r="B1457">
        <v>1</v>
      </c>
      <c r="AH1457" t="s">
        <v>584</v>
      </c>
      <c r="AI1457">
        <v>1</v>
      </c>
    </row>
    <row r="1458" spans="1:35" x14ac:dyDescent="0.3">
      <c r="A1458" t="s">
        <v>11</v>
      </c>
      <c r="B1458">
        <v>1</v>
      </c>
      <c r="AH1458" t="s">
        <v>10</v>
      </c>
      <c r="AI1458">
        <v>1</v>
      </c>
    </row>
    <row r="1459" spans="1:35" x14ac:dyDescent="0.3">
      <c r="A1459" t="s">
        <v>23</v>
      </c>
      <c r="B1459">
        <v>1</v>
      </c>
      <c r="AH1459" t="s">
        <v>10</v>
      </c>
      <c r="AI1459">
        <v>1</v>
      </c>
    </row>
    <row r="1460" spans="1:35" x14ac:dyDescent="0.3">
      <c r="A1460" t="s">
        <v>58</v>
      </c>
      <c r="B1460">
        <v>1</v>
      </c>
      <c r="AH1460" t="s">
        <v>51</v>
      </c>
      <c r="AI1460">
        <v>1</v>
      </c>
    </row>
    <row r="1461" spans="1:35" x14ac:dyDescent="0.3">
      <c r="A1461" t="s">
        <v>17</v>
      </c>
      <c r="B1461">
        <v>1</v>
      </c>
      <c r="AH1461" t="s">
        <v>1617</v>
      </c>
      <c r="AI1461">
        <v>1</v>
      </c>
    </row>
    <row r="1462" spans="1:35" x14ac:dyDescent="0.3">
      <c r="A1462" t="s">
        <v>706</v>
      </c>
      <c r="B1462">
        <v>1</v>
      </c>
      <c r="AH1462" t="s">
        <v>51</v>
      </c>
      <c r="AI1462">
        <v>1</v>
      </c>
    </row>
    <row r="1463" spans="1:35" x14ac:dyDescent="0.3">
      <c r="A1463" t="s">
        <v>64</v>
      </c>
      <c r="B1463">
        <v>1</v>
      </c>
      <c r="AH1463" t="s">
        <v>10</v>
      </c>
      <c r="AI1463">
        <v>1</v>
      </c>
    </row>
    <row r="1464" spans="1:35" x14ac:dyDescent="0.3">
      <c r="A1464" t="s">
        <v>98</v>
      </c>
      <c r="B1464">
        <v>1</v>
      </c>
      <c r="AH1464" t="s">
        <v>249</v>
      </c>
      <c r="AI1464">
        <v>1</v>
      </c>
    </row>
    <row r="1465" spans="1:35" x14ac:dyDescent="0.3">
      <c r="A1465" t="s">
        <v>11</v>
      </c>
      <c r="B1465">
        <v>1</v>
      </c>
      <c r="AH1465" t="s">
        <v>10</v>
      </c>
      <c r="AI1465">
        <v>1</v>
      </c>
    </row>
    <row r="1466" spans="1:35" x14ac:dyDescent="0.3">
      <c r="A1466" t="s">
        <v>23</v>
      </c>
      <c r="B1466">
        <v>1</v>
      </c>
      <c r="AH1466" t="s">
        <v>10</v>
      </c>
      <c r="AI1466">
        <v>1</v>
      </c>
    </row>
    <row r="1467" spans="1:35" x14ac:dyDescent="0.3">
      <c r="A1467" t="s">
        <v>706</v>
      </c>
      <c r="B1467">
        <v>1</v>
      </c>
      <c r="AH1467" t="s">
        <v>76</v>
      </c>
      <c r="AI1467">
        <v>1</v>
      </c>
    </row>
    <row r="1468" spans="1:35" x14ac:dyDescent="0.3">
      <c r="A1468" t="s">
        <v>58</v>
      </c>
      <c r="B1468">
        <v>1</v>
      </c>
      <c r="AH1468" t="s">
        <v>1679</v>
      </c>
      <c r="AI1468">
        <v>1</v>
      </c>
    </row>
    <row r="1469" spans="1:35" x14ac:dyDescent="0.3">
      <c r="A1469" t="s">
        <v>706</v>
      </c>
      <c r="B1469">
        <v>1</v>
      </c>
      <c r="AH1469" t="s">
        <v>51</v>
      </c>
      <c r="AI1469">
        <v>1</v>
      </c>
    </row>
    <row r="1470" spans="1:35" x14ac:dyDescent="0.3">
      <c r="A1470" t="s">
        <v>130</v>
      </c>
      <c r="B1470">
        <v>1</v>
      </c>
      <c r="AH1470" t="s">
        <v>1079</v>
      </c>
      <c r="AI1470">
        <v>1</v>
      </c>
    </row>
    <row r="1471" spans="1:35" x14ac:dyDescent="0.3">
      <c r="A1471" t="s">
        <v>29</v>
      </c>
      <c r="B1471">
        <v>1</v>
      </c>
      <c r="AH1471" t="s">
        <v>10</v>
      </c>
      <c r="AI1471">
        <v>1</v>
      </c>
    </row>
    <row r="1472" spans="1:35" x14ac:dyDescent="0.3">
      <c r="A1472" t="s">
        <v>243</v>
      </c>
      <c r="B1472">
        <v>1</v>
      </c>
      <c r="AH1472" t="s">
        <v>10</v>
      </c>
      <c r="AI1472">
        <v>1</v>
      </c>
    </row>
    <row r="1473" spans="1:35" x14ac:dyDescent="0.3">
      <c r="A1473" t="s">
        <v>58</v>
      </c>
      <c r="B1473">
        <v>1</v>
      </c>
      <c r="AH1473" t="s">
        <v>35</v>
      </c>
      <c r="AI1473">
        <v>1</v>
      </c>
    </row>
    <row r="1474" spans="1:35" x14ac:dyDescent="0.3">
      <c r="A1474" t="s">
        <v>11</v>
      </c>
      <c r="B1474">
        <v>1</v>
      </c>
      <c r="AH1474" t="s">
        <v>10</v>
      </c>
      <c r="AI1474">
        <v>1</v>
      </c>
    </row>
    <row r="1475" spans="1:35" x14ac:dyDescent="0.3">
      <c r="A1475" t="s">
        <v>11</v>
      </c>
      <c r="B1475">
        <v>1</v>
      </c>
      <c r="AH1475" t="s">
        <v>205</v>
      </c>
      <c r="AI1475">
        <v>1</v>
      </c>
    </row>
    <row r="1476" spans="1:35" x14ac:dyDescent="0.3">
      <c r="A1476" t="s">
        <v>743</v>
      </c>
      <c r="B1476">
        <v>1</v>
      </c>
      <c r="AH1476" t="s">
        <v>10</v>
      </c>
      <c r="AI1476">
        <v>1</v>
      </c>
    </row>
    <row r="1477" spans="1:35" x14ac:dyDescent="0.3">
      <c r="A1477" t="s">
        <v>141</v>
      </c>
      <c r="B1477">
        <v>1</v>
      </c>
      <c r="AH1477" t="s">
        <v>10</v>
      </c>
      <c r="AI1477">
        <v>1</v>
      </c>
    </row>
    <row r="1478" spans="1:35" x14ac:dyDescent="0.3">
      <c r="A1478" t="s">
        <v>23</v>
      </c>
      <c r="B1478">
        <v>1</v>
      </c>
      <c r="AH1478" t="s">
        <v>124</v>
      </c>
      <c r="AI1478">
        <v>1</v>
      </c>
    </row>
    <row r="1479" spans="1:35" x14ac:dyDescent="0.3">
      <c r="A1479" t="s">
        <v>715</v>
      </c>
      <c r="B1479">
        <v>1</v>
      </c>
      <c r="AH1479" t="s">
        <v>10</v>
      </c>
      <c r="AI1479">
        <v>1</v>
      </c>
    </row>
    <row r="1480" spans="1:35" x14ac:dyDescent="0.3">
      <c r="A1480" t="s">
        <v>11</v>
      </c>
      <c r="B1480">
        <v>1</v>
      </c>
      <c r="AH1480" t="s">
        <v>10</v>
      </c>
      <c r="AI1480">
        <v>1</v>
      </c>
    </row>
    <row r="1481" spans="1:35" x14ac:dyDescent="0.3">
      <c r="A1481" t="s">
        <v>365</v>
      </c>
      <c r="B1481">
        <v>1</v>
      </c>
      <c r="AH1481" t="s">
        <v>10</v>
      </c>
      <c r="AI1481">
        <v>1</v>
      </c>
    </row>
    <row r="1482" spans="1:35" x14ac:dyDescent="0.3">
      <c r="A1482" t="s">
        <v>634</v>
      </c>
      <c r="B1482">
        <v>1</v>
      </c>
      <c r="AH1482" t="s">
        <v>1679</v>
      </c>
      <c r="AI1482">
        <v>1</v>
      </c>
    </row>
    <row r="1483" spans="1:35" x14ac:dyDescent="0.3">
      <c r="A1483" t="s">
        <v>11</v>
      </c>
      <c r="B1483">
        <v>1</v>
      </c>
      <c r="AH1483" t="s">
        <v>70</v>
      </c>
      <c r="AI1483">
        <v>1</v>
      </c>
    </row>
    <row r="1484" spans="1:35" x14ac:dyDescent="0.3">
      <c r="A1484" t="s">
        <v>706</v>
      </c>
      <c r="B1484">
        <v>1</v>
      </c>
      <c r="AH1484" t="s">
        <v>70</v>
      </c>
      <c r="AI1484">
        <v>1</v>
      </c>
    </row>
    <row r="1485" spans="1:35" x14ac:dyDescent="0.3">
      <c r="A1485" t="s">
        <v>792</v>
      </c>
      <c r="B1485">
        <v>1</v>
      </c>
      <c r="AH1485" t="s">
        <v>249</v>
      </c>
      <c r="AI1485">
        <v>1</v>
      </c>
    </row>
    <row r="1486" spans="1:35" x14ac:dyDescent="0.3">
      <c r="A1486" t="s">
        <v>151</v>
      </c>
      <c r="B1486">
        <v>1</v>
      </c>
      <c r="AH1486" t="s">
        <v>737</v>
      </c>
      <c r="AI1486">
        <v>1</v>
      </c>
    </row>
    <row r="1487" spans="1:35" x14ac:dyDescent="0.3">
      <c r="A1487" t="s">
        <v>11</v>
      </c>
      <c r="B1487">
        <v>1</v>
      </c>
      <c r="AH1487" t="s">
        <v>10</v>
      </c>
      <c r="AI1487">
        <v>1</v>
      </c>
    </row>
    <row r="1488" spans="1:35" x14ac:dyDescent="0.3">
      <c r="A1488" t="s">
        <v>687</v>
      </c>
      <c r="B1488">
        <v>1</v>
      </c>
      <c r="AH1488" t="s">
        <v>249</v>
      </c>
      <c r="AI1488">
        <v>1</v>
      </c>
    </row>
    <row r="1489" spans="1:35" x14ac:dyDescent="0.3">
      <c r="A1489" t="s">
        <v>98</v>
      </c>
      <c r="B1489">
        <v>1</v>
      </c>
      <c r="AH1489" t="s">
        <v>3550</v>
      </c>
      <c r="AI1489">
        <v>1</v>
      </c>
    </row>
    <row r="1490" spans="1:35" x14ac:dyDescent="0.3">
      <c r="A1490" t="s">
        <v>58</v>
      </c>
      <c r="B1490">
        <v>1</v>
      </c>
      <c r="AH1490" t="s">
        <v>4095</v>
      </c>
      <c r="AI1490">
        <v>1</v>
      </c>
    </row>
    <row r="1491" spans="1:35" x14ac:dyDescent="0.3">
      <c r="A1491" t="s">
        <v>232</v>
      </c>
      <c r="B1491">
        <v>1</v>
      </c>
      <c r="AH1491" t="s">
        <v>1679</v>
      </c>
      <c r="AI1491">
        <v>1</v>
      </c>
    </row>
    <row r="1492" spans="1:35" x14ac:dyDescent="0.3">
      <c r="A1492" t="s">
        <v>11</v>
      </c>
      <c r="B1492">
        <v>1</v>
      </c>
      <c r="AH1492" t="s">
        <v>10</v>
      </c>
      <c r="AI1492">
        <v>1</v>
      </c>
    </row>
    <row r="1493" spans="1:35" x14ac:dyDescent="0.3">
      <c r="A1493" t="s">
        <v>243</v>
      </c>
      <c r="B1493">
        <v>1</v>
      </c>
      <c r="AH1493" t="s">
        <v>70</v>
      </c>
      <c r="AI1493">
        <v>1</v>
      </c>
    </row>
    <row r="1494" spans="1:35" x14ac:dyDescent="0.3">
      <c r="A1494" t="s">
        <v>29</v>
      </c>
      <c r="B1494">
        <v>1</v>
      </c>
      <c r="AH1494" t="s">
        <v>3550</v>
      </c>
      <c r="AI1494">
        <v>1</v>
      </c>
    </row>
    <row r="1495" spans="1:35" x14ac:dyDescent="0.3">
      <c r="A1495" t="s">
        <v>634</v>
      </c>
      <c r="B1495">
        <v>1</v>
      </c>
      <c r="AH1495" t="s">
        <v>216</v>
      </c>
      <c r="AI1495">
        <v>1</v>
      </c>
    </row>
    <row r="1496" spans="1:35" x14ac:dyDescent="0.3">
      <c r="A1496" t="s">
        <v>743</v>
      </c>
      <c r="B1496">
        <v>1</v>
      </c>
      <c r="AH1496" t="s">
        <v>10</v>
      </c>
      <c r="AI1496">
        <v>1</v>
      </c>
    </row>
    <row r="1497" spans="1:35" x14ac:dyDescent="0.3">
      <c r="A1497" t="s">
        <v>141</v>
      </c>
      <c r="B1497">
        <v>1</v>
      </c>
      <c r="AH1497" t="s">
        <v>681</v>
      </c>
      <c r="AI1497">
        <v>1</v>
      </c>
    </row>
    <row r="1498" spans="1:35" x14ac:dyDescent="0.3">
      <c r="A1498" t="s">
        <v>365</v>
      </c>
      <c r="B1498">
        <v>1</v>
      </c>
      <c r="AH1498" t="s">
        <v>4106</v>
      </c>
      <c r="AI1498">
        <v>1</v>
      </c>
    </row>
    <row r="1499" spans="1:35" x14ac:dyDescent="0.3">
      <c r="A1499" t="s">
        <v>64</v>
      </c>
      <c r="B1499">
        <v>1</v>
      </c>
      <c r="AH1499" t="s">
        <v>10</v>
      </c>
      <c r="AI1499">
        <v>1</v>
      </c>
    </row>
    <row r="1500" spans="1:35" x14ac:dyDescent="0.3">
      <c r="A1500" t="s">
        <v>23</v>
      </c>
      <c r="B1500">
        <v>1</v>
      </c>
      <c r="AH1500" t="s">
        <v>1632</v>
      </c>
      <c r="AI1500">
        <v>1</v>
      </c>
    </row>
    <row r="1501" spans="1:35" x14ac:dyDescent="0.3">
      <c r="A1501" t="s">
        <v>64</v>
      </c>
      <c r="B1501">
        <v>1</v>
      </c>
      <c r="AH1501" t="s">
        <v>10</v>
      </c>
      <c r="AI1501">
        <v>1</v>
      </c>
    </row>
    <row r="1502" spans="1:35" x14ac:dyDescent="0.3">
      <c r="A1502" t="s">
        <v>726</v>
      </c>
      <c r="B1502">
        <v>1</v>
      </c>
      <c r="AH1502" t="s">
        <v>10</v>
      </c>
      <c r="AI1502">
        <v>1</v>
      </c>
    </row>
    <row r="1503" spans="1:35" x14ac:dyDescent="0.3">
      <c r="A1503" t="s">
        <v>232</v>
      </c>
      <c r="B1503">
        <v>1</v>
      </c>
      <c r="AH1503" t="s">
        <v>1463</v>
      </c>
      <c r="AI1503">
        <v>1</v>
      </c>
    </row>
    <row r="1504" spans="1:35" x14ac:dyDescent="0.3">
      <c r="A1504" t="s">
        <v>510</v>
      </c>
      <c r="B1504">
        <v>1</v>
      </c>
      <c r="AH1504" t="s">
        <v>51</v>
      </c>
      <c r="AI1504">
        <v>1</v>
      </c>
    </row>
    <row r="1505" spans="1:35" x14ac:dyDescent="0.3">
      <c r="A1505" t="s">
        <v>726</v>
      </c>
      <c r="B1505">
        <v>1</v>
      </c>
      <c r="AH1505" t="s">
        <v>10</v>
      </c>
      <c r="AI1505">
        <v>1</v>
      </c>
    </row>
    <row r="1506" spans="1:35" x14ac:dyDescent="0.3">
      <c r="A1506" t="s">
        <v>792</v>
      </c>
      <c r="B1506">
        <v>1</v>
      </c>
      <c r="AH1506" t="s">
        <v>35</v>
      </c>
      <c r="AI1506">
        <v>1</v>
      </c>
    </row>
    <row r="1507" spans="1:35" x14ac:dyDescent="0.3">
      <c r="A1507" t="s">
        <v>726</v>
      </c>
      <c r="B1507">
        <v>1</v>
      </c>
      <c r="AH1507" t="s">
        <v>10</v>
      </c>
      <c r="AI1507">
        <v>1</v>
      </c>
    </row>
    <row r="1508" spans="1:35" x14ac:dyDescent="0.3">
      <c r="A1508" t="s">
        <v>634</v>
      </c>
      <c r="B1508">
        <v>1</v>
      </c>
      <c r="AH1508" t="s">
        <v>417</v>
      </c>
      <c r="AI1508">
        <v>1</v>
      </c>
    </row>
    <row r="1509" spans="1:35" x14ac:dyDescent="0.3">
      <c r="A1509" t="s">
        <v>687</v>
      </c>
      <c r="B1509">
        <v>1</v>
      </c>
      <c r="AH1509" t="s">
        <v>10</v>
      </c>
      <c r="AI1509">
        <v>1</v>
      </c>
    </row>
    <row r="1510" spans="1:35" x14ac:dyDescent="0.3">
      <c r="A1510" t="s">
        <v>52</v>
      </c>
      <c r="B1510">
        <v>1</v>
      </c>
      <c r="AH1510" t="s">
        <v>51</v>
      </c>
      <c r="AI1510">
        <v>1</v>
      </c>
    </row>
    <row r="1511" spans="1:35" x14ac:dyDescent="0.3">
      <c r="A1511" t="s">
        <v>52</v>
      </c>
      <c r="B1511">
        <v>1</v>
      </c>
      <c r="AH1511" t="s">
        <v>10</v>
      </c>
      <c r="AI1511">
        <v>1</v>
      </c>
    </row>
    <row r="1512" spans="1:35" x14ac:dyDescent="0.3">
      <c r="A1512" t="s">
        <v>23</v>
      </c>
      <c r="B1512">
        <v>1</v>
      </c>
      <c r="AH1512" t="s">
        <v>10</v>
      </c>
      <c r="AI1512">
        <v>1</v>
      </c>
    </row>
    <row r="1513" spans="1:35" x14ac:dyDescent="0.3">
      <c r="A1513" t="s">
        <v>11</v>
      </c>
      <c r="B1513">
        <v>1</v>
      </c>
      <c r="AH1513" t="s">
        <v>51</v>
      </c>
      <c r="AI1513">
        <v>1</v>
      </c>
    </row>
    <row r="1514" spans="1:35" x14ac:dyDescent="0.3">
      <c r="A1514" t="s">
        <v>715</v>
      </c>
      <c r="B1514">
        <v>1</v>
      </c>
      <c r="AH1514" t="s">
        <v>35</v>
      </c>
      <c r="AI1514">
        <v>1</v>
      </c>
    </row>
    <row r="1515" spans="1:35" x14ac:dyDescent="0.3">
      <c r="A1515" t="s">
        <v>11</v>
      </c>
      <c r="B1515">
        <v>1</v>
      </c>
      <c r="AH1515" t="s">
        <v>10</v>
      </c>
      <c r="AI1515">
        <v>1</v>
      </c>
    </row>
    <row r="1516" spans="1:35" x14ac:dyDescent="0.3">
      <c r="A1516" t="s">
        <v>98</v>
      </c>
      <c r="B1516">
        <v>1</v>
      </c>
      <c r="AH1516" t="s">
        <v>10</v>
      </c>
      <c r="AI1516">
        <v>1</v>
      </c>
    </row>
    <row r="1517" spans="1:35" x14ac:dyDescent="0.3">
      <c r="A1517" t="s">
        <v>743</v>
      </c>
      <c r="B1517">
        <v>1</v>
      </c>
      <c r="AH1517" t="s">
        <v>10</v>
      </c>
      <c r="AI1517">
        <v>1</v>
      </c>
    </row>
    <row r="1518" spans="1:35" x14ac:dyDescent="0.3">
      <c r="A1518" t="s">
        <v>98</v>
      </c>
      <c r="B1518">
        <v>1</v>
      </c>
      <c r="AH1518" t="s">
        <v>10</v>
      </c>
      <c r="AI1518">
        <v>1</v>
      </c>
    </row>
    <row r="1519" spans="1:35" x14ac:dyDescent="0.3">
      <c r="A1519" t="s">
        <v>365</v>
      </c>
      <c r="B1519">
        <v>1</v>
      </c>
      <c r="AH1519" t="s">
        <v>10</v>
      </c>
      <c r="AI1519">
        <v>1</v>
      </c>
    </row>
    <row r="1520" spans="1:35" x14ac:dyDescent="0.3">
      <c r="A1520" t="s">
        <v>98</v>
      </c>
      <c r="B1520">
        <v>1</v>
      </c>
      <c r="AH1520" t="s">
        <v>10</v>
      </c>
      <c r="AI1520">
        <v>1</v>
      </c>
    </row>
    <row r="1521" spans="1:35" x14ac:dyDescent="0.3">
      <c r="A1521" t="s">
        <v>792</v>
      </c>
      <c r="B1521">
        <v>1</v>
      </c>
      <c r="AH1521" t="s">
        <v>51</v>
      </c>
      <c r="AI1521">
        <v>1</v>
      </c>
    </row>
    <row r="1522" spans="1:35" x14ac:dyDescent="0.3">
      <c r="A1522" t="s">
        <v>634</v>
      </c>
      <c r="B1522">
        <v>1</v>
      </c>
      <c r="AH1522" t="s">
        <v>76</v>
      </c>
      <c r="AI1522">
        <v>1</v>
      </c>
    </row>
    <row r="1523" spans="1:35" x14ac:dyDescent="0.3">
      <c r="A1523" t="s">
        <v>141</v>
      </c>
      <c r="B1523">
        <v>1</v>
      </c>
      <c r="AH1523" t="s">
        <v>10</v>
      </c>
      <c r="AI1523">
        <v>1</v>
      </c>
    </row>
    <row r="1524" spans="1:35" x14ac:dyDescent="0.3">
      <c r="A1524" t="s">
        <v>243</v>
      </c>
      <c r="B1524">
        <v>1</v>
      </c>
      <c r="AH1524" t="s">
        <v>10</v>
      </c>
      <c r="AI1524">
        <v>1</v>
      </c>
    </row>
    <row r="1525" spans="1:35" x14ac:dyDescent="0.3">
      <c r="A1525" t="s">
        <v>743</v>
      </c>
      <c r="B1525">
        <v>1</v>
      </c>
      <c r="AH1525" t="s">
        <v>10</v>
      </c>
      <c r="AI1525">
        <v>1</v>
      </c>
    </row>
    <row r="1526" spans="1:35" x14ac:dyDescent="0.3">
      <c r="A1526" t="s">
        <v>174</v>
      </c>
      <c r="B1526">
        <v>1</v>
      </c>
      <c r="AH1526" t="s">
        <v>10</v>
      </c>
      <c r="AI1526">
        <v>1</v>
      </c>
    </row>
    <row r="1527" spans="1:35" x14ac:dyDescent="0.3">
      <c r="A1527" t="s">
        <v>174</v>
      </c>
      <c r="B1527">
        <v>1</v>
      </c>
      <c r="AH1527" t="s">
        <v>35</v>
      </c>
      <c r="AI1527">
        <v>1</v>
      </c>
    </row>
    <row r="1528" spans="1:35" x14ac:dyDescent="0.3">
      <c r="A1528" t="s">
        <v>634</v>
      </c>
      <c r="B1528">
        <v>1</v>
      </c>
      <c r="AH1528" t="s">
        <v>696</v>
      </c>
      <c r="AI1528">
        <v>1</v>
      </c>
    </row>
    <row r="1529" spans="1:35" x14ac:dyDescent="0.3">
      <c r="A1529" t="s">
        <v>52</v>
      </c>
      <c r="B1529">
        <v>1</v>
      </c>
      <c r="AH1529" t="s">
        <v>10</v>
      </c>
      <c r="AI1529">
        <v>1</v>
      </c>
    </row>
    <row r="1530" spans="1:35" x14ac:dyDescent="0.3">
      <c r="A1530" t="s">
        <v>715</v>
      </c>
      <c r="B1530">
        <v>1</v>
      </c>
      <c r="AH1530" t="s">
        <v>10</v>
      </c>
      <c r="AI1530">
        <v>1</v>
      </c>
    </row>
    <row r="1531" spans="1:35" x14ac:dyDescent="0.3">
      <c r="A1531" t="s">
        <v>634</v>
      </c>
      <c r="B1531">
        <v>1</v>
      </c>
      <c r="AH1531" t="s">
        <v>1172</v>
      </c>
      <c r="AI1531">
        <v>1</v>
      </c>
    </row>
    <row r="1532" spans="1:35" x14ac:dyDescent="0.3">
      <c r="A1532" t="s">
        <v>11</v>
      </c>
      <c r="B1532">
        <v>1</v>
      </c>
      <c r="AH1532" t="s">
        <v>51</v>
      </c>
      <c r="AI1532">
        <v>1</v>
      </c>
    </row>
    <row r="1533" spans="1:35" x14ac:dyDescent="0.3">
      <c r="A1533" t="s">
        <v>706</v>
      </c>
      <c r="B1533">
        <v>1</v>
      </c>
      <c r="AH1533" t="s">
        <v>104</v>
      </c>
      <c r="AI1533">
        <v>1</v>
      </c>
    </row>
    <row r="1534" spans="1:35" x14ac:dyDescent="0.3">
      <c r="A1534" t="s">
        <v>706</v>
      </c>
      <c r="B1534">
        <v>1</v>
      </c>
      <c r="AH1534" t="s">
        <v>76</v>
      </c>
      <c r="AI1534">
        <v>1</v>
      </c>
    </row>
    <row r="1535" spans="1:35" x14ac:dyDescent="0.3">
      <c r="A1535" t="s">
        <v>23</v>
      </c>
      <c r="B1535">
        <v>1</v>
      </c>
      <c r="AH1535" t="s">
        <v>10</v>
      </c>
      <c r="AI1535">
        <v>1</v>
      </c>
    </row>
    <row r="1536" spans="1:35" x14ac:dyDescent="0.3">
      <c r="A1536" t="s">
        <v>726</v>
      </c>
      <c r="B1536">
        <v>1</v>
      </c>
      <c r="AH1536" t="s">
        <v>35</v>
      </c>
      <c r="AI1536">
        <v>1</v>
      </c>
    </row>
    <row r="1537" spans="1:35" x14ac:dyDescent="0.3">
      <c r="A1537" t="s">
        <v>634</v>
      </c>
      <c r="B1537">
        <v>1</v>
      </c>
      <c r="AH1537" t="s">
        <v>10</v>
      </c>
      <c r="AI1537">
        <v>1</v>
      </c>
    </row>
    <row r="1538" spans="1:35" x14ac:dyDescent="0.3">
      <c r="A1538" t="s">
        <v>98</v>
      </c>
      <c r="B1538">
        <v>1</v>
      </c>
      <c r="AH1538" t="s">
        <v>10</v>
      </c>
      <c r="AI1538">
        <v>1</v>
      </c>
    </row>
    <row r="1539" spans="1:35" x14ac:dyDescent="0.3">
      <c r="A1539" t="s">
        <v>634</v>
      </c>
      <c r="B1539">
        <v>1</v>
      </c>
      <c r="AH1539" t="s">
        <v>1617</v>
      </c>
      <c r="AI1539">
        <v>1</v>
      </c>
    </row>
    <row r="1540" spans="1:35" x14ac:dyDescent="0.3">
      <c r="A1540" t="s">
        <v>11</v>
      </c>
      <c r="B1540">
        <v>1</v>
      </c>
      <c r="AH1540" t="s">
        <v>51</v>
      </c>
      <c r="AI1540">
        <v>1</v>
      </c>
    </row>
    <row r="1541" spans="1:35" x14ac:dyDescent="0.3">
      <c r="A1541" t="s">
        <v>743</v>
      </c>
      <c r="B1541">
        <v>1</v>
      </c>
      <c r="AH1541" t="s">
        <v>10</v>
      </c>
      <c r="AI1541">
        <v>1</v>
      </c>
    </row>
    <row r="1542" spans="1:35" x14ac:dyDescent="0.3">
      <c r="A1542" t="s">
        <v>64</v>
      </c>
      <c r="B1542">
        <v>1</v>
      </c>
      <c r="AH1542" t="s">
        <v>10</v>
      </c>
      <c r="AI1542">
        <v>1</v>
      </c>
    </row>
    <row r="1543" spans="1:35" x14ac:dyDescent="0.3">
      <c r="A1543" t="s">
        <v>464</v>
      </c>
      <c r="B1543">
        <v>1</v>
      </c>
      <c r="AH1543" t="s">
        <v>417</v>
      </c>
      <c r="AI1543">
        <v>1</v>
      </c>
    </row>
    <row r="1544" spans="1:35" x14ac:dyDescent="0.3">
      <c r="A1544" t="s">
        <v>743</v>
      </c>
      <c r="B1544">
        <v>1</v>
      </c>
      <c r="AH1544" t="s">
        <v>10</v>
      </c>
      <c r="AI1544">
        <v>1</v>
      </c>
    </row>
    <row r="1545" spans="1:35" x14ac:dyDescent="0.3">
      <c r="A1545" t="s">
        <v>23</v>
      </c>
      <c r="B1545">
        <v>1</v>
      </c>
      <c r="AH1545" t="s">
        <v>10</v>
      </c>
      <c r="AI1545">
        <v>1</v>
      </c>
    </row>
    <row r="1546" spans="1:35" x14ac:dyDescent="0.3">
      <c r="A1546" t="s">
        <v>11</v>
      </c>
      <c r="B1546">
        <v>1</v>
      </c>
      <c r="AH1546" t="s">
        <v>249</v>
      </c>
      <c r="AI1546">
        <v>1</v>
      </c>
    </row>
    <row r="1547" spans="1:35" x14ac:dyDescent="0.3">
      <c r="A1547" t="s">
        <v>58</v>
      </c>
      <c r="B1547">
        <v>1</v>
      </c>
      <c r="AH1547" t="s">
        <v>51</v>
      </c>
      <c r="AI1547">
        <v>1</v>
      </c>
    </row>
    <row r="1548" spans="1:35" x14ac:dyDescent="0.3">
      <c r="A1548" t="s">
        <v>11</v>
      </c>
      <c r="B1548">
        <v>1</v>
      </c>
      <c r="AH1548" t="s">
        <v>10</v>
      </c>
      <c r="AI1548">
        <v>1</v>
      </c>
    </row>
    <row r="1549" spans="1:35" x14ac:dyDescent="0.3">
      <c r="A1549" t="s">
        <v>98</v>
      </c>
      <c r="B1549">
        <v>1</v>
      </c>
      <c r="AH1549" t="s">
        <v>297</v>
      </c>
      <c r="AI1549">
        <v>1</v>
      </c>
    </row>
    <row r="1550" spans="1:35" x14ac:dyDescent="0.3">
      <c r="A1550" t="s">
        <v>726</v>
      </c>
      <c r="B1550">
        <v>1</v>
      </c>
      <c r="AH1550" t="s">
        <v>452</v>
      </c>
      <c r="AI1550">
        <v>1</v>
      </c>
    </row>
    <row r="1551" spans="1:35" x14ac:dyDescent="0.3">
      <c r="A1551" t="s">
        <v>510</v>
      </c>
      <c r="B1551">
        <v>1</v>
      </c>
      <c r="AH1551" t="s">
        <v>10</v>
      </c>
      <c r="AI1551">
        <v>1</v>
      </c>
    </row>
    <row r="1552" spans="1:35" x14ac:dyDescent="0.3">
      <c r="A1552" t="s">
        <v>52</v>
      </c>
      <c r="B1552">
        <v>1</v>
      </c>
      <c r="AH1552" t="s">
        <v>249</v>
      </c>
      <c r="AI1552">
        <v>1</v>
      </c>
    </row>
    <row r="1553" spans="1:35" x14ac:dyDescent="0.3">
      <c r="A1553" t="s">
        <v>706</v>
      </c>
      <c r="B1553">
        <v>1</v>
      </c>
      <c r="AH1553" t="s">
        <v>76</v>
      </c>
      <c r="AI1553">
        <v>1</v>
      </c>
    </row>
    <row r="1554" spans="1:35" x14ac:dyDescent="0.3">
      <c r="A1554" t="s">
        <v>98</v>
      </c>
      <c r="B1554">
        <v>1</v>
      </c>
      <c r="AH1554" t="s">
        <v>10</v>
      </c>
      <c r="AI1554">
        <v>1</v>
      </c>
    </row>
    <row r="1555" spans="1:35" x14ac:dyDescent="0.3">
      <c r="A1555" t="s">
        <v>23</v>
      </c>
      <c r="B1555">
        <v>1</v>
      </c>
      <c r="AH1555" t="s">
        <v>608</v>
      </c>
      <c r="AI1555">
        <v>1</v>
      </c>
    </row>
    <row r="1556" spans="1:35" x14ac:dyDescent="0.3">
      <c r="A1556" t="s">
        <v>11</v>
      </c>
      <c r="B1556">
        <v>1</v>
      </c>
      <c r="AH1556" t="s">
        <v>1172</v>
      </c>
      <c r="AI1556">
        <v>1</v>
      </c>
    </row>
    <row r="1557" spans="1:35" x14ac:dyDescent="0.3">
      <c r="A1557" t="s">
        <v>510</v>
      </c>
      <c r="B1557">
        <v>1</v>
      </c>
      <c r="AH1557" t="s">
        <v>417</v>
      </c>
      <c r="AI1557">
        <v>1</v>
      </c>
    </row>
    <row r="1558" spans="1:35" x14ac:dyDescent="0.3">
      <c r="A1558" t="s">
        <v>11</v>
      </c>
      <c r="B1558">
        <v>1</v>
      </c>
      <c r="AH1558" t="s">
        <v>2329</v>
      </c>
      <c r="AI1558">
        <v>1</v>
      </c>
    </row>
    <row r="1559" spans="1:35" x14ac:dyDescent="0.3">
      <c r="A1559" t="s">
        <v>11</v>
      </c>
      <c r="B1559">
        <v>1</v>
      </c>
      <c r="AH1559" t="s">
        <v>51</v>
      </c>
      <c r="AI1559">
        <v>1</v>
      </c>
    </row>
    <row r="1560" spans="1:35" x14ac:dyDescent="0.3">
      <c r="A1560" t="s">
        <v>11</v>
      </c>
      <c r="B1560">
        <v>1</v>
      </c>
      <c r="AH1560" t="s">
        <v>2364</v>
      </c>
      <c r="AI1560">
        <v>1</v>
      </c>
    </row>
    <row r="1561" spans="1:35" x14ac:dyDescent="0.3">
      <c r="A1561" t="s">
        <v>365</v>
      </c>
      <c r="B1561">
        <v>1</v>
      </c>
      <c r="AH1561" t="s">
        <v>104</v>
      </c>
      <c r="AI1561">
        <v>1</v>
      </c>
    </row>
    <row r="1562" spans="1:35" x14ac:dyDescent="0.3">
      <c r="A1562" t="s">
        <v>250</v>
      </c>
      <c r="B1562">
        <v>1</v>
      </c>
      <c r="AH1562" t="s">
        <v>10</v>
      </c>
      <c r="AI1562">
        <v>1</v>
      </c>
    </row>
    <row r="1563" spans="1:35" x14ac:dyDescent="0.3">
      <c r="A1563" t="s">
        <v>634</v>
      </c>
      <c r="B1563">
        <v>1</v>
      </c>
      <c r="AH1563" t="s">
        <v>657</v>
      </c>
      <c r="AI1563">
        <v>1</v>
      </c>
    </row>
    <row r="1564" spans="1:35" x14ac:dyDescent="0.3">
      <c r="A1564" t="s">
        <v>11</v>
      </c>
      <c r="B1564">
        <v>1</v>
      </c>
      <c r="AH1564" t="s">
        <v>51</v>
      </c>
      <c r="AI1564">
        <v>1</v>
      </c>
    </row>
    <row r="1565" spans="1:35" x14ac:dyDescent="0.3">
      <c r="A1565" t="s">
        <v>743</v>
      </c>
      <c r="B1565">
        <v>1</v>
      </c>
      <c r="AH1565" t="s">
        <v>10</v>
      </c>
      <c r="AI1565">
        <v>1</v>
      </c>
    </row>
    <row r="1566" spans="1:35" x14ac:dyDescent="0.3">
      <c r="A1566" t="s">
        <v>58</v>
      </c>
      <c r="B1566">
        <v>1</v>
      </c>
      <c r="AH1566" t="s">
        <v>10</v>
      </c>
      <c r="AI1566">
        <v>1</v>
      </c>
    </row>
    <row r="1567" spans="1:35" x14ac:dyDescent="0.3">
      <c r="A1567" t="s">
        <v>243</v>
      </c>
      <c r="B1567">
        <v>1</v>
      </c>
      <c r="AH1567" t="s">
        <v>124</v>
      </c>
      <c r="AI1567">
        <v>1</v>
      </c>
    </row>
    <row r="1568" spans="1:35" x14ac:dyDescent="0.3">
      <c r="A1568" t="s">
        <v>634</v>
      </c>
      <c r="B1568">
        <v>1</v>
      </c>
      <c r="AH1568" t="s">
        <v>1632</v>
      </c>
      <c r="AI1568">
        <v>1</v>
      </c>
    </row>
    <row r="1569" spans="1:35" x14ac:dyDescent="0.3">
      <c r="A1569" t="s">
        <v>232</v>
      </c>
      <c r="B1569">
        <v>1</v>
      </c>
      <c r="AH1569" t="s">
        <v>104</v>
      </c>
      <c r="AI1569">
        <v>1</v>
      </c>
    </row>
    <row r="1570" spans="1:35" x14ac:dyDescent="0.3">
      <c r="A1570" t="s">
        <v>11</v>
      </c>
      <c r="B1570">
        <v>1</v>
      </c>
      <c r="AH1570" t="s">
        <v>249</v>
      </c>
      <c r="AI1570">
        <v>1</v>
      </c>
    </row>
    <row r="1571" spans="1:35" x14ac:dyDescent="0.3">
      <c r="A1571" t="s">
        <v>726</v>
      </c>
      <c r="B1571">
        <v>1</v>
      </c>
      <c r="AH1571" t="s">
        <v>696</v>
      </c>
      <c r="AI1571">
        <v>1</v>
      </c>
    </row>
    <row r="1572" spans="1:35" x14ac:dyDescent="0.3">
      <c r="A1572" t="s">
        <v>726</v>
      </c>
      <c r="B1572">
        <v>1</v>
      </c>
      <c r="AH1572" t="s">
        <v>1925</v>
      </c>
      <c r="AI1572">
        <v>1</v>
      </c>
    </row>
    <row r="1573" spans="1:35" x14ac:dyDescent="0.3">
      <c r="A1573" t="s">
        <v>52</v>
      </c>
      <c r="B1573">
        <v>1</v>
      </c>
      <c r="AH1573" t="s">
        <v>10</v>
      </c>
      <c r="AI1573">
        <v>1</v>
      </c>
    </row>
    <row r="1574" spans="1:35" x14ac:dyDescent="0.3">
      <c r="A1574" t="s">
        <v>726</v>
      </c>
      <c r="B1574">
        <v>1</v>
      </c>
      <c r="AH1574" t="s">
        <v>10</v>
      </c>
      <c r="AI1574">
        <v>1</v>
      </c>
    </row>
    <row r="1575" spans="1:35" x14ac:dyDescent="0.3">
      <c r="A1575" t="s">
        <v>706</v>
      </c>
      <c r="B1575">
        <v>1</v>
      </c>
      <c r="AH1575" t="s">
        <v>35</v>
      </c>
      <c r="AI1575">
        <v>1</v>
      </c>
    </row>
    <row r="1576" spans="1:35" x14ac:dyDescent="0.3">
      <c r="A1576" t="s">
        <v>345</v>
      </c>
      <c r="B1576">
        <v>1</v>
      </c>
      <c r="AH1576" t="s">
        <v>417</v>
      </c>
      <c r="AI1576">
        <v>1</v>
      </c>
    </row>
    <row r="1577" spans="1:35" x14ac:dyDescent="0.3">
      <c r="A1577" t="s">
        <v>365</v>
      </c>
      <c r="B1577">
        <v>1</v>
      </c>
      <c r="AH1577" t="s">
        <v>104</v>
      </c>
      <c r="AI1577">
        <v>1</v>
      </c>
    </row>
    <row r="1578" spans="1:35" x14ac:dyDescent="0.3">
      <c r="A1578" t="s">
        <v>64</v>
      </c>
      <c r="B1578">
        <v>1</v>
      </c>
      <c r="AH1578" t="s">
        <v>737</v>
      </c>
      <c r="AI1578">
        <v>1</v>
      </c>
    </row>
    <row r="1579" spans="1:35" x14ac:dyDescent="0.3">
      <c r="A1579" t="s">
        <v>23</v>
      </c>
      <c r="B1579">
        <v>1</v>
      </c>
      <c r="AH1579" t="s">
        <v>401</v>
      </c>
      <c r="AI1579">
        <v>1</v>
      </c>
    </row>
    <row r="1580" spans="1:35" x14ac:dyDescent="0.3">
      <c r="A1580" t="s">
        <v>58</v>
      </c>
      <c r="B1580">
        <v>1</v>
      </c>
      <c r="AH1580" t="s">
        <v>10</v>
      </c>
      <c r="AI1580">
        <v>1</v>
      </c>
    </row>
    <row r="1581" spans="1:35" x14ac:dyDescent="0.3">
      <c r="A1581" t="s">
        <v>345</v>
      </c>
      <c r="B1581">
        <v>1</v>
      </c>
      <c r="AH1581" t="s">
        <v>10</v>
      </c>
      <c r="AI1581">
        <v>1</v>
      </c>
    </row>
    <row r="1582" spans="1:35" x14ac:dyDescent="0.3">
      <c r="A1582" t="s">
        <v>365</v>
      </c>
      <c r="B1582">
        <v>1</v>
      </c>
      <c r="AH1582" t="s">
        <v>51</v>
      </c>
      <c r="AI1582">
        <v>1</v>
      </c>
    </row>
    <row r="1583" spans="1:35" x14ac:dyDescent="0.3">
      <c r="A1583" t="s">
        <v>687</v>
      </c>
      <c r="B1583">
        <v>1</v>
      </c>
      <c r="AH1583" t="s">
        <v>737</v>
      </c>
      <c r="AI1583">
        <v>1</v>
      </c>
    </row>
    <row r="1584" spans="1:35" x14ac:dyDescent="0.3">
      <c r="A1584" t="s">
        <v>345</v>
      </c>
      <c r="B1584">
        <v>1</v>
      </c>
      <c r="AH1584" t="s">
        <v>297</v>
      </c>
      <c r="AI1584">
        <v>1</v>
      </c>
    </row>
    <row r="1585" spans="1:35" x14ac:dyDescent="0.3">
      <c r="A1585" t="s">
        <v>11</v>
      </c>
      <c r="B1585">
        <v>1</v>
      </c>
      <c r="AH1585" t="s">
        <v>51</v>
      </c>
      <c r="AI1585">
        <v>1</v>
      </c>
    </row>
    <row r="1586" spans="1:35" x14ac:dyDescent="0.3">
      <c r="A1586" t="s">
        <v>11</v>
      </c>
      <c r="B1586">
        <v>1</v>
      </c>
      <c r="AH1586" t="s">
        <v>10</v>
      </c>
      <c r="AI1586">
        <v>1</v>
      </c>
    </row>
    <row r="1587" spans="1:35" x14ac:dyDescent="0.3">
      <c r="A1587" t="s">
        <v>365</v>
      </c>
      <c r="B1587">
        <v>1</v>
      </c>
      <c r="AH1587" t="s">
        <v>417</v>
      </c>
      <c r="AI1587">
        <v>1</v>
      </c>
    </row>
    <row r="1588" spans="1:35" x14ac:dyDescent="0.3">
      <c r="A1588" t="s">
        <v>11</v>
      </c>
      <c r="B1588">
        <v>1</v>
      </c>
      <c r="AH1588" t="s">
        <v>51</v>
      </c>
      <c r="AI1588">
        <v>1</v>
      </c>
    </row>
    <row r="1589" spans="1:35" x14ac:dyDescent="0.3">
      <c r="A1589" t="s">
        <v>58</v>
      </c>
      <c r="B1589">
        <v>1</v>
      </c>
      <c r="AH1589" t="s">
        <v>10</v>
      </c>
      <c r="AI1589">
        <v>1</v>
      </c>
    </row>
    <row r="1590" spans="1:35" x14ac:dyDescent="0.3">
      <c r="A1590" t="s">
        <v>98</v>
      </c>
      <c r="B1590">
        <v>1</v>
      </c>
      <c r="AH1590" t="s">
        <v>1441</v>
      </c>
      <c r="AI1590">
        <v>1</v>
      </c>
    </row>
    <row r="1591" spans="1:35" x14ac:dyDescent="0.3">
      <c r="A1591" t="s">
        <v>11</v>
      </c>
      <c r="B1591">
        <v>1</v>
      </c>
      <c r="AH1591" t="s">
        <v>10</v>
      </c>
      <c r="AI1591">
        <v>1</v>
      </c>
    </row>
    <row r="1592" spans="1:35" x14ac:dyDescent="0.3">
      <c r="A1592" t="s">
        <v>11</v>
      </c>
      <c r="B1592">
        <v>1</v>
      </c>
      <c r="AH1592" t="s">
        <v>51</v>
      </c>
      <c r="AI1592">
        <v>1</v>
      </c>
    </row>
    <row r="1593" spans="1:35" x14ac:dyDescent="0.3">
      <c r="A1593" t="s">
        <v>64</v>
      </c>
      <c r="B1593">
        <v>1</v>
      </c>
      <c r="AH1593" t="s">
        <v>51</v>
      </c>
      <c r="AI1593">
        <v>1</v>
      </c>
    </row>
    <row r="1594" spans="1:35" x14ac:dyDescent="0.3">
      <c r="A1594" t="s">
        <v>23</v>
      </c>
      <c r="B1594">
        <v>1</v>
      </c>
      <c r="AH1594" t="s">
        <v>51</v>
      </c>
      <c r="AI1594">
        <v>1</v>
      </c>
    </row>
    <row r="1595" spans="1:35" x14ac:dyDescent="0.3">
      <c r="A1595" t="s">
        <v>23</v>
      </c>
      <c r="B1595">
        <v>1</v>
      </c>
      <c r="AH1595" t="s">
        <v>51</v>
      </c>
      <c r="AI1595">
        <v>1</v>
      </c>
    </row>
    <row r="1596" spans="1:35" x14ac:dyDescent="0.3">
      <c r="A1596" t="s">
        <v>560</v>
      </c>
      <c r="B1596">
        <v>1</v>
      </c>
      <c r="AH1596" t="s">
        <v>1463</v>
      </c>
      <c r="AI1596">
        <v>1</v>
      </c>
    </row>
    <row r="1597" spans="1:35" x14ac:dyDescent="0.3">
      <c r="A1597" t="s">
        <v>58</v>
      </c>
      <c r="B1597">
        <v>1</v>
      </c>
      <c r="AH1597" t="s">
        <v>10</v>
      </c>
      <c r="AI1597">
        <v>1</v>
      </c>
    </row>
    <row r="1598" spans="1:35" x14ac:dyDescent="0.3">
      <c r="A1598" t="s">
        <v>11</v>
      </c>
      <c r="B1598">
        <v>1</v>
      </c>
      <c r="AH1598" t="s">
        <v>10</v>
      </c>
      <c r="AI1598">
        <v>1</v>
      </c>
    </row>
    <row r="1599" spans="1:35" x14ac:dyDescent="0.3">
      <c r="A1599" t="s">
        <v>64</v>
      </c>
      <c r="B1599">
        <v>1</v>
      </c>
      <c r="AH1599" t="s">
        <v>10</v>
      </c>
      <c r="AI1599">
        <v>1</v>
      </c>
    </row>
    <row r="1600" spans="1:35" x14ac:dyDescent="0.3">
      <c r="A1600" t="s">
        <v>11</v>
      </c>
      <c r="B1600">
        <v>1</v>
      </c>
      <c r="AH1600" t="s">
        <v>10</v>
      </c>
      <c r="AI1600">
        <v>1</v>
      </c>
    </row>
    <row r="1601" spans="1:35" x14ac:dyDescent="0.3">
      <c r="A1601" t="s">
        <v>792</v>
      </c>
      <c r="B1601">
        <v>1</v>
      </c>
      <c r="AH1601" t="s">
        <v>3359</v>
      </c>
      <c r="AI1601">
        <v>1</v>
      </c>
    </row>
    <row r="1602" spans="1:35" x14ac:dyDescent="0.3">
      <c r="A1602" t="s">
        <v>792</v>
      </c>
      <c r="B1602">
        <v>1</v>
      </c>
      <c r="AH1602" t="s">
        <v>51</v>
      </c>
      <c r="AI1602">
        <v>1</v>
      </c>
    </row>
    <row r="1603" spans="1:35" x14ac:dyDescent="0.3">
      <c r="A1603" t="s">
        <v>64</v>
      </c>
      <c r="B1603">
        <v>1</v>
      </c>
      <c r="AH1603" t="s">
        <v>10</v>
      </c>
      <c r="AI1603">
        <v>1</v>
      </c>
    </row>
    <row r="1604" spans="1:35" x14ac:dyDescent="0.3">
      <c r="A1604" t="s">
        <v>52</v>
      </c>
      <c r="B1604">
        <v>1</v>
      </c>
      <c r="AH1604" t="s">
        <v>2172</v>
      </c>
      <c r="AI1604">
        <v>1</v>
      </c>
    </row>
    <row r="1605" spans="1:35" x14ac:dyDescent="0.3">
      <c r="A1605" t="s">
        <v>11</v>
      </c>
      <c r="B1605">
        <v>1</v>
      </c>
      <c r="AH1605" t="s">
        <v>51</v>
      </c>
      <c r="AI1605">
        <v>1</v>
      </c>
    </row>
    <row r="1606" spans="1:35" x14ac:dyDescent="0.3">
      <c r="A1606" t="s">
        <v>243</v>
      </c>
      <c r="B1606">
        <v>1</v>
      </c>
      <c r="AH1606" t="s">
        <v>10</v>
      </c>
      <c r="AI1606">
        <v>1</v>
      </c>
    </row>
    <row r="1607" spans="1:35" x14ac:dyDescent="0.3">
      <c r="A1607" t="s">
        <v>726</v>
      </c>
      <c r="B1607">
        <v>1</v>
      </c>
      <c r="AH1607" t="s">
        <v>124</v>
      </c>
      <c r="AI1607">
        <v>1</v>
      </c>
    </row>
    <row r="1608" spans="1:35" x14ac:dyDescent="0.3">
      <c r="A1608" t="s">
        <v>58</v>
      </c>
      <c r="B1608">
        <v>1</v>
      </c>
      <c r="AH1608" t="s">
        <v>10</v>
      </c>
      <c r="AI1608">
        <v>1</v>
      </c>
    </row>
    <row r="1609" spans="1:35" x14ac:dyDescent="0.3">
      <c r="A1609" t="s">
        <v>11</v>
      </c>
      <c r="B1609">
        <v>1</v>
      </c>
      <c r="AH1609" t="s">
        <v>51</v>
      </c>
      <c r="AI1609">
        <v>1</v>
      </c>
    </row>
    <row r="1610" spans="1:35" x14ac:dyDescent="0.3">
      <c r="A1610" t="s">
        <v>130</v>
      </c>
      <c r="B1610">
        <v>1</v>
      </c>
      <c r="AH1610" t="s">
        <v>681</v>
      </c>
      <c r="AI1610">
        <v>1</v>
      </c>
    </row>
    <row r="1611" spans="1:35" x14ac:dyDescent="0.3">
      <c r="A1611" t="s">
        <v>58</v>
      </c>
      <c r="B1611">
        <v>1</v>
      </c>
      <c r="AH1611" t="s">
        <v>51</v>
      </c>
      <c r="AI1611">
        <v>1</v>
      </c>
    </row>
    <row r="1612" spans="1:35" x14ac:dyDescent="0.3">
      <c r="A1612" t="s">
        <v>510</v>
      </c>
      <c r="B1612">
        <v>1</v>
      </c>
      <c r="AH1612" t="s">
        <v>51</v>
      </c>
      <c r="AI1612">
        <v>1</v>
      </c>
    </row>
    <row r="1613" spans="1:35" x14ac:dyDescent="0.3">
      <c r="A1613" t="s">
        <v>243</v>
      </c>
      <c r="B1613">
        <v>1</v>
      </c>
      <c r="AH1613" t="s">
        <v>1679</v>
      </c>
      <c r="AI1613">
        <v>1</v>
      </c>
    </row>
    <row r="1614" spans="1:35" x14ac:dyDescent="0.3">
      <c r="A1614" t="s">
        <v>64</v>
      </c>
      <c r="B1614">
        <v>1</v>
      </c>
      <c r="AH1614" t="s">
        <v>10</v>
      </c>
      <c r="AI1614">
        <v>1</v>
      </c>
    </row>
    <row r="1615" spans="1:35" x14ac:dyDescent="0.3">
      <c r="A1615" t="s">
        <v>345</v>
      </c>
      <c r="B1615">
        <v>1</v>
      </c>
      <c r="AH1615" t="s">
        <v>10</v>
      </c>
      <c r="AI1615">
        <v>1</v>
      </c>
    </row>
    <row r="1616" spans="1:35" x14ac:dyDescent="0.3">
      <c r="A1616" t="s">
        <v>706</v>
      </c>
      <c r="B1616">
        <v>1</v>
      </c>
      <c r="AH1616" t="s">
        <v>10</v>
      </c>
      <c r="AI1616">
        <v>1</v>
      </c>
    </row>
    <row r="1617" spans="1:35" x14ac:dyDescent="0.3">
      <c r="A1617" t="s">
        <v>29</v>
      </c>
      <c r="B1617">
        <v>1</v>
      </c>
      <c r="AH1617" t="s">
        <v>10</v>
      </c>
      <c r="AI1617">
        <v>1</v>
      </c>
    </row>
    <row r="1618" spans="1:35" x14ac:dyDescent="0.3">
      <c r="A1618" t="s">
        <v>11</v>
      </c>
      <c r="B1618">
        <v>1</v>
      </c>
      <c r="AH1618" t="s">
        <v>10</v>
      </c>
      <c r="AI1618">
        <v>1</v>
      </c>
    </row>
    <row r="1619" spans="1:35" x14ac:dyDescent="0.3">
      <c r="A1619" t="s">
        <v>11</v>
      </c>
      <c r="B1619">
        <v>1</v>
      </c>
      <c r="AH1619" t="s">
        <v>51</v>
      </c>
      <c r="AI1619">
        <v>1</v>
      </c>
    </row>
    <row r="1620" spans="1:35" x14ac:dyDescent="0.3">
      <c r="A1620" t="s">
        <v>11</v>
      </c>
      <c r="B1620">
        <v>1</v>
      </c>
      <c r="AH1620" t="s">
        <v>51</v>
      </c>
      <c r="AI1620">
        <v>1</v>
      </c>
    </row>
    <row r="1621" spans="1:35" x14ac:dyDescent="0.3">
      <c r="A1621" t="s">
        <v>130</v>
      </c>
      <c r="B1621">
        <v>1</v>
      </c>
      <c r="AH1621" t="s">
        <v>1617</v>
      </c>
      <c r="AI1621">
        <v>1</v>
      </c>
    </row>
    <row r="1622" spans="1:35" x14ac:dyDescent="0.3">
      <c r="A1622" t="s">
        <v>141</v>
      </c>
      <c r="B1622">
        <v>1</v>
      </c>
      <c r="AH1622" t="s">
        <v>1172</v>
      </c>
      <c r="AI1622">
        <v>1</v>
      </c>
    </row>
    <row r="1623" spans="1:35" x14ac:dyDescent="0.3">
      <c r="A1623" t="s">
        <v>726</v>
      </c>
      <c r="B1623">
        <v>1</v>
      </c>
      <c r="AH1623" t="s">
        <v>51</v>
      </c>
      <c r="AI1623">
        <v>1</v>
      </c>
    </row>
    <row r="1624" spans="1:35" x14ac:dyDescent="0.3">
      <c r="A1624" t="s">
        <v>29</v>
      </c>
      <c r="B1624">
        <v>1</v>
      </c>
      <c r="AH1624" t="s">
        <v>2172</v>
      </c>
      <c r="AI1624">
        <v>1</v>
      </c>
    </row>
    <row r="1625" spans="1:35" x14ac:dyDescent="0.3">
      <c r="A1625" t="s">
        <v>29</v>
      </c>
      <c r="B1625">
        <v>1</v>
      </c>
      <c r="AH1625" t="s">
        <v>216</v>
      </c>
      <c r="AI1625">
        <v>1</v>
      </c>
    </row>
    <row r="1626" spans="1:35" x14ac:dyDescent="0.3">
      <c r="A1626" t="s">
        <v>345</v>
      </c>
      <c r="B1626">
        <v>1</v>
      </c>
      <c r="AH1626" t="s">
        <v>10</v>
      </c>
      <c r="AI1626">
        <v>1</v>
      </c>
    </row>
    <row r="1627" spans="1:35" x14ac:dyDescent="0.3">
      <c r="A1627" t="s">
        <v>11</v>
      </c>
      <c r="B1627">
        <v>1</v>
      </c>
      <c r="AH1627" t="s">
        <v>51</v>
      </c>
      <c r="AI1627">
        <v>1</v>
      </c>
    </row>
    <row r="1628" spans="1:35" x14ac:dyDescent="0.3">
      <c r="A1628" t="s">
        <v>11</v>
      </c>
      <c r="B1628">
        <v>1</v>
      </c>
      <c r="AH1628" t="s">
        <v>297</v>
      </c>
      <c r="AI1628">
        <v>1</v>
      </c>
    </row>
    <row r="1629" spans="1:35" x14ac:dyDescent="0.3">
      <c r="A1629" t="s">
        <v>58</v>
      </c>
      <c r="B1629">
        <v>1</v>
      </c>
      <c r="AH1629" t="s">
        <v>35</v>
      </c>
      <c r="AI1629">
        <v>1</v>
      </c>
    </row>
    <row r="1630" spans="1:35" x14ac:dyDescent="0.3">
      <c r="A1630" t="s">
        <v>792</v>
      </c>
      <c r="B1630">
        <v>1</v>
      </c>
      <c r="AH1630" t="s">
        <v>249</v>
      </c>
      <c r="AI1630">
        <v>1</v>
      </c>
    </row>
    <row r="1631" spans="1:35" x14ac:dyDescent="0.3">
      <c r="A1631" t="s">
        <v>743</v>
      </c>
      <c r="B1631">
        <v>1</v>
      </c>
      <c r="AH1631" t="s">
        <v>10</v>
      </c>
      <c r="AI1631">
        <v>1</v>
      </c>
    </row>
    <row r="1632" spans="1:35" x14ac:dyDescent="0.3">
      <c r="A1632" t="s">
        <v>11</v>
      </c>
      <c r="B1632">
        <v>1</v>
      </c>
      <c r="AH1632" t="s">
        <v>2364</v>
      </c>
      <c r="AI1632">
        <v>1</v>
      </c>
    </row>
    <row r="1633" spans="1:35" x14ac:dyDescent="0.3">
      <c r="A1633" t="s">
        <v>743</v>
      </c>
      <c r="B1633">
        <v>1</v>
      </c>
      <c r="AH1633" t="s">
        <v>51</v>
      </c>
      <c r="AI1633">
        <v>1</v>
      </c>
    </row>
    <row r="1634" spans="1:35" x14ac:dyDescent="0.3">
      <c r="A1634" t="s">
        <v>11</v>
      </c>
      <c r="B1634">
        <v>1</v>
      </c>
      <c r="AH1634" t="s">
        <v>51</v>
      </c>
      <c r="AI1634">
        <v>1</v>
      </c>
    </row>
    <row r="1635" spans="1:35" x14ac:dyDescent="0.3">
      <c r="A1635" t="s">
        <v>726</v>
      </c>
      <c r="B1635">
        <v>1</v>
      </c>
      <c r="AH1635" t="s">
        <v>10</v>
      </c>
      <c r="AI1635">
        <v>1</v>
      </c>
    </row>
    <row r="1636" spans="1:35" x14ac:dyDescent="0.3">
      <c r="A1636" t="s">
        <v>174</v>
      </c>
      <c r="B1636">
        <v>1</v>
      </c>
      <c r="AH1636" t="s">
        <v>76</v>
      </c>
      <c r="AI1636">
        <v>1</v>
      </c>
    </row>
    <row r="1637" spans="1:35" x14ac:dyDescent="0.3">
      <c r="A1637" t="s">
        <v>11</v>
      </c>
      <c r="B1637">
        <v>1</v>
      </c>
      <c r="AH1637" t="s">
        <v>51</v>
      </c>
      <c r="AI1637">
        <v>1</v>
      </c>
    </row>
    <row r="1638" spans="1:35" x14ac:dyDescent="0.3">
      <c r="A1638" t="s">
        <v>687</v>
      </c>
      <c r="B1638">
        <v>1</v>
      </c>
      <c r="AH1638" t="s">
        <v>436</v>
      </c>
      <c r="AI1638">
        <v>1</v>
      </c>
    </row>
    <row r="1639" spans="1:35" x14ac:dyDescent="0.3">
      <c r="A1639" t="s">
        <v>58</v>
      </c>
      <c r="B1639">
        <v>1</v>
      </c>
      <c r="AH1639" t="s">
        <v>1463</v>
      </c>
      <c r="AI1639">
        <v>1</v>
      </c>
    </row>
    <row r="1640" spans="1:35" x14ac:dyDescent="0.3">
      <c r="A1640" t="s">
        <v>98</v>
      </c>
      <c r="B1640">
        <v>1</v>
      </c>
      <c r="AH1640" t="s">
        <v>10</v>
      </c>
      <c r="AI1640">
        <v>1</v>
      </c>
    </row>
    <row r="1641" spans="1:35" x14ac:dyDescent="0.3">
      <c r="A1641" t="s">
        <v>11</v>
      </c>
      <c r="B1641">
        <v>1</v>
      </c>
      <c r="AH1641" t="s">
        <v>51</v>
      </c>
      <c r="AI1641">
        <v>1</v>
      </c>
    </row>
    <row r="1642" spans="1:35" x14ac:dyDescent="0.3">
      <c r="A1642" t="s">
        <v>58</v>
      </c>
      <c r="B1642">
        <v>1</v>
      </c>
      <c r="AH1642" t="s">
        <v>10</v>
      </c>
      <c r="AI1642">
        <v>1</v>
      </c>
    </row>
    <row r="1643" spans="1:35" x14ac:dyDescent="0.3">
      <c r="A1643" t="s">
        <v>11</v>
      </c>
      <c r="B1643">
        <v>1</v>
      </c>
      <c r="AH1643" t="s">
        <v>1172</v>
      </c>
      <c r="AI1643">
        <v>1</v>
      </c>
    </row>
    <row r="1644" spans="1:35" x14ac:dyDescent="0.3">
      <c r="A1644" t="s">
        <v>687</v>
      </c>
      <c r="B1644">
        <v>1</v>
      </c>
      <c r="AH1644" t="s">
        <v>51</v>
      </c>
      <c r="AI1644">
        <v>1</v>
      </c>
    </row>
    <row r="1645" spans="1:35" x14ac:dyDescent="0.3">
      <c r="A1645" t="s">
        <v>510</v>
      </c>
      <c r="B1645">
        <v>1</v>
      </c>
      <c r="AH1645" t="s">
        <v>51</v>
      </c>
      <c r="AI1645">
        <v>1</v>
      </c>
    </row>
    <row r="1646" spans="1:35" x14ac:dyDescent="0.3">
      <c r="A1646" t="s">
        <v>141</v>
      </c>
      <c r="B1646">
        <v>1</v>
      </c>
      <c r="AH1646" t="s">
        <v>10</v>
      </c>
      <c r="AI1646">
        <v>1</v>
      </c>
    </row>
    <row r="1647" spans="1:35" x14ac:dyDescent="0.3">
      <c r="A1647" t="s">
        <v>11</v>
      </c>
      <c r="B1647">
        <v>1</v>
      </c>
      <c r="AH1647" t="s">
        <v>205</v>
      </c>
      <c r="AI1647">
        <v>1</v>
      </c>
    </row>
    <row r="1648" spans="1:35" x14ac:dyDescent="0.3">
      <c r="A1648" t="s">
        <v>11</v>
      </c>
      <c r="B1648">
        <v>1</v>
      </c>
      <c r="AH1648" t="s">
        <v>2925</v>
      </c>
      <c r="AI1648">
        <v>1</v>
      </c>
    </row>
    <row r="1649" spans="1:35" x14ac:dyDescent="0.3">
      <c r="A1649" t="s">
        <v>23</v>
      </c>
      <c r="B1649">
        <v>1</v>
      </c>
      <c r="AH1649" t="s">
        <v>401</v>
      </c>
      <c r="AI1649">
        <v>1</v>
      </c>
    </row>
    <row r="1650" spans="1:35" x14ac:dyDescent="0.3">
      <c r="A1650" t="s">
        <v>58</v>
      </c>
      <c r="B1650">
        <v>1</v>
      </c>
      <c r="AH1650" t="s">
        <v>10</v>
      </c>
      <c r="AI1650">
        <v>1</v>
      </c>
    </row>
    <row r="1651" spans="1:35" x14ac:dyDescent="0.3">
      <c r="A1651" t="s">
        <v>64</v>
      </c>
      <c r="B1651">
        <v>1</v>
      </c>
      <c r="AH1651" t="s">
        <v>51</v>
      </c>
      <c r="AI1651">
        <v>1</v>
      </c>
    </row>
    <row r="1652" spans="1:35" x14ac:dyDescent="0.3">
      <c r="A1652" t="s">
        <v>687</v>
      </c>
      <c r="B1652">
        <v>1</v>
      </c>
      <c r="AH1652" t="s">
        <v>1463</v>
      </c>
      <c r="AI1652">
        <v>1</v>
      </c>
    </row>
    <row r="1653" spans="1:35" x14ac:dyDescent="0.3">
      <c r="A1653" t="s">
        <v>365</v>
      </c>
      <c r="B1653">
        <v>1</v>
      </c>
      <c r="AH1653" t="s">
        <v>35</v>
      </c>
      <c r="AI1653">
        <v>1</v>
      </c>
    </row>
    <row r="1654" spans="1:35" x14ac:dyDescent="0.3">
      <c r="A1654" t="s">
        <v>11</v>
      </c>
      <c r="B1654">
        <v>1</v>
      </c>
      <c r="AH1654" t="s">
        <v>51</v>
      </c>
      <c r="AI1654">
        <v>1</v>
      </c>
    </row>
    <row r="1655" spans="1:35" x14ac:dyDescent="0.3">
      <c r="A1655" t="s">
        <v>243</v>
      </c>
      <c r="B1655">
        <v>1</v>
      </c>
      <c r="AH1655" t="s">
        <v>51</v>
      </c>
      <c r="AI1655">
        <v>1</v>
      </c>
    </row>
    <row r="1656" spans="1:35" x14ac:dyDescent="0.3">
      <c r="A1656" t="s">
        <v>130</v>
      </c>
      <c r="B1656">
        <v>1</v>
      </c>
      <c r="AH1656" t="s">
        <v>1679</v>
      </c>
      <c r="AI1656">
        <v>1</v>
      </c>
    </row>
    <row r="1657" spans="1:35" x14ac:dyDescent="0.3">
      <c r="A1657" t="s">
        <v>464</v>
      </c>
      <c r="B1657">
        <v>1</v>
      </c>
      <c r="AH1657" t="s">
        <v>10</v>
      </c>
      <c r="AI1657">
        <v>1</v>
      </c>
    </row>
    <row r="1658" spans="1:35" x14ac:dyDescent="0.3">
      <c r="A1658" t="s">
        <v>11</v>
      </c>
      <c r="B1658">
        <v>1</v>
      </c>
      <c r="AH1658" t="s">
        <v>51</v>
      </c>
      <c r="AI1658">
        <v>1</v>
      </c>
    </row>
    <row r="1659" spans="1:35" x14ac:dyDescent="0.3">
      <c r="A1659" t="s">
        <v>11</v>
      </c>
      <c r="B1659">
        <v>1</v>
      </c>
      <c r="AH1659" t="s">
        <v>51</v>
      </c>
      <c r="AI1659">
        <v>1</v>
      </c>
    </row>
    <row r="1660" spans="1:35" x14ac:dyDescent="0.3">
      <c r="A1660" t="s">
        <v>634</v>
      </c>
      <c r="B1660">
        <v>1</v>
      </c>
      <c r="AH1660" t="s">
        <v>51</v>
      </c>
      <c r="AI1660">
        <v>1</v>
      </c>
    </row>
    <row r="1661" spans="1:35" x14ac:dyDescent="0.3">
      <c r="A1661" t="s">
        <v>58</v>
      </c>
      <c r="B1661">
        <v>1</v>
      </c>
      <c r="AH1661" t="s">
        <v>51</v>
      </c>
      <c r="AI1661">
        <v>1</v>
      </c>
    </row>
    <row r="1662" spans="1:35" x14ac:dyDescent="0.3">
      <c r="A1662" t="s">
        <v>64</v>
      </c>
      <c r="B1662">
        <v>1</v>
      </c>
      <c r="AH1662" t="s">
        <v>51</v>
      </c>
      <c r="AI1662">
        <v>1</v>
      </c>
    </row>
    <row r="1663" spans="1:35" x14ac:dyDescent="0.3">
      <c r="A1663" t="s">
        <v>29</v>
      </c>
      <c r="B1663">
        <v>1</v>
      </c>
      <c r="AH1663" t="s">
        <v>10</v>
      </c>
      <c r="AI1663">
        <v>1</v>
      </c>
    </row>
    <row r="1664" spans="1:35" x14ac:dyDescent="0.3">
      <c r="A1664" t="s">
        <v>11</v>
      </c>
      <c r="B1664">
        <v>1</v>
      </c>
      <c r="AH1664" t="s">
        <v>124</v>
      </c>
      <c r="AI1664">
        <v>1</v>
      </c>
    </row>
    <row r="1665" spans="1:35" x14ac:dyDescent="0.3">
      <c r="A1665" t="s">
        <v>58</v>
      </c>
      <c r="B1665">
        <v>1</v>
      </c>
      <c r="AH1665" t="s">
        <v>10</v>
      </c>
      <c r="AI1665">
        <v>1</v>
      </c>
    </row>
    <row r="1666" spans="1:35" x14ac:dyDescent="0.3">
      <c r="A1666" t="s">
        <v>58</v>
      </c>
      <c r="B1666">
        <v>1</v>
      </c>
      <c r="AH1666" t="s">
        <v>35</v>
      </c>
      <c r="AI1666">
        <v>1</v>
      </c>
    </row>
    <row r="1667" spans="1:35" x14ac:dyDescent="0.3">
      <c r="A1667" t="s">
        <v>64</v>
      </c>
      <c r="B1667">
        <v>1</v>
      </c>
      <c r="AH1667" t="s">
        <v>2172</v>
      </c>
      <c r="AI1667">
        <v>1</v>
      </c>
    </row>
    <row r="1668" spans="1:35" x14ac:dyDescent="0.3">
      <c r="A1668" t="s">
        <v>706</v>
      </c>
      <c r="B1668">
        <v>1</v>
      </c>
      <c r="AH1668" t="s">
        <v>51</v>
      </c>
      <c r="AI1668">
        <v>1</v>
      </c>
    </row>
    <row r="1669" spans="1:35" x14ac:dyDescent="0.3">
      <c r="A1669" t="s">
        <v>11</v>
      </c>
      <c r="B1669">
        <v>1</v>
      </c>
      <c r="AH1669" t="s">
        <v>1441</v>
      </c>
      <c r="AI1669">
        <v>1</v>
      </c>
    </row>
    <row r="1670" spans="1:35" x14ac:dyDescent="0.3">
      <c r="A1670" t="s">
        <v>715</v>
      </c>
      <c r="B1670">
        <v>1</v>
      </c>
      <c r="AH1670" t="s">
        <v>205</v>
      </c>
      <c r="AI1670">
        <v>1</v>
      </c>
    </row>
    <row r="1671" spans="1:35" x14ac:dyDescent="0.3">
      <c r="A1671" t="s">
        <v>17</v>
      </c>
      <c r="B1671">
        <v>1</v>
      </c>
      <c r="AH1671" t="s">
        <v>1441</v>
      </c>
      <c r="AI1671">
        <v>1</v>
      </c>
    </row>
    <row r="1672" spans="1:35" x14ac:dyDescent="0.3">
      <c r="A1672" t="s">
        <v>365</v>
      </c>
      <c r="B1672">
        <v>1</v>
      </c>
      <c r="AH1672" t="s">
        <v>51</v>
      </c>
      <c r="AI1672">
        <v>1</v>
      </c>
    </row>
    <row r="1673" spans="1:35" x14ac:dyDescent="0.3">
      <c r="A1673" t="s">
        <v>634</v>
      </c>
      <c r="B1673">
        <v>1</v>
      </c>
      <c r="AH1673" t="s">
        <v>10</v>
      </c>
      <c r="AI1673">
        <v>1</v>
      </c>
    </row>
    <row r="1674" spans="1:35" x14ac:dyDescent="0.3">
      <c r="A1674" t="s">
        <v>58</v>
      </c>
      <c r="B1674">
        <v>1</v>
      </c>
      <c r="AH1674" t="s">
        <v>35</v>
      </c>
      <c r="AI1674">
        <v>1</v>
      </c>
    </row>
    <row r="1675" spans="1:35" x14ac:dyDescent="0.3">
      <c r="A1675" t="s">
        <v>130</v>
      </c>
      <c r="B1675">
        <v>1</v>
      </c>
      <c r="AH1675" t="s">
        <v>4325</v>
      </c>
      <c r="AI1675">
        <v>1</v>
      </c>
    </row>
    <row r="1676" spans="1:35" x14ac:dyDescent="0.3">
      <c r="A1676" t="s">
        <v>98</v>
      </c>
      <c r="B1676">
        <v>1</v>
      </c>
      <c r="AH1676" t="s">
        <v>10</v>
      </c>
      <c r="AI1676">
        <v>1</v>
      </c>
    </row>
    <row r="1677" spans="1:35" x14ac:dyDescent="0.3">
      <c r="A1677" t="s">
        <v>726</v>
      </c>
      <c r="B1677">
        <v>1</v>
      </c>
      <c r="AH1677" t="s">
        <v>10</v>
      </c>
      <c r="AI1677">
        <v>1</v>
      </c>
    </row>
    <row r="1678" spans="1:35" x14ac:dyDescent="0.3">
      <c r="A1678" t="s">
        <v>130</v>
      </c>
      <c r="B1678">
        <v>1</v>
      </c>
      <c r="AH1678" t="s">
        <v>249</v>
      </c>
      <c r="AI1678">
        <v>1</v>
      </c>
    </row>
    <row r="1679" spans="1:35" x14ac:dyDescent="0.3">
      <c r="A1679" t="s">
        <v>130</v>
      </c>
      <c r="B1679">
        <v>1</v>
      </c>
      <c r="AH1679" t="s">
        <v>417</v>
      </c>
      <c r="AI1679">
        <v>1</v>
      </c>
    </row>
    <row r="1680" spans="1:35" x14ac:dyDescent="0.3">
      <c r="A1680" t="s">
        <v>510</v>
      </c>
      <c r="B1680">
        <v>1</v>
      </c>
      <c r="AH1680" t="s">
        <v>10</v>
      </c>
      <c r="AI1680">
        <v>1</v>
      </c>
    </row>
    <row r="1681" spans="1:35" x14ac:dyDescent="0.3">
      <c r="A1681" t="s">
        <v>130</v>
      </c>
      <c r="B1681">
        <v>1</v>
      </c>
      <c r="AH1681" t="s">
        <v>76</v>
      </c>
      <c r="AI1681">
        <v>1</v>
      </c>
    </row>
    <row r="1682" spans="1:35" x14ac:dyDescent="0.3">
      <c r="A1682" t="s">
        <v>58</v>
      </c>
      <c r="B1682">
        <v>1</v>
      </c>
      <c r="AH1682" t="s">
        <v>76</v>
      </c>
      <c r="AI1682">
        <v>1</v>
      </c>
    </row>
    <row r="1683" spans="1:35" x14ac:dyDescent="0.3">
      <c r="A1683" t="s">
        <v>634</v>
      </c>
      <c r="B1683">
        <v>1</v>
      </c>
      <c r="AH1683" t="s">
        <v>297</v>
      </c>
      <c r="AI1683">
        <v>1</v>
      </c>
    </row>
    <row r="1684" spans="1:35" x14ac:dyDescent="0.3">
      <c r="A1684" t="s">
        <v>130</v>
      </c>
      <c r="B1684">
        <v>1</v>
      </c>
      <c r="AH1684" t="s">
        <v>1463</v>
      </c>
      <c r="AI1684">
        <v>1</v>
      </c>
    </row>
    <row r="1685" spans="1:35" x14ac:dyDescent="0.3">
      <c r="A1685" t="s">
        <v>11</v>
      </c>
      <c r="B1685">
        <v>1</v>
      </c>
      <c r="AH1685" t="s">
        <v>1679</v>
      </c>
      <c r="AI1685">
        <v>1</v>
      </c>
    </row>
    <row r="1686" spans="1:35" x14ac:dyDescent="0.3">
      <c r="A1686" t="s">
        <v>98</v>
      </c>
      <c r="B1686">
        <v>1</v>
      </c>
      <c r="AH1686" t="s">
        <v>10</v>
      </c>
      <c r="AI1686">
        <v>1</v>
      </c>
    </row>
    <row r="1687" spans="1:35" x14ac:dyDescent="0.3">
      <c r="A1687" t="s">
        <v>464</v>
      </c>
      <c r="B1687">
        <v>1</v>
      </c>
      <c r="AH1687" t="s">
        <v>10</v>
      </c>
      <c r="AI1687">
        <v>1</v>
      </c>
    </row>
    <row r="1688" spans="1:35" x14ac:dyDescent="0.3">
      <c r="A1688" t="s">
        <v>510</v>
      </c>
      <c r="B1688">
        <v>1</v>
      </c>
      <c r="AH1688" t="s">
        <v>417</v>
      </c>
      <c r="AI1688">
        <v>1</v>
      </c>
    </row>
    <row r="1689" spans="1:35" x14ac:dyDescent="0.3">
      <c r="A1689" t="s">
        <v>715</v>
      </c>
      <c r="B1689">
        <v>1</v>
      </c>
      <c r="AH1689" t="s">
        <v>2172</v>
      </c>
      <c r="AI1689">
        <v>1</v>
      </c>
    </row>
    <row r="1690" spans="1:35" x14ac:dyDescent="0.3">
      <c r="A1690" t="s">
        <v>706</v>
      </c>
      <c r="B1690">
        <v>1</v>
      </c>
      <c r="AH1690" t="s">
        <v>10</v>
      </c>
      <c r="AI1690">
        <v>1</v>
      </c>
    </row>
    <row r="1691" spans="1:35" x14ac:dyDescent="0.3">
      <c r="A1691" t="s">
        <v>11</v>
      </c>
      <c r="B1691">
        <v>1</v>
      </c>
      <c r="AH1691" t="s">
        <v>10</v>
      </c>
      <c r="AI1691">
        <v>1</v>
      </c>
    </row>
    <row r="1692" spans="1:35" x14ac:dyDescent="0.3">
      <c r="A1692" t="s">
        <v>687</v>
      </c>
      <c r="B1692">
        <v>1</v>
      </c>
      <c r="AH1692" t="s">
        <v>51</v>
      </c>
      <c r="AI1692">
        <v>1</v>
      </c>
    </row>
    <row r="1693" spans="1:35" x14ac:dyDescent="0.3">
      <c r="A1693" t="s">
        <v>141</v>
      </c>
      <c r="B1693">
        <v>1</v>
      </c>
      <c r="AH1693" t="s">
        <v>10</v>
      </c>
      <c r="AI1693">
        <v>1</v>
      </c>
    </row>
    <row r="1694" spans="1:35" x14ac:dyDescent="0.3">
      <c r="A1694" t="s">
        <v>726</v>
      </c>
      <c r="B1694">
        <v>1</v>
      </c>
      <c r="AH1694" t="s">
        <v>51</v>
      </c>
      <c r="AI1694">
        <v>1</v>
      </c>
    </row>
    <row r="1695" spans="1:35" x14ac:dyDescent="0.3">
      <c r="A1695" t="s">
        <v>743</v>
      </c>
      <c r="B1695">
        <v>1</v>
      </c>
      <c r="AH1695" t="s">
        <v>10</v>
      </c>
      <c r="AI1695">
        <v>1</v>
      </c>
    </row>
    <row r="1696" spans="1:35" x14ac:dyDescent="0.3">
      <c r="A1696" t="s">
        <v>11</v>
      </c>
      <c r="B1696">
        <v>1</v>
      </c>
      <c r="AH1696" t="s">
        <v>51</v>
      </c>
      <c r="AI1696">
        <v>1</v>
      </c>
    </row>
    <row r="1697" spans="1:35" x14ac:dyDescent="0.3">
      <c r="A1697" t="s">
        <v>232</v>
      </c>
      <c r="B1697">
        <v>1</v>
      </c>
      <c r="AH1697" t="s">
        <v>10</v>
      </c>
      <c r="AI1697">
        <v>1</v>
      </c>
    </row>
    <row r="1698" spans="1:35" x14ac:dyDescent="0.3">
      <c r="A1698" t="s">
        <v>141</v>
      </c>
      <c r="B1698">
        <v>1</v>
      </c>
      <c r="AH1698" t="s">
        <v>10</v>
      </c>
      <c r="AI1698">
        <v>1</v>
      </c>
    </row>
    <row r="1699" spans="1:35" x14ac:dyDescent="0.3">
      <c r="A1699" t="s">
        <v>58</v>
      </c>
      <c r="B1699">
        <v>1</v>
      </c>
      <c r="AH1699" t="s">
        <v>2172</v>
      </c>
      <c r="AI1699">
        <v>1</v>
      </c>
    </row>
    <row r="1700" spans="1:35" x14ac:dyDescent="0.3">
      <c r="A1700" t="s">
        <v>11</v>
      </c>
      <c r="B1700">
        <v>1</v>
      </c>
      <c r="AH1700" t="s">
        <v>10</v>
      </c>
      <c r="AI1700">
        <v>1</v>
      </c>
    </row>
    <row r="1701" spans="1:35" x14ac:dyDescent="0.3">
      <c r="A1701" t="s">
        <v>715</v>
      </c>
      <c r="B1701">
        <v>1</v>
      </c>
      <c r="AH1701" t="s">
        <v>10</v>
      </c>
      <c r="AI1701">
        <v>1</v>
      </c>
    </row>
    <row r="1702" spans="1:35" x14ac:dyDescent="0.3">
      <c r="A1702" t="s">
        <v>706</v>
      </c>
      <c r="B1702">
        <v>1</v>
      </c>
      <c r="AH1702" t="s">
        <v>10</v>
      </c>
      <c r="AI1702">
        <v>1</v>
      </c>
    </row>
    <row r="1703" spans="1:35" x14ac:dyDescent="0.3">
      <c r="A1703" t="s">
        <v>250</v>
      </c>
      <c r="B1703">
        <v>1</v>
      </c>
      <c r="AH1703" t="s">
        <v>10</v>
      </c>
      <c r="AI1703">
        <v>1</v>
      </c>
    </row>
    <row r="1704" spans="1:35" x14ac:dyDescent="0.3">
      <c r="A1704" t="s">
        <v>743</v>
      </c>
      <c r="B1704">
        <v>1</v>
      </c>
      <c r="AH1704" t="s">
        <v>10</v>
      </c>
      <c r="AI1704">
        <v>1</v>
      </c>
    </row>
    <row r="1705" spans="1:35" x14ac:dyDescent="0.3">
      <c r="A1705" t="s">
        <v>232</v>
      </c>
      <c r="B1705">
        <v>1</v>
      </c>
      <c r="AH1705" t="s">
        <v>35</v>
      </c>
      <c r="AI1705">
        <v>1</v>
      </c>
    </row>
    <row r="1706" spans="1:35" x14ac:dyDescent="0.3">
      <c r="A1706" t="s">
        <v>365</v>
      </c>
      <c r="B1706">
        <v>1</v>
      </c>
      <c r="AH1706" t="s">
        <v>1463</v>
      </c>
      <c r="AI1706">
        <v>1</v>
      </c>
    </row>
    <row r="1707" spans="1:35" x14ac:dyDescent="0.3">
      <c r="A1707" t="s">
        <v>130</v>
      </c>
      <c r="B1707">
        <v>1</v>
      </c>
      <c r="AH1707" t="s">
        <v>51</v>
      </c>
      <c r="AI1707">
        <v>1</v>
      </c>
    </row>
    <row r="1708" spans="1:35" x14ac:dyDescent="0.3">
      <c r="A1708" t="s">
        <v>743</v>
      </c>
      <c r="B1708">
        <v>1</v>
      </c>
      <c r="AH1708" t="s">
        <v>10</v>
      </c>
      <c r="AI1708">
        <v>1</v>
      </c>
    </row>
    <row r="1709" spans="1:35" x14ac:dyDescent="0.3">
      <c r="A1709" t="s">
        <v>11</v>
      </c>
      <c r="B1709">
        <v>1</v>
      </c>
      <c r="AH1709" t="s">
        <v>51</v>
      </c>
      <c r="AI1709">
        <v>1</v>
      </c>
    </row>
    <row r="1710" spans="1:35" x14ac:dyDescent="0.3">
      <c r="A1710" t="s">
        <v>141</v>
      </c>
      <c r="B1710">
        <v>1</v>
      </c>
      <c r="AH1710" t="s">
        <v>10</v>
      </c>
      <c r="AI1710">
        <v>1</v>
      </c>
    </row>
    <row r="1711" spans="1:35" x14ac:dyDescent="0.3">
      <c r="A1711" t="s">
        <v>11</v>
      </c>
      <c r="B1711">
        <v>1</v>
      </c>
      <c r="AH1711" t="s">
        <v>10</v>
      </c>
      <c r="AI1711">
        <v>1</v>
      </c>
    </row>
    <row r="1712" spans="1:35" x14ac:dyDescent="0.3">
      <c r="A1712" t="s">
        <v>11</v>
      </c>
      <c r="B1712">
        <v>1</v>
      </c>
      <c r="AH1712" t="s">
        <v>51</v>
      </c>
      <c r="AI1712">
        <v>1</v>
      </c>
    </row>
    <row r="1713" spans="1:35" x14ac:dyDescent="0.3">
      <c r="A1713" t="s">
        <v>64</v>
      </c>
      <c r="B1713">
        <v>1</v>
      </c>
      <c r="AH1713" t="s">
        <v>417</v>
      </c>
      <c r="AI1713">
        <v>1</v>
      </c>
    </row>
    <row r="1714" spans="1:35" x14ac:dyDescent="0.3">
      <c r="A1714" t="s">
        <v>58</v>
      </c>
      <c r="B1714">
        <v>1</v>
      </c>
      <c r="AH1714" t="s">
        <v>737</v>
      </c>
      <c r="AI1714">
        <v>1</v>
      </c>
    </row>
    <row r="1715" spans="1:35" x14ac:dyDescent="0.3">
      <c r="A1715" t="s">
        <v>17</v>
      </c>
      <c r="B1715">
        <v>1</v>
      </c>
      <c r="AH1715" t="s">
        <v>10</v>
      </c>
      <c r="AI1715">
        <v>1</v>
      </c>
    </row>
    <row r="1716" spans="1:35" x14ac:dyDescent="0.3">
      <c r="A1716" t="s">
        <v>174</v>
      </c>
      <c r="B1716">
        <v>1</v>
      </c>
      <c r="AH1716" t="s">
        <v>104</v>
      </c>
      <c r="AI1716">
        <v>1</v>
      </c>
    </row>
    <row r="1717" spans="1:35" x14ac:dyDescent="0.3">
      <c r="A1717" t="s">
        <v>232</v>
      </c>
      <c r="B1717">
        <v>1</v>
      </c>
      <c r="AH1717" t="s">
        <v>10</v>
      </c>
      <c r="AI1717">
        <v>1</v>
      </c>
    </row>
    <row r="1718" spans="1:35" x14ac:dyDescent="0.3">
      <c r="A1718" t="s">
        <v>58</v>
      </c>
      <c r="B1718">
        <v>1</v>
      </c>
      <c r="AH1718" t="s">
        <v>1463</v>
      </c>
      <c r="AI1718">
        <v>1</v>
      </c>
    </row>
    <row r="1719" spans="1:35" x14ac:dyDescent="0.3">
      <c r="A1719" t="s">
        <v>64</v>
      </c>
      <c r="B1719">
        <v>1</v>
      </c>
      <c r="AH1719" t="s">
        <v>51</v>
      </c>
      <c r="AI1719">
        <v>1</v>
      </c>
    </row>
    <row r="1720" spans="1:35" x14ac:dyDescent="0.3">
      <c r="A1720" t="s">
        <v>58</v>
      </c>
      <c r="B1720">
        <v>1</v>
      </c>
      <c r="AH1720" t="s">
        <v>51</v>
      </c>
      <c r="AI1720">
        <v>1</v>
      </c>
    </row>
    <row r="1721" spans="1:35" x14ac:dyDescent="0.3">
      <c r="A1721" t="s">
        <v>58</v>
      </c>
      <c r="B1721">
        <v>1</v>
      </c>
      <c r="AH1721" t="s">
        <v>51</v>
      </c>
      <c r="AI1721">
        <v>1</v>
      </c>
    </row>
    <row r="1722" spans="1:35" x14ac:dyDescent="0.3">
      <c r="A1722" t="s">
        <v>11</v>
      </c>
      <c r="B1722">
        <v>1</v>
      </c>
      <c r="AH1722" t="s">
        <v>51</v>
      </c>
      <c r="AI1722">
        <v>1</v>
      </c>
    </row>
    <row r="1723" spans="1:35" x14ac:dyDescent="0.3">
      <c r="A1723" t="s">
        <v>365</v>
      </c>
      <c r="B1723">
        <v>1</v>
      </c>
      <c r="AH1723" t="s">
        <v>249</v>
      </c>
      <c r="AI1723">
        <v>1</v>
      </c>
    </row>
    <row r="1724" spans="1:35" x14ac:dyDescent="0.3">
      <c r="A1724" t="s">
        <v>11</v>
      </c>
      <c r="B1724">
        <v>1</v>
      </c>
      <c r="AH1724" t="s">
        <v>51</v>
      </c>
      <c r="AI1724">
        <v>1</v>
      </c>
    </row>
    <row r="1725" spans="1:35" x14ac:dyDescent="0.3">
      <c r="A1725" t="s">
        <v>64</v>
      </c>
      <c r="B1725">
        <v>1</v>
      </c>
      <c r="AH1725" t="s">
        <v>10</v>
      </c>
      <c r="AI1725">
        <v>1</v>
      </c>
    </row>
    <row r="1726" spans="1:35" x14ac:dyDescent="0.3">
      <c r="A1726" t="s">
        <v>464</v>
      </c>
      <c r="B1726">
        <v>1</v>
      </c>
      <c r="AH1726" t="s">
        <v>417</v>
      </c>
      <c r="AI1726">
        <v>1</v>
      </c>
    </row>
    <row r="1727" spans="1:35" x14ac:dyDescent="0.3">
      <c r="A1727" t="s">
        <v>11</v>
      </c>
      <c r="B1727">
        <v>1</v>
      </c>
      <c r="AH1727" t="s">
        <v>51</v>
      </c>
      <c r="AI1727">
        <v>1</v>
      </c>
    </row>
    <row r="1728" spans="1:35" x14ac:dyDescent="0.3">
      <c r="A1728" t="s">
        <v>58</v>
      </c>
      <c r="B1728">
        <v>1</v>
      </c>
      <c r="AH1728" t="s">
        <v>51</v>
      </c>
      <c r="AI1728">
        <v>1</v>
      </c>
    </row>
    <row r="1729" spans="1:35" x14ac:dyDescent="0.3">
      <c r="A1729" t="s">
        <v>58</v>
      </c>
      <c r="B1729">
        <v>1</v>
      </c>
      <c r="AH1729" t="s">
        <v>10</v>
      </c>
      <c r="AI1729">
        <v>1</v>
      </c>
    </row>
    <row r="1730" spans="1:35" x14ac:dyDescent="0.3">
      <c r="A1730" t="s">
        <v>11</v>
      </c>
      <c r="B1730">
        <v>1</v>
      </c>
      <c r="AH1730" t="s">
        <v>51</v>
      </c>
      <c r="AI1730">
        <v>1</v>
      </c>
    </row>
    <row r="1731" spans="1:35" x14ac:dyDescent="0.3">
      <c r="A1731" t="s">
        <v>706</v>
      </c>
      <c r="B1731">
        <v>1</v>
      </c>
      <c r="AH1731" t="s">
        <v>10</v>
      </c>
      <c r="AI1731">
        <v>1</v>
      </c>
    </row>
    <row r="1732" spans="1:35" x14ac:dyDescent="0.3">
      <c r="A1732" t="s">
        <v>17</v>
      </c>
      <c r="B1732">
        <v>1</v>
      </c>
      <c r="AH1732" t="s">
        <v>10</v>
      </c>
      <c r="AI1732">
        <v>1</v>
      </c>
    </row>
    <row r="1733" spans="1:35" x14ac:dyDescent="0.3">
      <c r="A1733" t="s">
        <v>174</v>
      </c>
      <c r="B1733">
        <v>1</v>
      </c>
      <c r="AH1733" t="s">
        <v>10</v>
      </c>
      <c r="AI1733">
        <v>1</v>
      </c>
    </row>
    <row r="1734" spans="1:35" x14ac:dyDescent="0.3">
      <c r="A1734" t="s">
        <v>11</v>
      </c>
      <c r="B1734">
        <v>1</v>
      </c>
      <c r="AH1734" t="s">
        <v>51</v>
      </c>
      <c r="AI1734">
        <v>1</v>
      </c>
    </row>
    <row r="1735" spans="1:35" x14ac:dyDescent="0.3">
      <c r="A1735" t="s">
        <v>706</v>
      </c>
      <c r="B1735">
        <v>1</v>
      </c>
      <c r="AH1735" t="s">
        <v>681</v>
      </c>
      <c r="AI1735">
        <v>1</v>
      </c>
    </row>
    <row r="1736" spans="1:35" x14ac:dyDescent="0.3">
      <c r="A1736" t="s">
        <v>52</v>
      </c>
      <c r="B1736">
        <v>1</v>
      </c>
      <c r="AH1736" t="s">
        <v>297</v>
      </c>
      <c r="AI1736">
        <v>1</v>
      </c>
    </row>
    <row r="1737" spans="1:35" x14ac:dyDescent="0.3">
      <c r="A1737" t="s">
        <v>11</v>
      </c>
      <c r="B1737">
        <v>1</v>
      </c>
      <c r="AH1737" t="s">
        <v>51</v>
      </c>
      <c r="AI1737">
        <v>1</v>
      </c>
    </row>
    <row r="1738" spans="1:35" x14ac:dyDescent="0.3">
      <c r="A1738" t="s">
        <v>98</v>
      </c>
      <c r="B1738">
        <v>1</v>
      </c>
      <c r="AH1738" t="s">
        <v>10</v>
      </c>
      <c r="AI1738">
        <v>1</v>
      </c>
    </row>
    <row r="1739" spans="1:35" x14ac:dyDescent="0.3">
      <c r="A1739" t="s">
        <v>141</v>
      </c>
      <c r="B1739">
        <v>1</v>
      </c>
      <c r="AH1739" t="s">
        <v>35</v>
      </c>
      <c r="AI1739">
        <v>1</v>
      </c>
    </row>
    <row r="1740" spans="1:35" x14ac:dyDescent="0.3">
      <c r="A1740" t="s">
        <v>58</v>
      </c>
      <c r="B1740">
        <v>1</v>
      </c>
      <c r="AH1740" t="s">
        <v>51</v>
      </c>
      <c r="AI1740">
        <v>1</v>
      </c>
    </row>
    <row r="1741" spans="1:35" x14ac:dyDescent="0.3">
      <c r="A1741" t="s">
        <v>130</v>
      </c>
      <c r="B1741">
        <v>1</v>
      </c>
      <c r="AH1741" t="s">
        <v>3550</v>
      </c>
      <c r="AI1741">
        <v>1</v>
      </c>
    </row>
    <row r="1742" spans="1:35" x14ac:dyDescent="0.3">
      <c r="A1742" t="s">
        <v>52</v>
      </c>
      <c r="B1742">
        <v>1</v>
      </c>
      <c r="AH1742" t="s">
        <v>51</v>
      </c>
      <c r="AI1742">
        <v>1</v>
      </c>
    </row>
    <row r="1743" spans="1:35" x14ac:dyDescent="0.3">
      <c r="A1743" t="s">
        <v>11</v>
      </c>
      <c r="B1743">
        <v>1</v>
      </c>
      <c r="AH1743" t="s">
        <v>51</v>
      </c>
      <c r="AI1743">
        <v>1</v>
      </c>
    </row>
    <row r="1744" spans="1:35" x14ac:dyDescent="0.3">
      <c r="A1744" t="s">
        <v>52</v>
      </c>
      <c r="B1744">
        <v>1</v>
      </c>
      <c r="AH1744" t="s">
        <v>737</v>
      </c>
      <c r="AI1744">
        <v>1</v>
      </c>
    </row>
    <row r="1745" spans="1:35" x14ac:dyDescent="0.3">
      <c r="A1745" t="s">
        <v>11</v>
      </c>
      <c r="B1745">
        <v>1</v>
      </c>
      <c r="AH1745" t="s">
        <v>401</v>
      </c>
      <c r="AI1745">
        <v>1</v>
      </c>
    </row>
    <row r="1746" spans="1:35" x14ac:dyDescent="0.3">
      <c r="A1746" t="s">
        <v>98</v>
      </c>
      <c r="B1746">
        <v>1</v>
      </c>
      <c r="AH1746" t="s">
        <v>10</v>
      </c>
      <c r="AI1746">
        <v>1</v>
      </c>
    </row>
    <row r="1747" spans="1:35" x14ac:dyDescent="0.3">
      <c r="A1747" t="s">
        <v>11</v>
      </c>
      <c r="B1747">
        <v>1</v>
      </c>
      <c r="AH1747" t="s">
        <v>51</v>
      </c>
      <c r="AI1747">
        <v>1</v>
      </c>
    </row>
    <row r="1748" spans="1:35" x14ac:dyDescent="0.3">
      <c r="A1748" t="s">
        <v>687</v>
      </c>
      <c r="B1748">
        <v>1</v>
      </c>
      <c r="AH1748" t="s">
        <v>51</v>
      </c>
      <c r="AI1748">
        <v>1</v>
      </c>
    </row>
    <row r="1749" spans="1:35" x14ac:dyDescent="0.3">
      <c r="A1749" t="s">
        <v>23</v>
      </c>
      <c r="B1749">
        <v>1</v>
      </c>
      <c r="AH1749" t="s">
        <v>10</v>
      </c>
      <c r="AI1749">
        <v>1</v>
      </c>
    </row>
    <row r="1750" spans="1:35" x14ac:dyDescent="0.3">
      <c r="A1750" t="s">
        <v>726</v>
      </c>
      <c r="B1750">
        <v>1</v>
      </c>
      <c r="AH1750" t="s">
        <v>51</v>
      </c>
      <c r="AI1750">
        <v>1</v>
      </c>
    </row>
    <row r="1751" spans="1:35" x14ac:dyDescent="0.3">
      <c r="A1751" t="s">
        <v>64</v>
      </c>
      <c r="B1751">
        <v>1</v>
      </c>
      <c r="AH1751" t="s">
        <v>35</v>
      </c>
      <c r="AI1751">
        <v>1</v>
      </c>
    </row>
    <row r="1752" spans="1:35" x14ac:dyDescent="0.3">
      <c r="A1752" t="s">
        <v>11</v>
      </c>
      <c r="B1752">
        <v>1</v>
      </c>
      <c r="AH1752" t="s">
        <v>681</v>
      </c>
      <c r="AI1752">
        <v>1</v>
      </c>
    </row>
    <row r="1753" spans="1:35" x14ac:dyDescent="0.3">
      <c r="A1753" t="s">
        <v>130</v>
      </c>
      <c r="B1753">
        <v>1</v>
      </c>
      <c r="AH1753" t="s">
        <v>51</v>
      </c>
      <c r="AI1753">
        <v>1</v>
      </c>
    </row>
    <row r="1754" spans="1:35" x14ac:dyDescent="0.3">
      <c r="A1754" t="s">
        <v>141</v>
      </c>
      <c r="B1754">
        <v>1</v>
      </c>
      <c r="AH1754" t="s">
        <v>51</v>
      </c>
      <c r="AI1754">
        <v>1</v>
      </c>
    </row>
    <row r="1755" spans="1:35" x14ac:dyDescent="0.3">
      <c r="A1755" t="s">
        <v>365</v>
      </c>
      <c r="B1755">
        <v>1</v>
      </c>
      <c r="AH1755" t="s">
        <v>4420</v>
      </c>
      <c r="AI1755">
        <v>1</v>
      </c>
    </row>
    <row r="1756" spans="1:35" x14ac:dyDescent="0.3">
      <c r="A1756" t="s">
        <v>64</v>
      </c>
      <c r="B1756">
        <v>1</v>
      </c>
      <c r="AH1756" t="s">
        <v>10</v>
      </c>
      <c r="AI1756">
        <v>1</v>
      </c>
    </row>
    <row r="1757" spans="1:35" x14ac:dyDescent="0.3">
      <c r="A1757" t="s">
        <v>715</v>
      </c>
      <c r="B1757">
        <v>1</v>
      </c>
      <c r="AH1757" t="s">
        <v>452</v>
      </c>
      <c r="AI1757">
        <v>1</v>
      </c>
    </row>
    <row r="1758" spans="1:35" x14ac:dyDescent="0.3">
      <c r="A1758" t="s">
        <v>250</v>
      </c>
      <c r="B1758">
        <v>1</v>
      </c>
      <c r="AH1758" t="s">
        <v>10</v>
      </c>
      <c r="AI1758">
        <v>1</v>
      </c>
    </row>
    <row r="1759" spans="1:35" x14ac:dyDescent="0.3">
      <c r="A1759" t="s">
        <v>58</v>
      </c>
      <c r="B1759">
        <v>1</v>
      </c>
      <c r="AH1759" t="s">
        <v>10</v>
      </c>
      <c r="AI1759">
        <v>1</v>
      </c>
    </row>
    <row r="1760" spans="1:35" x14ac:dyDescent="0.3">
      <c r="A1760" t="s">
        <v>29</v>
      </c>
      <c r="B1760">
        <v>1</v>
      </c>
      <c r="AH1760" t="s">
        <v>10</v>
      </c>
      <c r="AI1760">
        <v>1</v>
      </c>
    </row>
    <row r="1761" spans="1:35" x14ac:dyDescent="0.3">
      <c r="A1761" t="s">
        <v>58</v>
      </c>
      <c r="B1761">
        <v>1</v>
      </c>
      <c r="AH1761" t="s">
        <v>2925</v>
      </c>
      <c r="AI1761">
        <v>1</v>
      </c>
    </row>
    <row r="1762" spans="1:35" x14ac:dyDescent="0.3">
      <c r="A1762" t="s">
        <v>130</v>
      </c>
      <c r="B1762">
        <v>1</v>
      </c>
      <c r="AH1762" t="s">
        <v>51</v>
      </c>
      <c r="AI1762">
        <v>1</v>
      </c>
    </row>
    <row r="1763" spans="1:35" x14ac:dyDescent="0.3">
      <c r="A1763" t="s">
        <v>726</v>
      </c>
      <c r="B1763">
        <v>1</v>
      </c>
      <c r="AH1763" t="s">
        <v>124</v>
      </c>
      <c r="AI1763">
        <v>1</v>
      </c>
    </row>
    <row r="1764" spans="1:35" x14ac:dyDescent="0.3">
      <c r="A1764" t="s">
        <v>58</v>
      </c>
      <c r="B1764">
        <v>1</v>
      </c>
      <c r="AH1764" t="s">
        <v>10</v>
      </c>
      <c r="AI1764">
        <v>1</v>
      </c>
    </row>
    <row r="1765" spans="1:35" x14ac:dyDescent="0.3">
      <c r="A1765" t="s">
        <v>11</v>
      </c>
      <c r="B1765">
        <v>1</v>
      </c>
      <c r="AH1765" t="s">
        <v>51</v>
      </c>
      <c r="AI1765">
        <v>1</v>
      </c>
    </row>
    <row r="1766" spans="1:35" x14ac:dyDescent="0.3">
      <c r="A1766" t="s">
        <v>365</v>
      </c>
      <c r="B1766">
        <v>1</v>
      </c>
      <c r="AH1766" t="s">
        <v>70</v>
      </c>
      <c r="AI1766">
        <v>1</v>
      </c>
    </row>
    <row r="1767" spans="1:35" x14ac:dyDescent="0.3">
      <c r="A1767" t="s">
        <v>726</v>
      </c>
      <c r="B1767">
        <v>1</v>
      </c>
      <c r="AH1767" t="s">
        <v>249</v>
      </c>
      <c r="AI1767">
        <v>1</v>
      </c>
    </row>
    <row r="1768" spans="1:35" x14ac:dyDescent="0.3">
      <c r="A1768" t="s">
        <v>345</v>
      </c>
      <c r="B1768">
        <v>1</v>
      </c>
      <c r="AH1768" t="s">
        <v>10</v>
      </c>
      <c r="AI1768">
        <v>1</v>
      </c>
    </row>
    <row r="1769" spans="1:35" x14ac:dyDescent="0.3">
      <c r="A1769" t="s">
        <v>11</v>
      </c>
      <c r="B1769">
        <v>1</v>
      </c>
      <c r="AH1769" t="s">
        <v>51</v>
      </c>
      <c r="AI1769">
        <v>1</v>
      </c>
    </row>
    <row r="1770" spans="1:35" x14ac:dyDescent="0.3">
      <c r="A1770" t="s">
        <v>743</v>
      </c>
      <c r="B1770">
        <v>1</v>
      </c>
      <c r="AH1770" t="s">
        <v>10</v>
      </c>
      <c r="AI1770">
        <v>1</v>
      </c>
    </row>
    <row r="1771" spans="1:35" x14ac:dyDescent="0.3">
      <c r="A1771" t="s">
        <v>11</v>
      </c>
      <c r="B1771">
        <v>1</v>
      </c>
      <c r="AH1771" t="s">
        <v>51</v>
      </c>
      <c r="AI1771">
        <v>1</v>
      </c>
    </row>
    <row r="1772" spans="1:35" x14ac:dyDescent="0.3">
      <c r="A1772" t="s">
        <v>726</v>
      </c>
      <c r="B1772">
        <v>1</v>
      </c>
      <c r="AH1772" t="s">
        <v>51</v>
      </c>
      <c r="AI1772">
        <v>1</v>
      </c>
    </row>
    <row r="1773" spans="1:35" x14ac:dyDescent="0.3">
      <c r="A1773" t="s">
        <v>510</v>
      </c>
      <c r="B1773">
        <v>1</v>
      </c>
      <c r="AH1773" t="s">
        <v>51</v>
      </c>
      <c r="AI1773">
        <v>1</v>
      </c>
    </row>
    <row r="1774" spans="1:35" x14ac:dyDescent="0.3">
      <c r="A1774" t="s">
        <v>52</v>
      </c>
      <c r="B1774">
        <v>1</v>
      </c>
      <c r="AH1774" t="s">
        <v>10</v>
      </c>
      <c r="AI1774">
        <v>1</v>
      </c>
    </row>
    <row r="1775" spans="1:35" x14ac:dyDescent="0.3">
      <c r="A1775" t="s">
        <v>345</v>
      </c>
      <c r="B1775">
        <v>1</v>
      </c>
      <c r="AH1775" t="s">
        <v>35</v>
      </c>
      <c r="AI1775">
        <v>1</v>
      </c>
    </row>
    <row r="1776" spans="1:35" x14ac:dyDescent="0.3">
      <c r="A1776" t="s">
        <v>11</v>
      </c>
      <c r="B1776">
        <v>1</v>
      </c>
      <c r="AH1776" t="s">
        <v>51</v>
      </c>
      <c r="AI1776">
        <v>1</v>
      </c>
    </row>
    <row r="1777" spans="1:35" x14ac:dyDescent="0.3">
      <c r="A1777" t="s">
        <v>726</v>
      </c>
      <c r="B1777">
        <v>1</v>
      </c>
      <c r="AH1777" t="s">
        <v>51</v>
      </c>
      <c r="AI1777">
        <v>1</v>
      </c>
    </row>
    <row r="1778" spans="1:35" x14ac:dyDescent="0.3">
      <c r="A1778" t="s">
        <v>58</v>
      </c>
      <c r="B1778">
        <v>1</v>
      </c>
      <c r="AH1778" t="s">
        <v>10</v>
      </c>
      <c r="AI1778">
        <v>1</v>
      </c>
    </row>
    <row r="1779" spans="1:35" x14ac:dyDescent="0.3">
      <c r="A1779" t="s">
        <v>365</v>
      </c>
      <c r="B1779">
        <v>1</v>
      </c>
      <c r="AH1779" t="s">
        <v>297</v>
      </c>
      <c r="AI1779">
        <v>1</v>
      </c>
    </row>
    <row r="1780" spans="1:35" x14ac:dyDescent="0.3">
      <c r="A1780" t="s">
        <v>11</v>
      </c>
      <c r="B1780">
        <v>1</v>
      </c>
      <c r="AH1780" t="s">
        <v>10</v>
      </c>
      <c r="AI1780">
        <v>1</v>
      </c>
    </row>
    <row r="1781" spans="1:35" x14ac:dyDescent="0.3">
      <c r="A1781" t="s">
        <v>345</v>
      </c>
      <c r="B1781">
        <v>1</v>
      </c>
      <c r="AH1781" t="s">
        <v>10</v>
      </c>
      <c r="AI1781">
        <v>1</v>
      </c>
    </row>
    <row r="1782" spans="1:35" x14ac:dyDescent="0.3">
      <c r="A1782" t="s">
        <v>23</v>
      </c>
      <c r="B1782">
        <v>1</v>
      </c>
      <c r="AH1782" t="s">
        <v>35</v>
      </c>
      <c r="AI1782">
        <v>1</v>
      </c>
    </row>
    <row r="1783" spans="1:35" x14ac:dyDescent="0.3">
      <c r="A1783" t="s">
        <v>98</v>
      </c>
      <c r="B1783">
        <v>1</v>
      </c>
      <c r="AH1783" t="s">
        <v>35</v>
      </c>
      <c r="AI1783">
        <v>1</v>
      </c>
    </row>
    <row r="1784" spans="1:35" x14ac:dyDescent="0.3">
      <c r="A1784" t="s">
        <v>726</v>
      </c>
      <c r="B1784">
        <v>1</v>
      </c>
      <c r="AH1784" t="s">
        <v>249</v>
      </c>
      <c r="AI1784">
        <v>1</v>
      </c>
    </row>
    <row r="1785" spans="1:35" x14ac:dyDescent="0.3">
      <c r="A1785" t="s">
        <v>11</v>
      </c>
      <c r="B1785">
        <v>1</v>
      </c>
      <c r="AH1785" t="s">
        <v>51</v>
      </c>
      <c r="AI1785">
        <v>1</v>
      </c>
    </row>
    <row r="1786" spans="1:35" x14ac:dyDescent="0.3">
      <c r="A1786" t="s">
        <v>634</v>
      </c>
      <c r="B1786">
        <v>1</v>
      </c>
      <c r="AH1786" t="s">
        <v>417</v>
      </c>
      <c r="AI1786">
        <v>1</v>
      </c>
    </row>
    <row r="1787" spans="1:35" x14ac:dyDescent="0.3">
      <c r="A1787" t="s">
        <v>706</v>
      </c>
      <c r="B1787">
        <v>1</v>
      </c>
      <c r="AH1787" t="s">
        <v>10</v>
      </c>
      <c r="AI1787">
        <v>1</v>
      </c>
    </row>
    <row r="1788" spans="1:35" x14ac:dyDescent="0.3">
      <c r="A1788" t="s">
        <v>11</v>
      </c>
      <c r="B1788">
        <v>1</v>
      </c>
      <c r="AH1788" t="s">
        <v>51</v>
      </c>
      <c r="AI1788">
        <v>1</v>
      </c>
    </row>
    <row r="1789" spans="1:35" x14ac:dyDescent="0.3">
      <c r="A1789" t="s">
        <v>11</v>
      </c>
      <c r="B1789">
        <v>1</v>
      </c>
      <c r="AH1789" t="s">
        <v>10</v>
      </c>
      <c r="AI1789">
        <v>1</v>
      </c>
    </row>
    <row r="1790" spans="1:35" x14ac:dyDescent="0.3">
      <c r="A1790" t="s">
        <v>130</v>
      </c>
      <c r="B1790">
        <v>1</v>
      </c>
      <c r="AH1790" t="s">
        <v>696</v>
      </c>
      <c r="AI1790">
        <v>1</v>
      </c>
    </row>
    <row r="1791" spans="1:35" x14ac:dyDescent="0.3">
      <c r="A1791" t="s">
        <v>11</v>
      </c>
      <c r="B1791">
        <v>1</v>
      </c>
      <c r="AH1791" t="s">
        <v>51</v>
      </c>
      <c r="AI1791">
        <v>1</v>
      </c>
    </row>
    <row r="1792" spans="1:35" x14ac:dyDescent="0.3">
      <c r="A1792" t="s">
        <v>634</v>
      </c>
      <c r="B1792">
        <v>1</v>
      </c>
      <c r="AH1792" t="s">
        <v>10</v>
      </c>
      <c r="AI1792">
        <v>1</v>
      </c>
    </row>
    <row r="1793" spans="1:35" x14ac:dyDescent="0.3">
      <c r="A1793" t="s">
        <v>634</v>
      </c>
      <c r="B1793">
        <v>1</v>
      </c>
      <c r="AH1793" t="s">
        <v>10</v>
      </c>
      <c r="AI1793">
        <v>1</v>
      </c>
    </row>
    <row r="1794" spans="1:35" x14ac:dyDescent="0.3">
      <c r="A1794" t="s">
        <v>706</v>
      </c>
      <c r="B1794">
        <v>1</v>
      </c>
      <c r="AH1794" t="s">
        <v>51</v>
      </c>
      <c r="AI1794">
        <v>1</v>
      </c>
    </row>
    <row r="1795" spans="1:35" x14ac:dyDescent="0.3">
      <c r="A1795" t="s">
        <v>64</v>
      </c>
      <c r="B1795">
        <v>1</v>
      </c>
      <c r="AH1795" t="s">
        <v>10</v>
      </c>
      <c r="AI1795">
        <v>1</v>
      </c>
    </row>
    <row r="1796" spans="1:35" x14ac:dyDescent="0.3">
      <c r="A1796" t="s">
        <v>726</v>
      </c>
      <c r="B1796">
        <v>1</v>
      </c>
      <c r="AH1796" t="s">
        <v>35</v>
      </c>
      <c r="AI1796">
        <v>1</v>
      </c>
    </row>
    <row r="1797" spans="1:35" x14ac:dyDescent="0.3">
      <c r="A1797" t="s">
        <v>11</v>
      </c>
      <c r="B1797">
        <v>1</v>
      </c>
      <c r="AH1797" t="s">
        <v>10</v>
      </c>
      <c r="AI1797">
        <v>1</v>
      </c>
    </row>
    <row r="1798" spans="1:35" x14ac:dyDescent="0.3">
      <c r="A1798" t="s">
        <v>11</v>
      </c>
      <c r="B1798">
        <v>1</v>
      </c>
      <c r="AH1798" t="s">
        <v>10</v>
      </c>
      <c r="AI1798">
        <v>1</v>
      </c>
    </row>
    <row r="1799" spans="1:35" x14ac:dyDescent="0.3">
      <c r="A1799" t="s">
        <v>64</v>
      </c>
      <c r="B1799">
        <v>1</v>
      </c>
      <c r="AH1799" t="s">
        <v>1679</v>
      </c>
      <c r="AI1799">
        <v>1</v>
      </c>
    </row>
    <row r="1800" spans="1:35" x14ac:dyDescent="0.3">
      <c r="A1800" t="s">
        <v>11</v>
      </c>
      <c r="B1800">
        <v>1</v>
      </c>
      <c r="AH1800" t="s">
        <v>51</v>
      </c>
      <c r="AI1800">
        <v>1</v>
      </c>
    </row>
    <row r="1801" spans="1:35" x14ac:dyDescent="0.3">
      <c r="A1801" t="s">
        <v>64</v>
      </c>
      <c r="B1801">
        <v>1</v>
      </c>
      <c r="AH1801" t="s">
        <v>10</v>
      </c>
      <c r="AI1801">
        <v>1</v>
      </c>
    </row>
    <row r="1802" spans="1:35" x14ac:dyDescent="0.3">
      <c r="A1802" t="s">
        <v>23</v>
      </c>
      <c r="B1802">
        <v>1</v>
      </c>
      <c r="AH1802" t="s">
        <v>401</v>
      </c>
      <c r="AI1802">
        <v>1</v>
      </c>
    </row>
    <row r="1803" spans="1:35" x14ac:dyDescent="0.3">
      <c r="A1803" t="s">
        <v>11</v>
      </c>
      <c r="B1803">
        <v>1</v>
      </c>
      <c r="AH1803" t="s">
        <v>10</v>
      </c>
      <c r="AI1803">
        <v>1</v>
      </c>
    </row>
    <row r="1804" spans="1:35" x14ac:dyDescent="0.3">
      <c r="A1804" t="s">
        <v>365</v>
      </c>
      <c r="B1804">
        <v>1</v>
      </c>
      <c r="AH1804" t="s">
        <v>10</v>
      </c>
      <c r="AI1804">
        <v>1</v>
      </c>
    </row>
    <row r="1805" spans="1:35" x14ac:dyDescent="0.3">
      <c r="A1805" t="s">
        <v>687</v>
      </c>
      <c r="B1805">
        <v>1</v>
      </c>
      <c r="AH1805" t="s">
        <v>51</v>
      </c>
      <c r="AI1805">
        <v>1</v>
      </c>
    </row>
    <row r="1806" spans="1:35" x14ac:dyDescent="0.3">
      <c r="A1806" t="s">
        <v>634</v>
      </c>
      <c r="B1806">
        <v>1</v>
      </c>
      <c r="AH1806" t="s">
        <v>249</v>
      </c>
      <c r="AI1806">
        <v>1</v>
      </c>
    </row>
    <row r="1807" spans="1:35" x14ac:dyDescent="0.3">
      <c r="A1807" t="s">
        <v>345</v>
      </c>
      <c r="B1807">
        <v>1</v>
      </c>
      <c r="AH1807" t="s">
        <v>10</v>
      </c>
      <c r="AI1807">
        <v>1</v>
      </c>
    </row>
    <row r="1808" spans="1:35" x14ac:dyDescent="0.3">
      <c r="A1808" t="s">
        <v>11</v>
      </c>
      <c r="B1808">
        <v>1</v>
      </c>
      <c r="AH1808" t="s">
        <v>2172</v>
      </c>
      <c r="AI1808">
        <v>1</v>
      </c>
    </row>
    <row r="1809" spans="1:35" x14ac:dyDescent="0.3">
      <c r="A1809" t="s">
        <v>11</v>
      </c>
      <c r="B1809">
        <v>1</v>
      </c>
      <c r="AH1809" t="s">
        <v>51</v>
      </c>
      <c r="AI1809">
        <v>1</v>
      </c>
    </row>
    <row r="1810" spans="1:35" x14ac:dyDescent="0.3">
      <c r="A1810" t="s">
        <v>743</v>
      </c>
      <c r="B1810">
        <v>1</v>
      </c>
      <c r="AH1810" t="s">
        <v>10</v>
      </c>
      <c r="AI1810">
        <v>1</v>
      </c>
    </row>
    <row r="1811" spans="1:35" x14ac:dyDescent="0.3">
      <c r="A1811" t="s">
        <v>706</v>
      </c>
      <c r="B1811">
        <v>1</v>
      </c>
      <c r="AH1811" t="s">
        <v>205</v>
      </c>
      <c r="AI1811">
        <v>1</v>
      </c>
    </row>
    <row r="1812" spans="1:35" x14ac:dyDescent="0.3">
      <c r="A1812" t="s">
        <v>11</v>
      </c>
      <c r="B1812">
        <v>1</v>
      </c>
      <c r="AH1812" t="s">
        <v>51</v>
      </c>
      <c r="AI1812">
        <v>1</v>
      </c>
    </row>
    <row r="1813" spans="1:35" x14ac:dyDescent="0.3">
      <c r="A1813" t="s">
        <v>464</v>
      </c>
      <c r="B1813">
        <v>1</v>
      </c>
      <c r="AH1813" t="s">
        <v>35</v>
      </c>
      <c r="AI1813">
        <v>1</v>
      </c>
    </row>
    <row r="1814" spans="1:35" x14ac:dyDescent="0.3">
      <c r="A1814" t="s">
        <v>726</v>
      </c>
      <c r="B1814">
        <v>1</v>
      </c>
      <c r="AH1814" t="s">
        <v>2329</v>
      </c>
      <c r="AI1814">
        <v>1</v>
      </c>
    </row>
    <row r="1815" spans="1:35" x14ac:dyDescent="0.3">
      <c r="A1815" t="s">
        <v>345</v>
      </c>
      <c r="B1815">
        <v>1</v>
      </c>
      <c r="AH1815" t="s">
        <v>10</v>
      </c>
      <c r="AI1815">
        <v>1</v>
      </c>
    </row>
    <row r="1816" spans="1:35" x14ac:dyDescent="0.3">
      <c r="A1816" t="s">
        <v>706</v>
      </c>
      <c r="B1816">
        <v>1</v>
      </c>
      <c r="AH1816" t="s">
        <v>10</v>
      </c>
      <c r="AI1816">
        <v>1</v>
      </c>
    </row>
    <row r="1817" spans="1:35" x14ac:dyDescent="0.3">
      <c r="A1817" t="s">
        <v>687</v>
      </c>
      <c r="B1817">
        <v>1</v>
      </c>
      <c r="AH1817" t="s">
        <v>51</v>
      </c>
      <c r="AI1817">
        <v>1</v>
      </c>
    </row>
    <row r="1818" spans="1:35" x14ac:dyDescent="0.3">
      <c r="A1818" t="s">
        <v>743</v>
      </c>
      <c r="B1818">
        <v>1</v>
      </c>
      <c r="AH1818" t="s">
        <v>10</v>
      </c>
      <c r="AI1818">
        <v>1</v>
      </c>
    </row>
    <row r="1819" spans="1:35" x14ac:dyDescent="0.3">
      <c r="A1819" t="s">
        <v>345</v>
      </c>
      <c r="B1819">
        <v>1</v>
      </c>
      <c r="AH1819" t="s">
        <v>10</v>
      </c>
      <c r="AI1819">
        <v>1</v>
      </c>
    </row>
    <row r="1820" spans="1:35" x14ac:dyDescent="0.3">
      <c r="A1820" t="s">
        <v>706</v>
      </c>
      <c r="B1820">
        <v>1</v>
      </c>
      <c r="AH1820" t="s">
        <v>10</v>
      </c>
      <c r="AI1820">
        <v>1</v>
      </c>
    </row>
    <row r="1821" spans="1:35" x14ac:dyDescent="0.3">
      <c r="A1821" t="s">
        <v>151</v>
      </c>
      <c r="B1821">
        <v>1</v>
      </c>
      <c r="AH1821" t="s">
        <v>458</v>
      </c>
      <c r="AI1821">
        <v>1</v>
      </c>
    </row>
    <row r="1822" spans="1:35" x14ac:dyDescent="0.3">
      <c r="A1822" t="s">
        <v>98</v>
      </c>
      <c r="B1822">
        <v>1</v>
      </c>
      <c r="AH1822" t="s">
        <v>1441</v>
      </c>
      <c r="AI1822">
        <v>1</v>
      </c>
    </row>
    <row r="1823" spans="1:35" x14ac:dyDescent="0.3">
      <c r="A1823" t="s">
        <v>23</v>
      </c>
      <c r="B1823">
        <v>1</v>
      </c>
      <c r="AH1823" t="s">
        <v>1441</v>
      </c>
      <c r="AI1823">
        <v>1</v>
      </c>
    </row>
    <row r="1824" spans="1:35" x14ac:dyDescent="0.3">
      <c r="A1824" t="s">
        <v>687</v>
      </c>
      <c r="B1824">
        <v>1</v>
      </c>
      <c r="AH1824" t="s">
        <v>51</v>
      </c>
      <c r="AI1824">
        <v>1</v>
      </c>
    </row>
    <row r="1825" spans="1:35" x14ac:dyDescent="0.3">
      <c r="A1825" t="s">
        <v>11</v>
      </c>
      <c r="B1825">
        <v>1</v>
      </c>
      <c r="AH1825" t="s">
        <v>10</v>
      </c>
      <c r="AI1825">
        <v>1</v>
      </c>
    </row>
    <row r="1826" spans="1:35" x14ac:dyDescent="0.3">
      <c r="A1826" t="s">
        <v>11</v>
      </c>
      <c r="B1826">
        <v>1</v>
      </c>
      <c r="AH1826" t="s">
        <v>51</v>
      </c>
      <c r="AI1826">
        <v>1</v>
      </c>
    </row>
    <row r="1827" spans="1:35" x14ac:dyDescent="0.3">
      <c r="A1827" t="s">
        <v>151</v>
      </c>
      <c r="B1827">
        <v>1</v>
      </c>
      <c r="AH1827" t="s">
        <v>1463</v>
      </c>
      <c r="AI1827">
        <v>1</v>
      </c>
    </row>
    <row r="1828" spans="1:35" x14ac:dyDescent="0.3">
      <c r="A1828" t="s">
        <v>726</v>
      </c>
      <c r="B1828">
        <v>1</v>
      </c>
      <c r="AH1828" t="s">
        <v>10</v>
      </c>
      <c r="AI1828">
        <v>1</v>
      </c>
    </row>
    <row r="1829" spans="1:35" x14ac:dyDescent="0.3">
      <c r="A1829" t="s">
        <v>58</v>
      </c>
      <c r="B1829">
        <v>1</v>
      </c>
      <c r="AH1829" t="s">
        <v>10</v>
      </c>
      <c r="AI1829">
        <v>1</v>
      </c>
    </row>
    <row r="1830" spans="1:35" x14ac:dyDescent="0.3">
      <c r="A1830" t="s">
        <v>232</v>
      </c>
      <c r="B1830">
        <v>1</v>
      </c>
      <c r="AH1830" t="s">
        <v>417</v>
      </c>
      <c r="AI1830">
        <v>1</v>
      </c>
    </row>
    <row r="1831" spans="1:35" x14ac:dyDescent="0.3">
      <c r="A1831" t="s">
        <v>345</v>
      </c>
      <c r="B1831">
        <v>1</v>
      </c>
      <c r="AH1831" t="s">
        <v>10</v>
      </c>
      <c r="AI1831">
        <v>1</v>
      </c>
    </row>
    <row r="1832" spans="1:35" x14ac:dyDescent="0.3">
      <c r="A1832" t="s">
        <v>345</v>
      </c>
      <c r="B1832">
        <v>1</v>
      </c>
      <c r="AH1832" t="s">
        <v>2172</v>
      </c>
      <c r="AI1832">
        <v>1</v>
      </c>
    </row>
    <row r="1833" spans="1:35" x14ac:dyDescent="0.3">
      <c r="A1833" t="s">
        <v>634</v>
      </c>
      <c r="B1833">
        <v>1</v>
      </c>
      <c r="AH1833" t="s">
        <v>452</v>
      </c>
      <c r="AI1833">
        <v>1</v>
      </c>
    </row>
    <row r="1834" spans="1:35" x14ac:dyDescent="0.3">
      <c r="A1834" t="s">
        <v>634</v>
      </c>
      <c r="B1834">
        <v>1</v>
      </c>
      <c r="AH1834" t="s">
        <v>124</v>
      </c>
      <c r="AI1834">
        <v>1</v>
      </c>
    </row>
    <row r="1835" spans="1:35" x14ac:dyDescent="0.3">
      <c r="A1835" t="s">
        <v>29</v>
      </c>
      <c r="B1835">
        <v>1</v>
      </c>
      <c r="AH1835" t="s">
        <v>452</v>
      </c>
      <c r="AI1835">
        <v>1</v>
      </c>
    </row>
    <row r="1836" spans="1:35" x14ac:dyDescent="0.3">
      <c r="A1836" t="s">
        <v>11</v>
      </c>
      <c r="B1836">
        <v>1</v>
      </c>
      <c r="AH1836" t="s">
        <v>51</v>
      </c>
      <c r="AI1836">
        <v>1</v>
      </c>
    </row>
    <row r="1837" spans="1:35" x14ac:dyDescent="0.3">
      <c r="A1837" t="s">
        <v>345</v>
      </c>
      <c r="B1837">
        <v>1</v>
      </c>
      <c r="AH1837" t="s">
        <v>10</v>
      </c>
      <c r="AI1837">
        <v>1</v>
      </c>
    </row>
    <row r="1838" spans="1:35" x14ac:dyDescent="0.3">
      <c r="A1838" t="s">
        <v>743</v>
      </c>
      <c r="B1838">
        <v>1</v>
      </c>
      <c r="AH1838" t="s">
        <v>696</v>
      </c>
      <c r="AI1838">
        <v>1</v>
      </c>
    </row>
    <row r="1839" spans="1:35" x14ac:dyDescent="0.3">
      <c r="A1839" t="s">
        <v>706</v>
      </c>
      <c r="B1839">
        <v>1</v>
      </c>
      <c r="AH1839" t="s">
        <v>417</v>
      </c>
      <c r="AI1839">
        <v>1</v>
      </c>
    </row>
    <row r="1840" spans="1:35" x14ac:dyDescent="0.3">
      <c r="A1840" t="s">
        <v>634</v>
      </c>
      <c r="B1840">
        <v>1</v>
      </c>
      <c r="AH1840" t="s">
        <v>51</v>
      </c>
      <c r="AI1840">
        <v>1</v>
      </c>
    </row>
    <row r="1841" spans="1:35" x14ac:dyDescent="0.3">
      <c r="A1841" t="s">
        <v>706</v>
      </c>
      <c r="B1841">
        <v>1</v>
      </c>
      <c r="AH1841" t="s">
        <v>35</v>
      </c>
      <c r="AI1841">
        <v>1</v>
      </c>
    </row>
    <row r="1842" spans="1:35" x14ac:dyDescent="0.3">
      <c r="A1842" t="s">
        <v>11</v>
      </c>
      <c r="B1842">
        <v>1</v>
      </c>
      <c r="AH1842" t="s">
        <v>51</v>
      </c>
      <c r="AI1842">
        <v>1</v>
      </c>
    </row>
    <row r="1843" spans="1:35" x14ac:dyDescent="0.3">
      <c r="A1843" t="s">
        <v>345</v>
      </c>
      <c r="B1843">
        <v>1</v>
      </c>
      <c r="AH1843" t="s">
        <v>297</v>
      </c>
      <c r="AI1843">
        <v>1</v>
      </c>
    </row>
    <row r="1844" spans="1:35" x14ac:dyDescent="0.3">
      <c r="A1844" t="s">
        <v>11</v>
      </c>
      <c r="B1844">
        <v>1</v>
      </c>
      <c r="AH1844" t="s">
        <v>51</v>
      </c>
      <c r="AI1844">
        <v>1</v>
      </c>
    </row>
    <row r="1845" spans="1:35" x14ac:dyDescent="0.3">
      <c r="A1845" t="s">
        <v>706</v>
      </c>
      <c r="B1845">
        <v>1</v>
      </c>
      <c r="AH1845" t="s">
        <v>681</v>
      </c>
      <c r="AI1845">
        <v>1</v>
      </c>
    </row>
    <row r="1846" spans="1:35" x14ac:dyDescent="0.3">
      <c r="A1846" t="s">
        <v>706</v>
      </c>
      <c r="B1846">
        <v>1</v>
      </c>
      <c r="AH1846" t="s">
        <v>10</v>
      </c>
      <c r="AI1846">
        <v>1</v>
      </c>
    </row>
    <row r="1847" spans="1:35" x14ac:dyDescent="0.3">
      <c r="A1847" t="s">
        <v>11</v>
      </c>
      <c r="B1847">
        <v>1</v>
      </c>
      <c r="AH1847" t="s">
        <v>70</v>
      </c>
      <c r="AI1847">
        <v>1</v>
      </c>
    </row>
    <row r="1848" spans="1:35" x14ac:dyDescent="0.3">
      <c r="A1848" t="s">
        <v>792</v>
      </c>
      <c r="B1848">
        <v>1</v>
      </c>
      <c r="AH1848" t="s">
        <v>51</v>
      </c>
      <c r="AI1848">
        <v>1</v>
      </c>
    </row>
    <row r="1849" spans="1:35" x14ac:dyDescent="0.3">
      <c r="A1849" t="s">
        <v>634</v>
      </c>
      <c r="B1849">
        <v>1</v>
      </c>
      <c r="AH1849" t="s">
        <v>10</v>
      </c>
      <c r="AI1849">
        <v>1</v>
      </c>
    </row>
    <row r="1850" spans="1:35" x14ac:dyDescent="0.3">
      <c r="A1850" t="s">
        <v>464</v>
      </c>
      <c r="B1850">
        <v>1</v>
      </c>
      <c r="AH1850" t="s">
        <v>35</v>
      </c>
      <c r="AI1850">
        <v>1</v>
      </c>
    </row>
    <row r="1851" spans="1:35" x14ac:dyDescent="0.3">
      <c r="A1851" t="s">
        <v>11</v>
      </c>
      <c r="B1851">
        <v>1</v>
      </c>
      <c r="AH1851" t="s">
        <v>2925</v>
      </c>
      <c r="AI1851">
        <v>1</v>
      </c>
    </row>
    <row r="1852" spans="1:35" x14ac:dyDescent="0.3">
      <c r="A1852" t="s">
        <v>174</v>
      </c>
      <c r="B1852">
        <v>1</v>
      </c>
      <c r="AH1852" t="s">
        <v>51</v>
      </c>
      <c r="AI1852">
        <v>1</v>
      </c>
    </row>
    <row r="1853" spans="1:35" x14ac:dyDescent="0.3">
      <c r="A1853" t="s">
        <v>23</v>
      </c>
      <c r="B1853">
        <v>1</v>
      </c>
      <c r="AH1853" t="s">
        <v>10</v>
      </c>
      <c r="AI1853">
        <v>1</v>
      </c>
    </row>
    <row r="1854" spans="1:35" x14ac:dyDescent="0.3">
      <c r="A1854" t="s">
        <v>29</v>
      </c>
      <c r="B1854">
        <v>1</v>
      </c>
      <c r="AH1854" t="s">
        <v>10</v>
      </c>
      <c r="AI1854">
        <v>1</v>
      </c>
    </row>
    <row r="1855" spans="1:35" x14ac:dyDescent="0.3">
      <c r="A1855" t="s">
        <v>232</v>
      </c>
      <c r="B1855">
        <v>1</v>
      </c>
      <c r="AH1855" t="s">
        <v>10</v>
      </c>
      <c r="AI1855">
        <v>1</v>
      </c>
    </row>
    <row r="1856" spans="1:35" x14ac:dyDescent="0.3">
      <c r="A1856" t="s">
        <v>11</v>
      </c>
      <c r="B1856">
        <v>1</v>
      </c>
      <c r="AH1856" t="s">
        <v>51</v>
      </c>
      <c r="AI1856">
        <v>1</v>
      </c>
    </row>
    <row r="1857" spans="1:35" x14ac:dyDescent="0.3">
      <c r="A1857" t="s">
        <v>243</v>
      </c>
      <c r="B1857">
        <v>1</v>
      </c>
      <c r="AH1857" t="s">
        <v>3359</v>
      </c>
      <c r="AI1857">
        <v>1</v>
      </c>
    </row>
    <row r="1858" spans="1:35" x14ac:dyDescent="0.3">
      <c r="A1858" t="s">
        <v>52</v>
      </c>
      <c r="B1858">
        <v>1</v>
      </c>
      <c r="AH1858" t="s">
        <v>205</v>
      </c>
      <c r="AI1858">
        <v>1</v>
      </c>
    </row>
    <row r="1859" spans="1:35" x14ac:dyDescent="0.3">
      <c r="A1859" t="s">
        <v>11</v>
      </c>
      <c r="B1859">
        <v>1</v>
      </c>
      <c r="AH1859" t="s">
        <v>51</v>
      </c>
      <c r="AI1859">
        <v>1</v>
      </c>
    </row>
    <row r="1860" spans="1:35" x14ac:dyDescent="0.3">
      <c r="A1860" t="s">
        <v>706</v>
      </c>
      <c r="B1860">
        <v>1</v>
      </c>
      <c r="AH1860" t="s">
        <v>10</v>
      </c>
      <c r="AI1860">
        <v>1</v>
      </c>
    </row>
    <row r="1861" spans="1:35" x14ac:dyDescent="0.3">
      <c r="A1861" t="s">
        <v>11</v>
      </c>
      <c r="B1861">
        <v>1</v>
      </c>
      <c r="AH1861" t="s">
        <v>51</v>
      </c>
      <c r="AI1861">
        <v>1</v>
      </c>
    </row>
    <row r="1862" spans="1:35" x14ac:dyDescent="0.3">
      <c r="A1862" t="s">
        <v>58</v>
      </c>
      <c r="B1862">
        <v>1</v>
      </c>
      <c r="AH1862" t="s">
        <v>4544</v>
      </c>
      <c r="AI1862">
        <v>1</v>
      </c>
    </row>
    <row r="1863" spans="1:35" x14ac:dyDescent="0.3">
      <c r="A1863" t="s">
        <v>365</v>
      </c>
      <c r="B1863">
        <v>1</v>
      </c>
      <c r="AH1863" t="s">
        <v>35</v>
      </c>
      <c r="AI1863">
        <v>1</v>
      </c>
    </row>
    <row r="1864" spans="1:35" x14ac:dyDescent="0.3">
      <c r="A1864" t="s">
        <v>634</v>
      </c>
      <c r="B1864">
        <v>1</v>
      </c>
      <c r="AH1864" t="s">
        <v>10</v>
      </c>
      <c r="AI1864">
        <v>1</v>
      </c>
    </row>
    <row r="1865" spans="1:35" x14ac:dyDescent="0.3">
      <c r="A1865" t="s">
        <v>464</v>
      </c>
      <c r="B1865">
        <v>1</v>
      </c>
      <c r="AH1865" t="s">
        <v>3273</v>
      </c>
      <c r="AI1865">
        <v>1</v>
      </c>
    </row>
    <row r="1866" spans="1:35" x14ac:dyDescent="0.3">
      <c r="A1866" t="s">
        <v>11</v>
      </c>
      <c r="B1866">
        <v>1</v>
      </c>
      <c r="AH1866" t="s">
        <v>1992</v>
      </c>
      <c r="AI1866">
        <v>1</v>
      </c>
    </row>
    <row r="1867" spans="1:35" x14ac:dyDescent="0.3">
      <c r="A1867" t="s">
        <v>232</v>
      </c>
      <c r="B1867">
        <v>1</v>
      </c>
      <c r="AH1867" t="s">
        <v>10</v>
      </c>
      <c r="AI1867">
        <v>1</v>
      </c>
    </row>
    <row r="1868" spans="1:35" x14ac:dyDescent="0.3">
      <c r="A1868" t="s">
        <v>58</v>
      </c>
      <c r="B1868">
        <v>1</v>
      </c>
      <c r="AH1868" t="s">
        <v>51</v>
      </c>
      <c r="AI1868">
        <v>1</v>
      </c>
    </row>
    <row r="1869" spans="1:35" x14ac:dyDescent="0.3">
      <c r="A1869" t="s">
        <v>29</v>
      </c>
      <c r="B1869">
        <v>1</v>
      </c>
      <c r="AH1869" t="s">
        <v>452</v>
      </c>
      <c r="AI1869">
        <v>1</v>
      </c>
    </row>
    <row r="1870" spans="1:35" x14ac:dyDescent="0.3">
      <c r="A1870" t="s">
        <v>64</v>
      </c>
      <c r="B1870">
        <v>1</v>
      </c>
      <c r="AH1870" t="s">
        <v>124</v>
      </c>
      <c r="AI1870">
        <v>1</v>
      </c>
    </row>
    <row r="1871" spans="1:35" x14ac:dyDescent="0.3">
      <c r="A1871" t="s">
        <v>232</v>
      </c>
      <c r="B1871">
        <v>1</v>
      </c>
      <c r="AH1871" t="s">
        <v>10</v>
      </c>
      <c r="AI1871">
        <v>1</v>
      </c>
    </row>
    <row r="1872" spans="1:35" x14ac:dyDescent="0.3">
      <c r="A1872" t="s">
        <v>232</v>
      </c>
      <c r="B1872">
        <v>1</v>
      </c>
      <c r="AH1872" t="s">
        <v>401</v>
      </c>
      <c r="AI1872">
        <v>1</v>
      </c>
    </row>
    <row r="1873" spans="1:35" x14ac:dyDescent="0.3">
      <c r="A1873" t="s">
        <v>58</v>
      </c>
      <c r="B1873">
        <v>1</v>
      </c>
      <c r="AH1873" t="s">
        <v>10</v>
      </c>
      <c r="AI1873">
        <v>1</v>
      </c>
    </row>
    <row r="1874" spans="1:35" x14ac:dyDescent="0.3">
      <c r="A1874" t="s">
        <v>58</v>
      </c>
      <c r="B1874">
        <v>1</v>
      </c>
      <c r="AH1874" t="s">
        <v>124</v>
      </c>
      <c r="AI1874">
        <v>1</v>
      </c>
    </row>
    <row r="1875" spans="1:35" x14ac:dyDescent="0.3">
      <c r="A1875" t="s">
        <v>365</v>
      </c>
      <c r="B1875">
        <v>1</v>
      </c>
      <c r="AH1875" t="s">
        <v>737</v>
      </c>
      <c r="AI1875">
        <v>1</v>
      </c>
    </row>
    <row r="1876" spans="1:35" x14ac:dyDescent="0.3">
      <c r="A1876" t="s">
        <v>715</v>
      </c>
      <c r="B1876">
        <v>1</v>
      </c>
      <c r="AH1876" t="s">
        <v>35</v>
      </c>
      <c r="AI1876">
        <v>1</v>
      </c>
    </row>
    <row r="1877" spans="1:35" x14ac:dyDescent="0.3">
      <c r="A1877" t="s">
        <v>11</v>
      </c>
      <c r="B1877">
        <v>1</v>
      </c>
      <c r="AH1877" t="s">
        <v>2364</v>
      </c>
      <c r="AI1877">
        <v>1</v>
      </c>
    </row>
    <row r="1878" spans="1:35" x14ac:dyDescent="0.3">
      <c r="A1878" t="s">
        <v>345</v>
      </c>
      <c r="B1878">
        <v>1</v>
      </c>
      <c r="AH1878" t="s">
        <v>35</v>
      </c>
      <c r="AI1878">
        <v>1</v>
      </c>
    </row>
    <row r="1879" spans="1:35" x14ac:dyDescent="0.3">
      <c r="A1879" t="s">
        <v>510</v>
      </c>
      <c r="B1879">
        <v>1</v>
      </c>
      <c r="AH1879" t="s">
        <v>51</v>
      </c>
      <c r="AI1879">
        <v>1</v>
      </c>
    </row>
    <row r="1880" spans="1:35" x14ac:dyDescent="0.3">
      <c r="A1880" t="s">
        <v>151</v>
      </c>
      <c r="B1880">
        <v>1</v>
      </c>
      <c r="AH1880" t="s">
        <v>1441</v>
      </c>
      <c r="AI1880">
        <v>1</v>
      </c>
    </row>
    <row r="1881" spans="1:35" x14ac:dyDescent="0.3">
      <c r="A1881" t="s">
        <v>634</v>
      </c>
      <c r="B1881">
        <v>1</v>
      </c>
      <c r="AH1881" t="s">
        <v>51</v>
      </c>
      <c r="AI1881">
        <v>1</v>
      </c>
    </row>
    <row r="1882" spans="1:35" x14ac:dyDescent="0.3">
      <c r="A1882" t="s">
        <v>130</v>
      </c>
      <c r="B1882">
        <v>1</v>
      </c>
      <c r="AH1882" t="s">
        <v>10</v>
      </c>
      <c r="AI1882">
        <v>1</v>
      </c>
    </row>
    <row r="1883" spans="1:35" x14ac:dyDescent="0.3">
      <c r="A1883" t="s">
        <v>715</v>
      </c>
      <c r="B1883">
        <v>1</v>
      </c>
      <c r="AH1883" t="s">
        <v>249</v>
      </c>
      <c r="AI1883">
        <v>1</v>
      </c>
    </row>
    <row r="1884" spans="1:35" x14ac:dyDescent="0.3">
      <c r="A1884" t="s">
        <v>58</v>
      </c>
      <c r="B1884">
        <v>1</v>
      </c>
      <c r="AH1884" t="s">
        <v>2172</v>
      </c>
      <c r="AI1884">
        <v>1</v>
      </c>
    </row>
    <row r="1885" spans="1:35" x14ac:dyDescent="0.3">
      <c r="A1885" t="s">
        <v>706</v>
      </c>
      <c r="B1885">
        <v>1</v>
      </c>
      <c r="AH1885" t="s">
        <v>10</v>
      </c>
      <c r="AI1885">
        <v>1</v>
      </c>
    </row>
    <row r="1886" spans="1:35" x14ac:dyDescent="0.3">
      <c r="A1886" t="s">
        <v>98</v>
      </c>
      <c r="B1886">
        <v>1</v>
      </c>
      <c r="AH1886" t="s">
        <v>10</v>
      </c>
      <c r="AI1886">
        <v>1</v>
      </c>
    </row>
    <row r="1887" spans="1:35" x14ac:dyDescent="0.3">
      <c r="A1887" t="s">
        <v>706</v>
      </c>
      <c r="B1887">
        <v>1</v>
      </c>
      <c r="AH1887" t="s">
        <v>10</v>
      </c>
      <c r="AI1887">
        <v>1</v>
      </c>
    </row>
    <row r="1888" spans="1:35" x14ac:dyDescent="0.3">
      <c r="A1888" t="s">
        <v>464</v>
      </c>
      <c r="B1888">
        <v>1</v>
      </c>
      <c r="AH1888" t="s">
        <v>124</v>
      </c>
      <c r="AI1888">
        <v>1</v>
      </c>
    </row>
    <row r="1889" spans="1:35" x14ac:dyDescent="0.3">
      <c r="A1889" t="s">
        <v>29</v>
      </c>
      <c r="B1889">
        <v>1</v>
      </c>
      <c r="AH1889" t="s">
        <v>10</v>
      </c>
      <c r="AI1889">
        <v>1</v>
      </c>
    </row>
    <row r="1890" spans="1:35" x14ac:dyDescent="0.3">
      <c r="A1890" t="s">
        <v>11</v>
      </c>
      <c r="B1890">
        <v>1</v>
      </c>
      <c r="AH1890" t="s">
        <v>51</v>
      </c>
      <c r="AI1890">
        <v>1</v>
      </c>
    </row>
    <row r="1891" spans="1:35" x14ac:dyDescent="0.3">
      <c r="A1891" t="s">
        <v>345</v>
      </c>
      <c r="B1891">
        <v>1</v>
      </c>
      <c r="AH1891" t="s">
        <v>10</v>
      </c>
      <c r="AI1891">
        <v>1</v>
      </c>
    </row>
    <row r="1892" spans="1:35" x14ac:dyDescent="0.3">
      <c r="A1892" t="s">
        <v>174</v>
      </c>
      <c r="B1892">
        <v>1</v>
      </c>
      <c r="AH1892" t="s">
        <v>51</v>
      </c>
      <c r="AI1892">
        <v>1</v>
      </c>
    </row>
    <row r="1893" spans="1:35" x14ac:dyDescent="0.3">
      <c r="A1893" t="s">
        <v>11</v>
      </c>
      <c r="B1893">
        <v>1</v>
      </c>
      <c r="AH1893" t="s">
        <v>1441</v>
      </c>
      <c r="AI1893">
        <v>1</v>
      </c>
    </row>
    <row r="1894" spans="1:35" x14ac:dyDescent="0.3">
      <c r="A1894" t="s">
        <v>11</v>
      </c>
      <c r="B1894">
        <v>1</v>
      </c>
      <c r="AH1894" t="s">
        <v>216</v>
      </c>
      <c r="AI1894">
        <v>1</v>
      </c>
    </row>
    <row r="1895" spans="1:35" x14ac:dyDescent="0.3">
      <c r="A1895" t="s">
        <v>64</v>
      </c>
      <c r="B1895">
        <v>1</v>
      </c>
      <c r="AH1895" t="s">
        <v>51</v>
      </c>
      <c r="AI1895">
        <v>1</v>
      </c>
    </row>
    <row r="1896" spans="1:35" x14ac:dyDescent="0.3">
      <c r="A1896" t="s">
        <v>687</v>
      </c>
      <c r="B1896">
        <v>1</v>
      </c>
      <c r="AH1896" t="s">
        <v>249</v>
      </c>
      <c r="AI1896">
        <v>1</v>
      </c>
    </row>
    <row r="1897" spans="1:35" x14ac:dyDescent="0.3">
      <c r="A1897" t="s">
        <v>726</v>
      </c>
      <c r="B1897">
        <v>1</v>
      </c>
      <c r="AH1897" t="s">
        <v>35</v>
      </c>
      <c r="AI1897">
        <v>1</v>
      </c>
    </row>
    <row r="1898" spans="1:35" x14ac:dyDescent="0.3">
      <c r="A1898" t="s">
        <v>11</v>
      </c>
      <c r="B1898">
        <v>1</v>
      </c>
      <c r="AH1898" t="s">
        <v>51</v>
      </c>
      <c r="AI1898">
        <v>1</v>
      </c>
    </row>
    <row r="1899" spans="1:35" x14ac:dyDescent="0.3">
      <c r="A1899" t="s">
        <v>345</v>
      </c>
      <c r="B1899">
        <v>1</v>
      </c>
      <c r="AH1899" t="s">
        <v>216</v>
      </c>
      <c r="AI1899">
        <v>1</v>
      </c>
    </row>
    <row r="1900" spans="1:35" x14ac:dyDescent="0.3">
      <c r="A1900" t="s">
        <v>52</v>
      </c>
      <c r="B1900">
        <v>1</v>
      </c>
      <c r="AH1900" t="s">
        <v>1441</v>
      </c>
      <c r="AI1900">
        <v>1</v>
      </c>
    </row>
    <row r="1901" spans="1:35" x14ac:dyDescent="0.3">
      <c r="A1901" t="s">
        <v>634</v>
      </c>
      <c r="B1901">
        <v>1</v>
      </c>
      <c r="AH1901" t="s">
        <v>51</v>
      </c>
      <c r="AI1901">
        <v>1</v>
      </c>
    </row>
    <row r="1902" spans="1:35" x14ac:dyDescent="0.3">
      <c r="A1902" t="s">
        <v>11</v>
      </c>
      <c r="B1902">
        <v>1</v>
      </c>
      <c r="AH1902" t="s">
        <v>10</v>
      </c>
      <c r="AI1902">
        <v>1</v>
      </c>
    </row>
    <row r="1903" spans="1:35" x14ac:dyDescent="0.3">
      <c r="A1903" t="s">
        <v>11</v>
      </c>
      <c r="B1903">
        <v>1</v>
      </c>
      <c r="AH1903" t="s">
        <v>737</v>
      </c>
      <c r="AI1903">
        <v>1</v>
      </c>
    </row>
    <row r="1904" spans="1:35" x14ac:dyDescent="0.3">
      <c r="A1904" t="s">
        <v>345</v>
      </c>
      <c r="B1904">
        <v>1</v>
      </c>
      <c r="AH1904" t="s">
        <v>205</v>
      </c>
      <c r="AI1904">
        <v>1</v>
      </c>
    </row>
    <row r="1905" spans="1:35" x14ac:dyDescent="0.3">
      <c r="A1905" t="s">
        <v>634</v>
      </c>
      <c r="B1905">
        <v>1</v>
      </c>
      <c r="AH1905" t="s">
        <v>35</v>
      </c>
      <c r="AI1905">
        <v>1</v>
      </c>
    </row>
    <row r="1906" spans="1:35" x14ac:dyDescent="0.3">
      <c r="A1906" t="s">
        <v>98</v>
      </c>
      <c r="B1906">
        <v>1</v>
      </c>
      <c r="AH1906" t="s">
        <v>417</v>
      </c>
      <c r="AI1906">
        <v>1</v>
      </c>
    </row>
    <row r="1907" spans="1:35" x14ac:dyDescent="0.3">
      <c r="A1907" t="s">
        <v>792</v>
      </c>
      <c r="B1907">
        <v>1</v>
      </c>
      <c r="AH1907" t="s">
        <v>51</v>
      </c>
      <c r="AI1907">
        <v>1</v>
      </c>
    </row>
    <row r="1908" spans="1:35" x14ac:dyDescent="0.3">
      <c r="A1908" t="s">
        <v>151</v>
      </c>
      <c r="B1908">
        <v>1</v>
      </c>
      <c r="AH1908" t="s">
        <v>10</v>
      </c>
      <c r="AI1908">
        <v>1</v>
      </c>
    </row>
    <row r="1909" spans="1:35" x14ac:dyDescent="0.3">
      <c r="A1909" t="s">
        <v>11</v>
      </c>
      <c r="B1909">
        <v>1</v>
      </c>
      <c r="AH1909" t="s">
        <v>10</v>
      </c>
      <c r="AI1909">
        <v>1</v>
      </c>
    </row>
    <row r="1910" spans="1:35" x14ac:dyDescent="0.3">
      <c r="A1910" t="s">
        <v>365</v>
      </c>
      <c r="B1910">
        <v>1</v>
      </c>
      <c r="AH1910" t="s">
        <v>10</v>
      </c>
      <c r="AI1910">
        <v>1</v>
      </c>
    </row>
    <row r="1911" spans="1:35" x14ac:dyDescent="0.3">
      <c r="A1911" t="s">
        <v>11</v>
      </c>
      <c r="B1911">
        <v>1</v>
      </c>
      <c r="AH1911" t="s">
        <v>51</v>
      </c>
      <c r="AI1911">
        <v>1</v>
      </c>
    </row>
    <row r="1912" spans="1:35" x14ac:dyDescent="0.3">
      <c r="A1912" t="s">
        <v>232</v>
      </c>
      <c r="B1912">
        <v>1</v>
      </c>
      <c r="AH1912" t="s">
        <v>51</v>
      </c>
      <c r="AI1912">
        <v>1</v>
      </c>
    </row>
    <row r="1913" spans="1:35" x14ac:dyDescent="0.3">
      <c r="A1913" t="s">
        <v>11</v>
      </c>
      <c r="B1913">
        <v>1</v>
      </c>
      <c r="AH1913" t="s">
        <v>1632</v>
      </c>
      <c r="AI1913">
        <v>1</v>
      </c>
    </row>
    <row r="1914" spans="1:35" x14ac:dyDescent="0.3">
      <c r="A1914" t="s">
        <v>792</v>
      </c>
      <c r="B1914">
        <v>1</v>
      </c>
      <c r="AH1914" t="s">
        <v>657</v>
      </c>
      <c r="AI1914">
        <v>1</v>
      </c>
    </row>
    <row r="1915" spans="1:35" x14ac:dyDescent="0.3">
      <c r="A1915" t="s">
        <v>634</v>
      </c>
      <c r="B1915">
        <v>1</v>
      </c>
      <c r="AH1915" t="s">
        <v>452</v>
      </c>
      <c r="AI1915">
        <v>1</v>
      </c>
    </row>
    <row r="1916" spans="1:35" x14ac:dyDescent="0.3">
      <c r="A1916" t="s">
        <v>151</v>
      </c>
      <c r="B1916">
        <v>1</v>
      </c>
      <c r="AH1916" t="s">
        <v>657</v>
      </c>
      <c r="AI1916">
        <v>1</v>
      </c>
    </row>
    <row r="1917" spans="1:35" x14ac:dyDescent="0.3">
      <c r="A1917" t="s">
        <v>11</v>
      </c>
      <c r="B1917">
        <v>1</v>
      </c>
      <c r="AH1917" t="s">
        <v>70</v>
      </c>
      <c r="AI1917">
        <v>1</v>
      </c>
    </row>
    <row r="1918" spans="1:35" x14ac:dyDescent="0.3">
      <c r="A1918" t="s">
        <v>58</v>
      </c>
      <c r="B1918">
        <v>1</v>
      </c>
      <c r="AH1918" t="s">
        <v>452</v>
      </c>
      <c r="AI1918">
        <v>1</v>
      </c>
    </row>
    <row r="1919" spans="1:35" x14ac:dyDescent="0.3">
      <c r="A1919" t="s">
        <v>11</v>
      </c>
      <c r="B1919">
        <v>1</v>
      </c>
      <c r="AH1919" t="s">
        <v>51</v>
      </c>
      <c r="AI1919">
        <v>1</v>
      </c>
    </row>
    <row r="1920" spans="1:35" x14ac:dyDescent="0.3">
      <c r="A1920" t="s">
        <v>365</v>
      </c>
      <c r="B1920">
        <v>1</v>
      </c>
      <c r="AH1920" t="s">
        <v>35</v>
      </c>
      <c r="AI1920">
        <v>1</v>
      </c>
    </row>
    <row r="1921" spans="1:35" x14ac:dyDescent="0.3">
      <c r="A1921" t="s">
        <v>345</v>
      </c>
      <c r="B1921">
        <v>1</v>
      </c>
      <c r="AH1921" t="s">
        <v>10</v>
      </c>
      <c r="AI1921">
        <v>1</v>
      </c>
    </row>
    <row r="1922" spans="1:35" x14ac:dyDescent="0.3">
      <c r="A1922" t="s">
        <v>174</v>
      </c>
      <c r="B1922">
        <v>1</v>
      </c>
      <c r="AH1922" t="s">
        <v>10</v>
      </c>
      <c r="AI1922">
        <v>1</v>
      </c>
    </row>
    <row r="1923" spans="1:35" x14ac:dyDescent="0.3">
      <c r="A1923" t="s">
        <v>151</v>
      </c>
      <c r="B1923">
        <v>1</v>
      </c>
      <c r="AH1923" t="s">
        <v>1172</v>
      </c>
      <c r="AI1923">
        <v>1</v>
      </c>
    </row>
    <row r="1924" spans="1:35" x14ac:dyDescent="0.3">
      <c r="A1924" t="s">
        <v>11</v>
      </c>
      <c r="B1924">
        <v>1</v>
      </c>
      <c r="AH1924" t="s">
        <v>10</v>
      </c>
      <c r="AI1924">
        <v>1</v>
      </c>
    </row>
    <row r="1925" spans="1:35" x14ac:dyDescent="0.3">
      <c r="A1925" t="s">
        <v>130</v>
      </c>
      <c r="B1925">
        <v>1</v>
      </c>
      <c r="AH1925" t="s">
        <v>51</v>
      </c>
      <c r="AI1925">
        <v>1</v>
      </c>
    </row>
    <row r="1926" spans="1:35" x14ac:dyDescent="0.3">
      <c r="A1926" t="s">
        <v>250</v>
      </c>
      <c r="B1926">
        <v>1</v>
      </c>
      <c r="AH1926" t="s">
        <v>10</v>
      </c>
      <c r="AI1926">
        <v>1</v>
      </c>
    </row>
    <row r="1927" spans="1:35" x14ac:dyDescent="0.3">
      <c r="A1927" t="s">
        <v>64</v>
      </c>
      <c r="B1927">
        <v>1</v>
      </c>
      <c r="AH1927" t="s">
        <v>10</v>
      </c>
      <c r="AI1927">
        <v>1</v>
      </c>
    </row>
    <row r="1928" spans="1:35" x14ac:dyDescent="0.3">
      <c r="A1928" t="s">
        <v>11</v>
      </c>
      <c r="B1928">
        <v>1</v>
      </c>
      <c r="AH1928" t="s">
        <v>2925</v>
      </c>
      <c r="AI1928">
        <v>1</v>
      </c>
    </row>
    <row r="1929" spans="1:35" x14ac:dyDescent="0.3">
      <c r="A1929" t="s">
        <v>130</v>
      </c>
      <c r="B1929">
        <v>1</v>
      </c>
      <c r="AH1929" t="s">
        <v>51</v>
      </c>
      <c r="AI1929">
        <v>1</v>
      </c>
    </row>
    <row r="1930" spans="1:35" x14ac:dyDescent="0.3">
      <c r="A1930" t="s">
        <v>98</v>
      </c>
      <c r="B1930">
        <v>1</v>
      </c>
      <c r="AH1930" t="s">
        <v>10</v>
      </c>
      <c r="AI1930">
        <v>1</v>
      </c>
    </row>
    <row r="1931" spans="1:35" x14ac:dyDescent="0.3">
      <c r="A1931" t="s">
        <v>23</v>
      </c>
      <c r="B1931">
        <v>1</v>
      </c>
      <c r="AH1931" t="s">
        <v>10</v>
      </c>
      <c r="AI1931">
        <v>1</v>
      </c>
    </row>
    <row r="1932" spans="1:35" x14ac:dyDescent="0.3">
      <c r="A1932" t="s">
        <v>726</v>
      </c>
      <c r="B1932">
        <v>1</v>
      </c>
      <c r="AH1932" t="s">
        <v>249</v>
      </c>
      <c r="AI1932">
        <v>1</v>
      </c>
    </row>
    <row r="1933" spans="1:35" x14ac:dyDescent="0.3">
      <c r="A1933" t="s">
        <v>687</v>
      </c>
      <c r="B1933">
        <v>1</v>
      </c>
      <c r="AH1933" t="s">
        <v>216</v>
      </c>
      <c r="AI1933">
        <v>1</v>
      </c>
    </row>
    <row r="1934" spans="1:35" x14ac:dyDescent="0.3">
      <c r="A1934" t="s">
        <v>726</v>
      </c>
      <c r="B1934">
        <v>1</v>
      </c>
      <c r="AH1934" t="s">
        <v>35</v>
      </c>
      <c r="AI1934">
        <v>1</v>
      </c>
    </row>
    <row r="1935" spans="1:35" x14ac:dyDescent="0.3">
      <c r="A1935" t="s">
        <v>130</v>
      </c>
      <c r="B1935">
        <v>1</v>
      </c>
      <c r="AH1935" t="s">
        <v>2672</v>
      </c>
      <c r="AI1935">
        <v>1</v>
      </c>
    </row>
    <row r="1936" spans="1:35" x14ac:dyDescent="0.3">
      <c r="A1936" t="s">
        <v>250</v>
      </c>
      <c r="B1936">
        <v>1</v>
      </c>
      <c r="AH1936" t="s">
        <v>10</v>
      </c>
      <c r="AI1936">
        <v>1</v>
      </c>
    </row>
    <row r="1937" spans="1:35" x14ac:dyDescent="0.3">
      <c r="A1937" t="s">
        <v>11</v>
      </c>
      <c r="B1937">
        <v>1</v>
      </c>
      <c r="AH1937" t="s">
        <v>51</v>
      </c>
      <c r="AI1937">
        <v>1</v>
      </c>
    </row>
    <row r="1938" spans="1:35" x14ac:dyDescent="0.3">
      <c r="A1938" t="s">
        <v>11</v>
      </c>
      <c r="B1938">
        <v>1</v>
      </c>
      <c r="AH1938" t="s">
        <v>436</v>
      </c>
      <c r="AI1938">
        <v>1</v>
      </c>
    </row>
    <row r="1939" spans="1:35" x14ac:dyDescent="0.3">
      <c r="A1939" t="s">
        <v>11</v>
      </c>
      <c r="B1939">
        <v>1</v>
      </c>
      <c r="AH1939" t="s">
        <v>10</v>
      </c>
      <c r="AI1939">
        <v>1</v>
      </c>
    </row>
    <row r="1940" spans="1:35" x14ac:dyDescent="0.3">
      <c r="A1940" t="s">
        <v>743</v>
      </c>
      <c r="B1940">
        <v>1</v>
      </c>
      <c r="AH1940" t="s">
        <v>10</v>
      </c>
      <c r="AI1940">
        <v>1</v>
      </c>
    </row>
    <row r="1941" spans="1:35" x14ac:dyDescent="0.3">
      <c r="A1941" t="s">
        <v>11</v>
      </c>
      <c r="B1941">
        <v>1</v>
      </c>
      <c r="AH1941" t="s">
        <v>70</v>
      </c>
      <c r="AI1941">
        <v>1</v>
      </c>
    </row>
    <row r="1942" spans="1:35" x14ac:dyDescent="0.3">
      <c r="A1942" t="s">
        <v>11</v>
      </c>
      <c r="B1942">
        <v>1</v>
      </c>
      <c r="AH1942" t="s">
        <v>737</v>
      </c>
      <c r="AI1942">
        <v>1</v>
      </c>
    </row>
    <row r="1943" spans="1:35" x14ac:dyDescent="0.3">
      <c r="A1943" t="s">
        <v>52</v>
      </c>
      <c r="B1943">
        <v>1</v>
      </c>
      <c r="AH1943" t="s">
        <v>458</v>
      </c>
      <c r="AI1943">
        <v>1</v>
      </c>
    </row>
    <row r="1944" spans="1:35" x14ac:dyDescent="0.3">
      <c r="A1944" t="s">
        <v>52</v>
      </c>
      <c r="B1944">
        <v>1</v>
      </c>
      <c r="AH1944" t="s">
        <v>2329</v>
      </c>
      <c r="AI1944">
        <v>1</v>
      </c>
    </row>
    <row r="1945" spans="1:35" x14ac:dyDescent="0.3">
      <c r="A1945" t="s">
        <v>634</v>
      </c>
      <c r="B1945">
        <v>1</v>
      </c>
      <c r="AH1945" t="s">
        <v>4641</v>
      </c>
      <c r="AI1945">
        <v>1</v>
      </c>
    </row>
    <row r="1946" spans="1:35" x14ac:dyDescent="0.3">
      <c r="A1946" t="s">
        <v>11</v>
      </c>
      <c r="B1946">
        <v>1</v>
      </c>
      <c r="AH1946" t="s">
        <v>10</v>
      </c>
      <c r="AI1946">
        <v>1</v>
      </c>
    </row>
    <row r="1947" spans="1:35" x14ac:dyDescent="0.3">
      <c r="A1947" t="s">
        <v>11</v>
      </c>
      <c r="B1947">
        <v>1</v>
      </c>
      <c r="AH1947" t="s">
        <v>51</v>
      </c>
      <c r="AI1947">
        <v>1</v>
      </c>
    </row>
    <row r="1948" spans="1:35" x14ac:dyDescent="0.3">
      <c r="A1948" t="s">
        <v>232</v>
      </c>
      <c r="B1948">
        <v>1</v>
      </c>
      <c r="AH1948" t="s">
        <v>124</v>
      </c>
      <c r="AI1948">
        <v>1</v>
      </c>
    </row>
    <row r="1949" spans="1:35" x14ac:dyDescent="0.3">
      <c r="A1949" t="s">
        <v>58</v>
      </c>
      <c r="B1949">
        <v>1</v>
      </c>
      <c r="AH1949" t="s">
        <v>35</v>
      </c>
      <c r="AI1949">
        <v>1</v>
      </c>
    </row>
    <row r="1950" spans="1:35" x14ac:dyDescent="0.3">
      <c r="A1950" t="s">
        <v>232</v>
      </c>
      <c r="B1950">
        <v>1</v>
      </c>
      <c r="AH1950" t="s">
        <v>10</v>
      </c>
      <c r="AI1950">
        <v>1</v>
      </c>
    </row>
    <row r="1951" spans="1:35" x14ac:dyDescent="0.3">
      <c r="A1951" t="s">
        <v>11</v>
      </c>
      <c r="B1951">
        <v>1</v>
      </c>
      <c r="AH1951" t="s">
        <v>51</v>
      </c>
      <c r="AI1951">
        <v>1</v>
      </c>
    </row>
    <row r="1952" spans="1:35" x14ac:dyDescent="0.3">
      <c r="A1952" t="s">
        <v>634</v>
      </c>
      <c r="B1952">
        <v>1</v>
      </c>
      <c r="AH1952" t="s">
        <v>3276</v>
      </c>
      <c r="AI1952">
        <v>1</v>
      </c>
    </row>
    <row r="1953" spans="1:35" x14ac:dyDescent="0.3">
      <c r="A1953" t="s">
        <v>58</v>
      </c>
      <c r="B1953">
        <v>1</v>
      </c>
      <c r="AH1953" t="s">
        <v>10</v>
      </c>
      <c r="AI1953">
        <v>1</v>
      </c>
    </row>
    <row r="1954" spans="1:35" x14ac:dyDescent="0.3">
      <c r="A1954" t="s">
        <v>687</v>
      </c>
      <c r="B1954">
        <v>1</v>
      </c>
      <c r="AH1954" t="s">
        <v>1679</v>
      </c>
      <c r="AI1954">
        <v>1</v>
      </c>
    </row>
    <row r="1955" spans="1:35" x14ac:dyDescent="0.3">
      <c r="A1955" t="s">
        <v>792</v>
      </c>
      <c r="B1955">
        <v>1</v>
      </c>
      <c r="AH1955" t="s">
        <v>51</v>
      </c>
      <c r="AI1955">
        <v>1</v>
      </c>
    </row>
    <row r="1956" spans="1:35" x14ac:dyDescent="0.3">
      <c r="A1956" t="s">
        <v>706</v>
      </c>
      <c r="B1956">
        <v>1</v>
      </c>
      <c r="AH1956" t="s">
        <v>10</v>
      </c>
      <c r="AI1956">
        <v>1</v>
      </c>
    </row>
    <row r="1957" spans="1:35" x14ac:dyDescent="0.3">
      <c r="A1957" t="s">
        <v>715</v>
      </c>
      <c r="B1957">
        <v>1</v>
      </c>
      <c r="AH1957" t="s">
        <v>35</v>
      </c>
      <c r="AI1957">
        <v>1</v>
      </c>
    </row>
    <row r="1958" spans="1:35" x14ac:dyDescent="0.3">
      <c r="A1958" t="s">
        <v>64</v>
      </c>
      <c r="B1958">
        <v>1</v>
      </c>
      <c r="AH1958" t="s">
        <v>3276</v>
      </c>
      <c r="AI1958">
        <v>1</v>
      </c>
    </row>
    <row r="1959" spans="1:35" x14ac:dyDescent="0.3">
      <c r="A1959" t="s">
        <v>464</v>
      </c>
      <c r="B1959">
        <v>1</v>
      </c>
      <c r="AH1959" t="s">
        <v>76</v>
      </c>
      <c r="AI1959">
        <v>1</v>
      </c>
    </row>
    <row r="1960" spans="1:35" x14ac:dyDescent="0.3">
      <c r="A1960" t="s">
        <v>560</v>
      </c>
      <c r="B1960">
        <v>1</v>
      </c>
      <c r="AH1960" t="s">
        <v>10</v>
      </c>
      <c r="AI1960">
        <v>1</v>
      </c>
    </row>
    <row r="1961" spans="1:35" x14ac:dyDescent="0.3">
      <c r="A1961" t="s">
        <v>11</v>
      </c>
      <c r="B1961">
        <v>1</v>
      </c>
      <c r="AH1961" t="s">
        <v>70</v>
      </c>
      <c r="AI1961">
        <v>1</v>
      </c>
    </row>
    <row r="1962" spans="1:35" x14ac:dyDescent="0.3">
      <c r="A1962" t="s">
        <v>58</v>
      </c>
      <c r="B1962">
        <v>1</v>
      </c>
      <c r="AH1962" t="s">
        <v>124</v>
      </c>
      <c r="AI1962">
        <v>1</v>
      </c>
    </row>
    <row r="1963" spans="1:35" x14ac:dyDescent="0.3">
      <c r="A1963" t="s">
        <v>64</v>
      </c>
      <c r="B1963">
        <v>1</v>
      </c>
      <c r="AH1963" t="s">
        <v>51</v>
      </c>
      <c r="AI1963">
        <v>1</v>
      </c>
    </row>
    <row r="1964" spans="1:35" x14ac:dyDescent="0.3">
      <c r="A1964" t="s">
        <v>11</v>
      </c>
      <c r="B1964">
        <v>1</v>
      </c>
      <c r="AH1964" t="s">
        <v>417</v>
      </c>
      <c r="AI1964">
        <v>1</v>
      </c>
    </row>
    <row r="1965" spans="1:35" x14ac:dyDescent="0.3">
      <c r="A1965" t="s">
        <v>11</v>
      </c>
      <c r="B1965">
        <v>1</v>
      </c>
      <c r="AH1965" t="s">
        <v>205</v>
      </c>
      <c r="AI1965">
        <v>1</v>
      </c>
    </row>
    <row r="1966" spans="1:35" x14ac:dyDescent="0.3">
      <c r="A1966" t="s">
        <v>11</v>
      </c>
      <c r="B1966">
        <v>1</v>
      </c>
      <c r="AH1966" t="s">
        <v>70</v>
      </c>
      <c r="AI1966">
        <v>1</v>
      </c>
    </row>
    <row r="1967" spans="1:35" x14ac:dyDescent="0.3">
      <c r="A1967" t="s">
        <v>345</v>
      </c>
      <c r="B1967">
        <v>1</v>
      </c>
      <c r="AH1967" t="s">
        <v>10</v>
      </c>
      <c r="AI1967">
        <v>1</v>
      </c>
    </row>
    <row r="1968" spans="1:35" x14ac:dyDescent="0.3">
      <c r="A1968" t="s">
        <v>130</v>
      </c>
      <c r="B1968">
        <v>1</v>
      </c>
      <c r="AH1968" t="s">
        <v>124</v>
      </c>
      <c r="AI1968">
        <v>1</v>
      </c>
    </row>
    <row r="1969" spans="1:35" x14ac:dyDescent="0.3">
      <c r="A1969" t="s">
        <v>98</v>
      </c>
      <c r="B1969">
        <v>1</v>
      </c>
      <c r="AH1969" t="s">
        <v>51</v>
      </c>
      <c r="AI1969">
        <v>1</v>
      </c>
    </row>
    <row r="1970" spans="1:35" x14ac:dyDescent="0.3">
      <c r="A1970" t="s">
        <v>29</v>
      </c>
      <c r="B1970">
        <v>1</v>
      </c>
      <c r="AH1970" t="s">
        <v>2364</v>
      </c>
      <c r="AI1970">
        <v>1</v>
      </c>
    </row>
    <row r="1971" spans="1:35" x14ac:dyDescent="0.3">
      <c r="A1971" t="s">
        <v>464</v>
      </c>
      <c r="B1971">
        <v>1</v>
      </c>
      <c r="AH1971" t="s">
        <v>10</v>
      </c>
      <c r="AI1971">
        <v>1</v>
      </c>
    </row>
    <row r="1972" spans="1:35" x14ac:dyDescent="0.3">
      <c r="A1972" t="s">
        <v>706</v>
      </c>
      <c r="B1972">
        <v>1</v>
      </c>
      <c r="AH1972" t="s">
        <v>10</v>
      </c>
      <c r="AI1972">
        <v>1</v>
      </c>
    </row>
    <row r="1973" spans="1:35" x14ac:dyDescent="0.3">
      <c r="A1973" t="s">
        <v>52</v>
      </c>
      <c r="B1973">
        <v>1</v>
      </c>
      <c r="AH1973" t="s">
        <v>104</v>
      </c>
      <c r="AI1973">
        <v>1</v>
      </c>
    </row>
    <row r="1974" spans="1:35" x14ac:dyDescent="0.3">
      <c r="A1974" t="s">
        <v>365</v>
      </c>
      <c r="B1974">
        <v>1</v>
      </c>
      <c r="AH1974" t="s">
        <v>297</v>
      </c>
      <c r="AI1974">
        <v>1</v>
      </c>
    </row>
    <row r="1975" spans="1:35" x14ac:dyDescent="0.3">
      <c r="A1975" t="s">
        <v>634</v>
      </c>
      <c r="B1975">
        <v>1</v>
      </c>
      <c r="AH1975" t="s">
        <v>417</v>
      </c>
      <c r="AI1975">
        <v>1</v>
      </c>
    </row>
    <row r="1976" spans="1:35" x14ac:dyDescent="0.3">
      <c r="A1976" t="s">
        <v>634</v>
      </c>
      <c r="B1976">
        <v>1</v>
      </c>
      <c r="AH1976" t="s">
        <v>1172</v>
      </c>
      <c r="AI1976">
        <v>1</v>
      </c>
    </row>
    <row r="1977" spans="1:35" x14ac:dyDescent="0.3">
      <c r="A1977" t="s">
        <v>11</v>
      </c>
      <c r="B1977">
        <v>1</v>
      </c>
      <c r="AH1977" t="s">
        <v>1441</v>
      </c>
      <c r="AI1977">
        <v>1</v>
      </c>
    </row>
    <row r="1978" spans="1:35" x14ac:dyDescent="0.3">
      <c r="A1978" t="s">
        <v>130</v>
      </c>
      <c r="B1978">
        <v>1</v>
      </c>
      <c r="AH1978" t="s">
        <v>10</v>
      </c>
      <c r="AI1978">
        <v>1</v>
      </c>
    </row>
    <row r="1979" spans="1:35" x14ac:dyDescent="0.3">
      <c r="A1979" t="s">
        <v>792</v>
      </c>
      <c r="B1979">
        <v>1</v>
      </c>
      <c r="AH1979" t="s">
        <v>249</v>
      </c>
      <c r="AI1979">
        <v>1</v>
      </c>
    </row>
    <row r="1980" spans="1:35" x14ac:dyDescent="0.3">
      <c r="A1980" t="s">
        <v>11</v>
      </c>
      <c r="B1980">
        <v>1</v>
      </c>
      <c r="AH1980" t="s">
        <v>205</v>
      </c>
      <c r="AI1980">
        <v>1</v>
      </c>
    </row>
    <row r="1981" spans="1:35" x14ac:dyDescent="0.3">
      <c r="A1981" t="s">
        <v>792</v>
      </c>
      <c r="B1981">
        <v>1</v>
      </c>
      <c r="AH1981" t="s">
        <v>76</v>
      </c>
      <c r="AI1981">
        <v>1</v>
      </c>
    </row>
    <row r="1982" spans="1:35" x14ac:dyDescent="0.3">
      <c r="A1982" t="s">
        <v>634</v>
      </c>
      <c r="B1982">
        <v>1</v>
      </c>
      <c r="AH1982" t="s">
        <v>657</v>
      </c>
      <c r="AI1982">
        <v>1</v>
      </c>
    </row>
    <row r="1983" spans="1:35" x14ac:dyDescent="0.3">
      <c r="A1983" t="s">
        <v>726</v>
      </c>
      <c r="B1983">
        <v>1</v>
      </c>
      <c r="AH1983" t="s">
        <v>51</v>
      </c>
      <c r="AI1983">
        <v>1</v>
      </c>
    </row>
    <row r="1984" spans="1:35" x14ac:dyDescent="0.3">
      <c r="A1984" t="s">
        <v>151</v>
      </c>
      <c r="B1984">
        <v>1</v>
      </c>
      <c r="AH1984" t="s">
        <v>1172</v>
      </c>
      <c r="AI1984">
        <v>1</v>
      </c>
    </row>
    <row r="1985" spans="1:35" x14ac:dyDescent="0.3">
      <c r="A1985" t="s">
        <v>11</v>
      </c>
      <c r="B1985">
        <v>1</v>
      </c>
      <c r="AH1985" t="s">
        <v>1172</v>
      </c>
      <c r="AI1985">
        <v>1</v>
      </c>
    </row>
    <row r="1986" spans="1:35" x14ac:dyDescent="0.3">
      <c r="A1986" t="s">
        <v>58</v>
      </c>
      <c r="B1986">
        <v>1</v>
      </c>
      <c r="AH1986" t="s">
        <v>10</v>
      </c>
      <c r="AI1986">
        <v>1</v>
      </c>
    </row>
    <row r="1987" spans="1:35" x14ac:dyDescent="0.3">
      <c r="A1987" t="s">
        <v>11</v>
      </c>
      <c r="B1987">
        <v>1</v>
      </c>
      <c r="AH1987" t="s">
        <v>51</v>
      </c>
      <c r="AI1987">
        <v>1</v>
      </c>
    </row>
    <row r="1988" spans="1:35" x14ac:dyDescent="0.3">
      <c r="A1988" t="s">
        <v>11</v>
      </c>
      <c r="B1988">
        <v>1</v>
      </c>
      <c r="AH1988" t="s">
        <v>4325</v>
      </c>
      <c r="AI1988">
        <v>1</v>
      </c>
    </row>
    <row r="1989" spans="1:35" x14ac:dyDescent="0.3">
      <c r="A1989" t="s">
        <v>726</v>
      </c>
      <c r="B1989">
        <v>1</v>
      </c>
      <c r="AH1989" t="s">
        <v>51</v>
      </c>
      <c r="AI1989">
        <v>1</v>
      </c>
    </row>
    <row r="1990" spans="1:35" x14ac:dyDescent="0.3">
      <c r="A1990" t="s">
        <v>52</v>
      </c>
      <c r="B1990">
        <v>1</v>
      </c>
      <c r="AH1990" t="s">
        <v>51</v>
      </c>
      <c r="AI1990">
        <v>1</v>
      </c>
    </row>
    <row r="1991" spans="1:35" x14ac:dyDescent="0.3">
      <c r="A1991" t="s">
        <v>58</v>
      </c>
      <c r="B1991">
        <v>1</v>
      </c>
      <c r="AH1991" t="s">
        <v>10</v>
      </c>
      <c r="AI1991">
        <v>1</v>
      </c>
    </row>
    <row r="1992" spans="1:35" x14ac:dyDescent="0.3">
      <c r="A1992" t="s">
        <v>634</v>
      </c>
      <c r="B1992">
        <v>1</v>
      </c>
      <c r="AH1992" t="s">
        <v>10</v>
      </c>
      <c r="AI1992">
        <v>1</v>
      </c>
    </row>
    <row r="1993" spans="1:35" x14ac:dyDescent="0.3">
      <c r="A1993" t="s">
        <v>345</v>
      </c>
      <c r="B1993">
        <v>1</v>
      </c>
      <c r="AH1993" t="s">
        <v>452</v>
      </c>
      <c r="AI1993">
        <v>1</v>
      </c>
    </row>
    <row r="1994" spans="1:35" x14ac:dyDescent="0.3">
      <c r="A1994" t="s">
        <v>232</v>
      </c>
      <c r="B1994">
        <v>1</v>
      </c>
      <c r="AH1994" t="s">
        <v>216</v>
      </c>
      <c r="AI1994">
        <v>1</v>
      </c>
    </row>
    <row r="1995" spans="1:35" x14ac:dyDescent="0.3">
      <c r="A1995" t="s">
        <v>151</v>
      </c>
      <c r="B1995">
        <v>1</v>
      </c>
      <c r="AH1995" t="s">
        <v>124</v>
      </c>
      <c r="AI1995">
        <v>1</v>
      </c>
    </row>
    <row r="1996" spans="1:35" x14ac:dyDescent="0.3">
      <c r="A1996" t="s">
        <v>726</v>
      </c>
      <c r="B1996">
        <v>1</v>
      </c>
      <c r="AH1996" t="s">
        <v>35</v>
      </c>
      <c r="AI1996">
        <v>1</v>
      </c>
    </row>
    <row r="1997" spans="1:35" x14ac:dyDescent="0.3">
      <c r="A1997" t="s">
        <v>11</v>
      </c>
      <c r="B1997">
        <v>1</v>
      </c>
      <c r="AH1997" t="s">
        <v>1992</v>
      </c>
      <c r="AI1997">
        <v>1</v>
      </c>
    </row>
    <row r="1998" spans="1:35" x14ac:dyDescent="0.3">
      <c r="A1998" t="s">
        <v>706</v>
      </c>
      <c r="B1998">
        <v>1</v>
      </c>
      <c r="AH1998" t="s">
        <v>51</v>
      </c>
      <c r="AI1998">
        <v>1</v>
      </c>
    </row>
    <row r="1999" spans="1:35" x14ac:dyDescent="0.3">
      <c r="A1999" t="s">
        <v>634</v>
      </c>
      <c r="B1999">
        <v>1</v>
      </c>
      <c r="AH1999" t="s">
        <v>1172</v>
      </c>
      <c r="AI1999">
        <v>1</v>
      </c>
    </row>
    <row r="2000" spans="1:35" x14ac:dyDescent="0.3">
      <c r="A2000" t="s">
        <v>687</v>
      </c>
      <c r="B2000">
        <v>1</v>
      </c>
      <c r="AH2000" t="s">
        <v>104</v>
      </c>
      <c r="AI2000">
        <v>1</v>
      </c>
    </row>
    <row r="2001" spans="1:35" x14ac:dyDescent="0.3">
      <c r="A2001" t="s">
        <v>11</v>
      </c>
      <c r="B2001">
        <v>1</v>
      </c>
      <c r="AH2001" t="s">
        <v>1172</v>
      </c>
      <c r="AI2001">
        <v>1</v>
      </c>
    </row>
  </sheetData>
  <sortState xmlns:xlrd2="http://schemas.microsoft.com/office/spreadsheetml/2017/richdata2" ref="L55:L81">
    <sortCondition ref="L55:L81"/>
  </sortState>
  <mergeCells count="1">
    <mergeCell ref="J6:K6"/>
  </mergeCells>
  <pageMargins left="0.7" right="0.7" top="0.75" bottom="0.75" header="0.3" footer="0.3"/>
  <ignoredErrors>
    <ignoredError sqref="G85:G87 K45 Z41" formulaRange="1"/>
    <ignoredError sqref="I55 I81" evalError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FORBES 2000</vt:lpstr>
      <vt:lpstr>PROFITS</vt:lpstr>
      <vt:lpstr>MARKET VALUE</vt:lpstr>
      <vt:lpstr>NOMINALES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</dc:creator>
  <cp:lastModifiedBy>PABLO GALARÓN MATEO</cp:lastModifiedBy>
  <dcterms:created xsi:type="dcterms:W3CDTF">2023-12-04T18:57:53Z</dcterms:created>
  <dcterms:modified xsi:type="dcterms:W3CDTF">2023-12-18T17:41:39Z</dcterms:modified>
</cp:coreProperties>
</file>